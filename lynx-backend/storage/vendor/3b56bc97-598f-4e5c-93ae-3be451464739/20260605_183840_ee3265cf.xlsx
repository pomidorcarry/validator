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2"/>
  <workbookPr/>
  <mc:AlternateContent xmlns:mc="http://schemas.openxmlformats.org/markup-compatibility/2006">
    <mc:Choice Requires="x15">
      <x15ac:absPath xmlns:x15ac="http://schemas.microsoft.com/office/spreadsheetml/2010/11/ac" url="V:\1. ОБЪЕКТЫ\!2023\41-23. Брусника. МЛБ\41-23-00 Брусника. МЛБ (жк+коммерция)\2. ИРД\1. ТЗ\"/>
    </mc:Choice>
  </mc:AlternateContent>
  <xr:revisionPtr revIDLastSave="0" documentId="13_ncr:1_{A8442888-2DA3-4647-8F05-031749258C55}" xr6:coauthVersionLast="47" xr6:coauthVersionMax="47" xr10:uidLastSave="{00000000-0000-0000-0000-000000000000}"/>
  <bookViews>
    <workbookView xWindow="-108" yWindow="-108" windowWidth="23256" windowHeight="12576" firstSheet="5" activeTab="5" xr2:uid="{00000000-000D-0000-FFFF-FFFF00000000}"/>
  </bookViews>
  <sheets>
    <sheet name="CA CP" sheetId="1" state="hidden" r:id="rId1"/>
    <sheet name="ТЗ ПД Приложение 1" sheetId="2" state="hidden" r:id="rId2"/>
    <sheet name="ТЗ РД Приложение 2" sheetId="3" state="hidden" r:id="rId3"/>
    <sheet name="ТЗ РД Приложение 2 (Исходник)" sheetId="4" state="hidden" r:id="rId4"/>
    <sheet name="ТЗ РД Приложение 2 (Релиз 3)" sheetId="5" state="hidden" r:id="rId5"/>
    <sheet name="Вендор лист ВИС 324" sheetId="6" r:id="rId6"/>
  </sheets>
  <definedNames>
    <definedName name="_xlnm._FilterDatabase" localSheetId="3" hidden="1">'ТЗ РД Приложение 2 (Исходник)'!$E$37:$AE$1232</definedName>
    <definedName name="data">#REF!</definedName>
    <definedName name="partsAR">#REF!</definedName>
    <definedName name="partsGP">#REF!</definedName>
    <definedName name="partsSTR">#REF!</definedName>
    <definedName name="partsSystems">#REF!</definedName>
    <definedName name="projectPartsRD">#REF!</definedName>
    <definedName name="storeys">#REF!</definedName>
  </definedNames>
  <calcPr calcId="191029"/>
</workbook>
</file>

<file path=xl/calcChain.xml><?xml version="1.0" encoding="utf-8"?>
<calcChain xmlns="http://schemas.openxmlformats.org/spreadsheetml/2006/main">
  <c r="B498" i="5" l="1"/>
  <c r="B497" i="5"/>
  <c r="B495" i="5"/>
  <c r="B494" i="5"/>
  <c r="B493" i="5"/>
  <c r="B492" i="5"/>
  <c r="B491" i="5"/>
  <c r="B490" i="5"/>
  <c r="B489" i="5"/>
  <c r="B488" i="5"/>
  <c r="B487" i="5"/>
  <c r="B483" i="5"/>
  <c r="B482" i="5"/>
  <c r="B480" i="5"/>
  <c r="B477" i="5"/>
  <c r="B476" i="5"/>
  <c r="B474" i="5"/>
  <c r="B473" i="5"/>
  <c r="B472" i="5"/>
  <c r="B471" i="5"/>
  <c r="B470" i="5"/>
  <c r="B469" i="5"/>
  <c r="B467" i="5"/>
  <c r="B466" i="5"/>
  <c r="B465" i="5"/>
  <c r="B464" i="5"/>
  <c r="B462" i="5"/>
  <c r="B461" i="5"/>
  <c r="B460" i="5"/>
  <c r="B459" i="5"/>
  <c r="B457" i="5"/>
  <c r="B456" i="5"/>
  <c r="B455" i="5"/>
  <c r="B454" i="5"/>
  <c r="B452" i="5"/>
  <c r="B451" i="5"/>
  <c r="B450" i="5"/>
  <c r="B449" i="5"/>
  <c r="B448" i="5"/>
  <c r="B446" i="5"/>
  <c r="B445" i="5"/>
  <c r="B444" i="5"/>
  <c r="B443" i="5"/>
  <c r="B442" i="5"/>
  <c r="B441" i="5"/>
  <c r="B440" i="5"/>
  <c r="B439" i="5"/>
  <c r="B437" i="5"/>
  <c r="B436" i="5"/>
  <c r="B435" i="5"/>
  <c r="B434" i="5"/>
  <c r="B433" i="5"/>
  <c r="B432" i="5"/>
  <c r="B431" i="5"/>
  <c r="B429" i="5"/>
  <c r="B428" i="5"/>
  <c r="B427" i="5"/>
  <c r="B426" i="5"/>
  <c r="B425" i="5"/>
  <c r="B424" i="5"/>
  <c r="B422" i="5"/>
  <c r="B421" i="5"/>
  <c r="B420" i="5"/>
  <c r="B419" i="5"/>
  <c r="B416" i="5"/>
  <c r="B414" i="5"/>
  <c r="B413" i="5"/>
  <c r="B412" i="5"/>
  <c r="B410" i="5"/>
  <c r="B409" i="5"/>
  <c r="B407" i="5"/>
  <c r="B406" i="5"/>
  <c r="B405" i="5"/>
  <c r="B403" i="5"/>
  <c r="B401" i="5"/>
  <c r="B399" i="5"/>
  <c r="B397" i="5"/>
  <c r="B396" i="5"/>
  <c r="B395" i="5"/>
  <c r="B393" i="5"/>
  <c r="B391" i="5"/>
  <c r="B390" i="5"/>
  <c r="B389" i="5"/>
  <c r="B387" i="5"/>
  <c r="B386" i="5"/>
  <c r="B385" i="5"/>
  <c r="B383" i="5"/>
  <c r="B381" i="5"/>
  <c r="B380" i="5"/>
  <c r="B379" i="5"/>
  <c r="B378" i="5"/>
  <c r="B377" i="5"/>
  <c r="B376" i="5"/>
  <c r="B375" i="5"/>
  <c r="B373" i="5"/>
  <c r="B372" i="5"/>
  <c r="B371" i="5"/>
  <c r="B370" i="5"/>
  <c r="B369" i="5"/>
  <c r="B368" i="5"/>
  <c r="B367" i="5"/>
  <c r="B366" i="5"/>
  <c r="B365" i="5"/>
  <c r="B363" i="5"/>
  <c r="B362" i="5"/>
  <c r="B361" i="5"/>
  <c r="B360" i="5"/>
  <c r="B359" i="5"/>
  <c r="B358" i="5"/>
  <c r="B356" i="5"/>
  <c r="B355" i="5"/>
  <c r="B354" i="5"/>
  <c r="B353" i="5"/>
  <c r="B352" i="5"/>
  <c r="B351" i="5"/>
  <c r="B350" i="5"/>
  <c r="B348" i="5"/>
  <c r="B347" i="5"/>
  <c r="B344" i="5"/>
  <c r="B343" i="5"/>
  <c r="B342" i="5"/>
  <c r="B341" i="5"/>
  <c r="B340" i="5"/>
  <c r="B339" i="5"/>
  <c r="B338" i="5"/>
  <c r="B337" i="5"/>
  <c r="B336" i="5"/>
  <c r="B334" i="5"/>
  <c r="B333" i="5"/>
  <c r="B331" i="5"/>
  <c r="B330" i="5"/>
  <c r="B329" i="5"/>
  <c r="B327" i="5"/>
  <c r="B326" i="5"/>
  <c r="B324" i="5"/>
  <c r="B323" i="5"/>
  <c r="B322" i="5"/>
  <c r="B319" i="5"/>
  <c r="B318" i="5"/>
  <c r="B317" i="5"/>
  <c r="B315" i="5"/>
  <c r="B314" i="5"/>
  <c r="B313" i="5"/>
  <c r="B311" i="5"/>
  <c r="B310" i="5"/>
  <c r="B308" i="5"/>
  <c r="B307" i="5"/>
  <c r="B306" i="5"/>
  <c r="B305" i="5"/>
  <c r="B303" i="5"/>
  <c r="B302" i="5"/>
  <c r="B301" i="5"/>
  <c r="B300" i="5"/>
  <c r="B299" i="5"/>
  <c r="B298" i="5"/>
  <c r="B297" i="5"/>
  <c r="B296" i="5"/>
  <c r="B295" i="5"/>
  <c r="B294" i="5"/>
  <c r="B293" i="5"/>
  <c r="B292" i="5"/>
  <c r="B290" i="5"/>
  <c r="B289" i="5"/>
  <c r="B286" i="5"/>
  <c r="B285" i="5"/>
  <c r="B284" i="5"/>
  <c r="B283" i="5"/>
  <c r="B282" i="5"/>
  <c r="B280" i="5"/>
  <c r="B278" i="5"/>
  <c r="B277" i="5"/>
  <c r="B276" i="5"/>
  <c r="B275" i="5"/>
  <c r="B274" i="5"/>
  <c r="B273" i="5"/>
  <c r="B272" i="5"/>
  <c r="B271" i="5"/>
  <c r="B270" i="5"/>
  <c r="B269" i="5"/>
  <c r="B268" i="5"/>
  <c r="B266" i="5"/>
  <c r="B265" i="5"/>
  <c r="B264" i="5"/>
  <c r="B263" i="5"/>
  <c r="B262" i="5"/>
  <c r="B261" i="5"/>
  <c r="B259" i="5"/>
  <c r="B258" i="5"/>
  <c r="B257" i="5"/>
  <c r="B256" i="5"/>
  <c r="B254" i="5"/>
  <c r="B252" i="5"/>
  <c r="B251" i="5"/>
  <c r="B250" i="5"/>
  <c r="B249" i="5"/>
  <c r="B248" i="5"/>
  <c r="B247" i="5"/>
  <c r="B244" i="5"/>
  <c r="B243" i="5"/>
  <c r="B242" i="5"/>
  <c r="B241" i="5"/>
  <c r="B240" i="5"/>
  <c r="B239" i="5"/>
  <c r="B238" i="5"/>
  <c r="B237" i="5"/>
  <c r="B236" i="5"/>
  <c r="B235" i="5"/>
  <c r="B234" i="5"/>
  <c r="B233" i="5"/>
  <c r="B232" i="5"/>
  <c r="B230" i="5"/>
  <c r="B229" i="5"/>
  <c r="B228" i="5"/>
  <c r="B227" i="5"/>
  <c r="B226" i="5"/>
  <c r="B225" i="5"/>
  <c r="B224" i="5"/>
  <c r="B223" i="5"/>
  <c r="B222" i="5"/>
  <c r="B221" i="5"/>
  <c r="B220" i="5"/>
  <c r="B219" i="5"/>
  <c r="B218" i="5"/>
  <c r="B217" i="5"/>
  <c r="B216" i="5"/>
  <c r="B213" i="5"/>
  <c r="B212" i="5"/>
  <c r="B211" i="5"/>
  <c r="B210" i="5"/>
  <c r="B209" i="5"/>
  <c r="B208" i="5"/>
  <c r="B207" i="5"/>
  <c r="B206" i="5"/>
  <c r="B205" i="5"/>
  <c r="B204" i="5"/>
  <c r="B203" i="5"/>
  <c r="B202" i="5"/>
  <c r="B201" i="5"/>
  <c r="B200" i="5"/>
  <c r="B199" i="5"/>
  <c r="B198" i="5"/>
  <c r="B197" i="5"/>
  <c r="B196" i="5"/>
  <c r="B195" i="5"/>
  <c r="B194" i="5"/>
  <c r="B193" i="5"/>
  <c r="B191" i="5"/>
  <c r="B190" i="5"/>
  <c r="B189" i="5"/>
  <c r="B188" i="5"/>
  <c r="B187" i="5"/>
  <c r="B186" i="5"/>
  <c r="B185" i="5"/>
  <c r="B184" i="5"/>
  <c r="B183" i="5"/>
  <c r="B182" i="5"/>
  <c r="B181" i="5"/>
  <c r="B180" i="5"/>
  <c r="B179" i="5"/>
  <c r="B178" i="5"/>
  <c r="B177" i="5"/>
  <c r="B176" i="5"/>
  <c r="B175" i="5"/>
  <c r="B174" i="5"/>
  <c r="B173" i="5"/>
  <c r="B172" i="5"/>
  <c r="B171" i="5"/>
  <c r="B170" i="5"/>
  <c r="B169" i="5"/>
  <c r="B167" i="5"/>
  <c r="B166" i="5"/>
  <c r="B165" i="5"/>
  <c r="B164" i="5"/>
  <c r="B163" i="5"/>
  <c r="B162" i="5"/>
  <c r="B161" i="5"/>
  <c r="B160" i="5"/>
  <c r="B156" i="5"/>
  <c r="B155" i="5"/>
  <c r="B154" i="5"/>
  <c r="B153" i="5"/>
  <c r="B152" i="5"/>
  <c r="B151" i="5"/>
  <c r="B150" i="5"/>
  <c r="B149" i="5"/>
  <c r="B148" i="5"/>
  <c r="B147" i="5"/>
  <c r="B146" i="5"/>
  <c r="B145" i="5"/>
  <c r="B144" i="5"/>
  <c r="B143" i="5"/>
  <c r="B141" i="5"/>
  <c r="B140" i="5"/>
  <c r="B139" i="5"/>
  <c r="B138" i="5"/>
  <c r="B137" i="5"/>
  <c r="B136" i="5"/>
  <c r="B135" i="5"/>
  <c r="B134" i="5"/>
  <c r="B133" i="5"/>
  <c r="B132" i="5"/>
  <c r="B130" i="5"/>
  <c r="B128" i="5"/>
  <c r="B127" i="5"/>
  <c r="B126" i="5"/>
  <c r="B125" i="5"/>
  <c r="B124" i="5"/>
  <c r="B123" i="5"/>
  <c r="B122" i="5"/>
  <c r="B119" i="5"/>
  <c r="B118" i="5"/>
  <c r="B117" i="5"/>
  <c r="B116" i="5"/>
  <c r="B115" i="5"/>
  <c r="B114" i="5"/>
  <c r="B113" i="5"/>
  <c r="B112" i="5"/>
  <c r="B111" i="5"/>
  <c r="B110" i="5"/>
  <c r="B109" i="5"/>
  <c r="B108" i="5"/>
  <c r="B107" i="5"/>
  <c r="B106" i="5"/>
  <c r="B105" i="5"/>
  <c r="B104" i="5"/>
  <c r="B103" i="5"/>
  <c r="B102" i="5"/>
  <c r="B101" i="5"/>
  <c r="B100" i="5"/>
  <c r="B99" i="5"/>
  <c r="B98" i="5"/>
  <c r="B97" i="5"/>
  <c r="B96" i="5"/>
  <c r="B95" i="5"/>
  <c r="B94" i="5"/>
  <c r="B93" i="5"/>
  <c r="B92" i="5"/>
  <c r="B90" i="5"/>
  <c r="B89" i="5"/>
  <c r="B88" i="5"/>
  <c r="B87" i="5"/>
  <c r="B86" i="5"/>
  <c r="B85" i="5"/>
  <c r="B84" i="5"/>
  <c r="B83" i="5"/>
  <c r="B82" i="5"/>
  <c r="B81" i="5"/>
  <c r="B80" i="5"/>
  <c r="B79" i="5"/>
  <c r="B78" i="5"/>
  <c r="B77" i="5"/>
  <c r="B76" i="5"/>
  <c r="B75" i="5"/>
  <c r="B74" i="5"/>
  <c r="B72" i="5"/>
  <c r="B71" i="5"/>
  <c r="B70" i="5"/>
  <c r="B69" i="5"/>
  <c r="B65" i="5"/>
  <c r="B61" i="5"/>
  <c r="B58" i="5"/>
  <c r="B57" i="5"/>
  <c r="B55" i="5"/>
  <c r="B54" i="5"/>
  <c r="B53" i="5"/>
  <c r="B52" i="5"/>
  <c r="B51" i="5"/>
  <c r="B47" i="5"/>
  <c r="B46" i="5"/>
  <c r="B43" i="5"/>
  <c r="B41" i="5"/>
  <c r="B40" i="5"/>
  <c r="B39" i="5"/>
  <c r="B38" i="5"/>
  <c r="B239" i="1"/>
  <c r="B237" i="1"/>
  <c r="B234" i="1"/>
  <c r="B233" i="1"/>
  <c r="B230" i="1"/>
  <c r="B229" i="1"/>
  <c r="B228" i="1"/>
  <c r="B227" i="1"/>
  <c r="B226" i="1"/>
  <c r="B225" i="1"/>
  <c r="B224" i="1"/>
  <c r="B223" i="1"/>
  <c r="B222" i="1"/>
  <c r="B221" i="1"/>
  <c r="B220" i="1"/>
  <c r="B219" i="1"/>
  <c r="B218" i="1"/>
  <c r="B217" i="1"/>
  <c r="B216" i="1"/>
  <c r="B212" i="1"/>
  <c r="B211" i="1"/>
  <c r="B210" i="1"/>
  <c r="B209" i="1"/>
  <c r="B208" i="1"/>
  <c r="B207" i="1"/>
  <c r="B206" i="1"/>
  <c r="B205" i="1"/>
  <c r="B204" i="1"/>
  <c r="B203" i="1"/>
  <c r="B202" i="1"/>
  <c r="B201" i="1"/>
  <c r="B200" i="1"/>
  <c r="B199" i="1"/>
  <c r="B198" i="1"/>
  <c r="B197" i="1"/>
  <c r="B196" i="1"/>
  <c r="B195" i="1"/>
  <c r="B194" i="1"/>
  <c r="B193" i="1"/>
  <c r="B192" i="1"/>
  <c r="B191" i="1"/>
  <c r="B189" i="1"/>
  <c r="B188" i="1"/>
  <c r="B187" i="1"/>
  <c r="B186" i="1"/>
  <c r="B185" i="1"/>
  <c r="B184" i="1"/>
  <c r="B183" i="1"/>
  <c r="B182" i="1"/>
  <c r="B181" i="1"/>
  <c r="B180" i="1"/>
  <c r="B179" i="1"/>
  <c r="B178" i="1"/>
  <c r="B177" i="1"/>
  <c r="B175" i="1"/>
  <c r="B174" i="1"/>
  <c r="B173" i="1"/>
  <c r="B169" i="1"/>
  <c r="B168" i="1"/>
  <c r="B167" i="1"/>
  <c r="B166" i="1"/>
  <c r="B165" i="1"/>
  <c r="B164" i="1"/>
  <c r="B163" i="1"/>
  <c r="B162" i="1"/>
  <c r="B161" i="1"/>
  <c r="B160" i="1"/>
  <c r="B159" i="1"/>
  <c r="B158" i="1"/>
  <c r="B157" i="1"/>
  <c r="B156" i="1"/>
  <c r="B155" i="1"/>
  <c r="B153" i="1"/>
  <c r="B152" i="1"/>
  <c r="B150" i="1"/>
  <c r="B149" i="1"/>
  <c r="B148" i="1"/>
  <c r="B147" i="1"/>
  <c r="B146" i="1"/>
  <c r="B145" i="1"/>
  <c r="B144" i="1"/>
  <c r="B143" i="1"/>
  <c r="B142" i="1"/>
  <c r="B141" i="1"/>
  <c r="B139" i="1"/>
  <c r="B137" i="1"/>
  <c r="B136" i="1"/>
  <c r="B135" i="1"/>
  <c r="B134" i="1"/>
  <c r="B133" i="1"/>
  <c r="B132" i="1"/>
  <c r="B131" i="1"/>
  <c r="B130" i="1"/>
  <c r="B129" i="1"/>
  <c r="B128" i="1"/>
  <c r="B127" i="1"/>
  <c r="B126" i="1"/>
  <c r="B125" i="1"/>
  <c r="B124" i="1"/>
  <c r="B123" i="1"/>
  <c r="B122" i="1"/>
  <c r="B121" i="1"/>
  <c r="B120" i="1"/>
  <c r="B119" i="1"/>
  <c r="B118" i="1"/>
  <c r="B117" i="1"/>
  <c r="B116" i="1"/>
  <c r="B115" i="1"/>
  <c r="B114" i="1"/>
  <c r="B113" i="1"/>
  <c r="B112" i="1"/>
  <c r="B111" i="1"/>
  <c r="B110" i="1"/>
  <c r="B109" i="1"/>
  <c r="B108" i="1"/>
  <c r="B107" i="1"/>
  <c r="B106" i="1"/>
  <c r="B105" i="1"/>
  <c r="B104" i="1"/>
  <c r="B103" i="1"/>
  <c r="B102" i="1"/>
  <c r="B101" i="1"/>
  <c r="B100" i="1"/>
  <c r="B99" i="1"/>
  <c r="B98" i="1"/>
  <c r="B97" i="1"/>
  <c r="B96" i="1"/>
  <c r="B95" i="1"/>
  <c r="B94" i="1"/>
  <c r="B91" i="1"/>
  <c r="B90" i="1"/>
  <c r="B89" i="1"/>
  <c r="B88" i="1"/>
  <c r="B87" i="1"/>
  <c r="B86" i="1"/>
  <c r="B85" i="1"/>
  <c r="B84" i="1"/>
  <c r="B83" i="1"/>
  <c r="B82" i="1"/>
  <c r="B81" i="1"/>
  <c r="B80" i="1"/>
  <c r="B79" i="1"/>
  <c r="B78" i="1"/>
  <c r="B77" i="1"/>
  <c r="B76" i="1"/>
  <c r="B75" i="1"/>
  <c r="B74" i="1"/>
  <c r="B73" i="1"/>
  <c r="B72" i="1"/>
  <c r="B71" i="1"/>
  <c r="B70" i="1"/>
  <c r="B69" i="1"/>
  <c r="B67" i="1"/>
  <c r="B66" i="1"/>
  <c r="B65" i="1"/>
  <c r="B64" i="1"/>
  <c r="B63" i="1"/>
  <c r="B62" i="1"/>
  <c r="B61" i="1"/>
  <c r="B60" i="1"/>
  <c r="B59" i="1"/>
  <c r="B58" i="1"/>
  <c r="B57" i="1"/>
  <c r="B56" i="1"/>
  <c r="B55" i="1"/>
  <c r="B54" i="1"/>
  <c r="B53" i="1"/>
  <c r="B52" i="1"/>
  <c r="B51" i="1"/>
  <c r="B50" i="1"/>
  <c r="B49" i="1"/>
  <c r="B48" i="1"/>
  <c r="B47" i="1"/>
  <c r="B46" i="1"/>
  <c r="B45" i="1"/>
  <c r="B44" i="1"/>
  <c r="B43" i="1"/>
  <c r="B42" i="1"/>
  <c r="B41" i="1"/>
  <c r="B39" i="1"/>
  <c r="B38" i="1"/>
  <c r="B37" i="1"/>
  <c r="B36" i="1"/>
  <c r="B35" i="1"/>
  <c r="B34" i="1"/>
  <c r="B33" i="1"/>
  <c r="B32" i="1"/>
  <c r="B30" i="1"/>
  <c r="B26" i="1"/>
  <c r="B23" i="1"/>
  <c r="B22" i="1"/>
  <c r="B18" i="1"/>
  <c r="B17" i="1"/>
  <c r="B14" i="1"/>
  <c r="B12" i="1"/>
  <c r="B11"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G36" authorId="0" shapeId="0" xr:uid="{00000000-0006-0000-0300-000001000000}">
      <text>
        <r>
          <rPr>
            <sz val="10"/>
            <color rgb="FF000000"/>
            <rFont val="Arial"/>
            <scheme val="minor"/>
          </rPr>
          <t>Для башни 50, 75, 100 необходимо выбирать класс С, В, В+ у них нет отдельных каркасов для С или В, В+</t>
        </r>
      </text>
    </comment>
    <comment ref="K36" authorId="0" shapeId="0" xr:uid="{00000000-0006-0000-0300-000002000000}">
      <text>
        <r>
          <rPr>
            <sz val="10"/>
            <color rgb="FF000000"/>
            <rFont val="Arial"/>
            <scheme val="minor"/>
          </rPr>
          <t>Количество уровней</t>
        </r>
      </text>
    </comment>
    <comment ref="H199" authorId="0" shapeId="0" xr:uid="{00000000-0006-0000-0300-000003000000}">
      <text>
        <r>
          <rPr>
            <sz val="10"/>
            <color rgb="FF000000"/>
            <rFont val="Arial"/>
            <scheme val="minor"/>
          </rPr>
          <t>Закрытый квартал без башен</t>
        </r>
      </text>
    </comment>
    <comment ref="K495" authorId="0" shapeId="0" xr:uid="{00000000-0006-0000-0300-000004000000}">
      <text>
        <r>
          <rPr>
            <sz val="10"/>
            <color rgb="FF000000"/>
            <rFont val="Arial"/>
            <scheme val="minor"/>
          </rPr>
          <t>Многоуровневый</t>
        </r>
      </text>
    </comment>
    <comment ref="K496" authorId="0" shapeId="0" xr:uid="{00000000-0006-0000-0300-000005000000}">
      <text>
        <r>
          <rPr>
            <sz val="10"/>
            <color rgb="FF000000"/>
            <rFont val="Arial"/>
            <scheme val="minor"/>
          </rPr>
          <t>Многоуровневый</t>
        </r>
      </text>
    </comment>
    <comment ref="I542" authorId="0" shapeId="0" xr:uid="{00000000-0006-0000-0300-000006000000}">
      <text>
        <r>
          <rPr>
            <sz val="10"/>
            <color rgb="FF000000"/>
            <rFont val="Arial"/>
            <scheme val="minor"/>
          </rPr>
          <t>На концепцию необходимо передавать данные пункты?</t>
        </r>
      </text>
    </comment>
    <comment ref="T785" authorId="0" shapeId="0" xr:uid="{00000000-0006-0000-0300-000007000000}">
      <text>
        <r>
          <rPr>
            <sz val="10"/>
            <color rgb="FF000000"/>
            <rFont val="Arial"/>
            <scheme val="minor"/>
          </rPr>
          <t>Не добавлен фильтр так как все армируем отдельными стержнями за исключением стен - 1 этажа</t>
        </r>
      </text>
    </comment>
    <comment ref="K787" authorId="0" shapeId="0" xr:uid="{00000000-0006-0000-0300-000008000000}">
      <text>
        <r>
          <rPr>
            <sz val="10"/>
            <color rgb="FF000000"/>
            <rFont val="Arial"/>
            <scheme val="minor"/>
          </rPr>
          <t>Многоуровневый</t>
        </r>
      </text>
    </comment>
  </commentList>
</comments>
</file>

<file path=xl/sharedStrings.xml><?xml version="1.0" encoding="utf-8"?>
<sst xmlns="http://schemas.openxmlformats.org/spreadsheetml/2006/main" count="39071" uniqueCount="4173">
  <si>
    <t>Техническое задание по релизу 3/2024 от 22.03.2024г.</t>
  </si>
  <si>
    <t>Техническое задание на концепцию архитектуры и планировок Европейский берег 50.1</t>
  </si>
  <si>
    <t>Город</t>
  </si>
  <si>
    <t>Новосибирск</t>
  </si>
  <si>
    <t>Класс продукта</t>
  </si>
  <si>
    <t>B</t>
  </si>
  <si>
    <t>Технические требования, перечень основных изделий, конструкций и материалов</t>
  </si>
  <si>
    <t>N п/п</t>
  </si>
  <si>
    <t>Наименование конструктивных элементов, оборудования и изделий</t>
  </si>
  <si>
    <t>Характеристика применяемых в проекте конструкций, изделий и материалов</t>
  </si>
  <si>
    <t>0 Общие требования</t>
  </si>
  <si>
    <t>0.1 Общее</t>
  </si>
  <si>
    <t>0.1.1</t>
  </si>
  <si>
    <t>В техническом задании на проектирование предусмотреть следующие наименования этажей:
-Нижний этаж - этаж ниже отм. 0.000, является подземным/подвальным/цокольным этажом объекта строительства;
-Первый этаж - первый надземный этаж (выше отм. 0.000) объекта строительства;
-Типовой этаж - этаж не являющийся первым, нижним и особенным объекта строительства;
-Особенный этаж - этаж обладающий особенными характеристиками объекта строительства;
-Верхний этаж - последний этаж в объекте строительства, является техническим/чердак/жилая надстройка.</t>
  </si>
  <si>
    <t>0.1.2</t>
  </si>
  <si>
    <t>Наименование помещений принять в соответствии с Приложением №8 BIM стандарт организации (категория, назначение помещений).</t>
  </si>
  <si>
    <t>0.2 Высоты</t>
  </si>
  <si>
    <t>0.2.1</t>
  </si>
  <si>
    <t>Высота здания определяется высотой расположения особенного этажа (не считая верхнего технического этажа), а высота расположения этажа определяется разностью отметок поверхности проезда для пожарных машин и нижней границы открывающегося проема (окна) в наружной стене.</t>
  </si>
  <si>
    <t>0.2.2</t>
  </si>
  <si>
    <t>Высота стандартного одноуровневого подземного паркинга без возможности въезда грузовой машины</t>
  </si>
  <si>
    <t>Высоты паркинга принять в соответствии с матрицей классов и конфигурацией паркинга. Проектом принять следующие значения высот этажей:
-Высота этажа паркинга - 2,95 м.
Строительные конструкции подбирать согласно типологии этажей.
Высота этажа определяется от верха нижележащего перекрытия до верха вышележащего перекрытия.
Высота этажа измеряется по проезжей части.</t>
  </si>
  <si>
    <t>0.2.3</t>
  </si>
  <si>
    <t>Высоты этажей жилой части с одноуровневым подземным паркингом без возможности въезда грузовой машины для класса С</t>
  </si>
  <si>
    <t>Высоты этажей принять в соответствии с матрицей классов и конфигурацией паркинга. Проектом принять следующие значения высот этажей:
-Нижний этаж - 3,67 м;
-Первый этаж - 4,2 м;
-Типового этаж - 3,0 м; 
-Особенный этаж - 3,02 м;
-Верхний этаж - 2,55/3,02 м.
Строительные конструкции подбирать согласно типологии этажей.
Высота этажа определяется от верха нижележащего перекрытия до верха вышележащего перекрытия.
Высоты этажей измеряются по ЛЛУ.</t>
  </si>
  <si>
    <t>0.2.4</t>
  </si>
  <si>
    <t>Технический чердак с эксплуатируемой кровлей на Секциях до 28 метров, Урбан-виллах до 28 метров, Секциях до 50 метров, Башнях до 50 метров, Секциях до 75 метров, Башнях до 75 метров включает в себя:
- высоту этажа 3020 мм (от верха плиты перекрытия верхнего этажа до верха плиты покрытия верхнего этажа);
- техническое пространство (чердак) для прокладки инженерных сетей, высотой равной высоте этажа;
- венткамеру, высотой равной высоте этажа;
- жилые надстройки с выходами на кровлю, высотой равной высоте этажа;
- выходы на кровлю из технического пространства, лестничной клетки и венткамеры;
- общую вытяжную шахту, высотой 1175 мм (от верха плиты покрытия верхнего этажа до низа плиты покрытия общей вытяжной шахты).
Техническое пространство (чердак) формируется согласно стандартам зонирования верхнего этажа в зависимости от морфотипа секции.
Общая вытяжная шахта формируется согласно:
Общая вытяжная шахта С28 (ссылка);
Общая вытяжная шахта С50 (ссылка);
Общая вытяжная шахта С75 (ссылка);
Общая вытяжная шахта Б50 (ссылка); 
Общая вытяжная шахта Б75 (ссылка);
Общая вытяжная шахта УВ28 (ссылка).
Жилые надстройки имеют непосредственную связь с нижним этажом квартиры через внутриквартирную лестницу. Каждая жилая надстройка имеет выход на эксплуатируемую кровлю. Размещение жилых надстроек принять согласно:
Зонирование верхнего этажа и кровли с жилыми надстройками в секциях до 28 метров класс С (ссылка);
Типоразмеры жилых надстроек в секциях до 28 метров (ссылка).
Для морфотипов выше 28 метров жилые надстройки размещать с учетом расположения жб конструкций, массинга фасада и основных принципов жилых надстроек
Жилые надстройки (ссылка)
Строительные конструкции размещать согласно стандартам планировочных решений верхнего этажа в зависимости от морфотипа секции. Формировать конфигурацию технического чердака, обеспечивая проходы на кровле не менее 800 мм в свету.</t>
  </si>
  <si>
    <t>0.2.5</t>
  </si>
  <si>
    <t>Технический чердак с неэксплуатируемой кровлей принять:
- высоту этажа 2550 мм (от верха плиты перекрытия верхнего этажа до верха плиты покрытия верхнего этажа);
- техническое пространство (чердак) для прокладки инженерных сетей, высотой равной высоте этажа;
- венткамеру, высотой равной высоте этажа;
- выходы на кровлю из технического пространства, лестничной клетки и венткамеры;
- общую вытяжную шахту, высотой 1175 мм (от верха плиты покрытия верхнего этажа до низа плиты покрытия общей вытяжной шахты).
Техническое пространство (чердак) формируется согласно стандартам зонирования верхнего этажа в зависимости от морфотипа секции.
Общая вытяжная шахта формируется согласно:
Общая вытяжная шахта С28 (ссылка),
Общая вытяжная шахта С50 (ссылка),
Общая вытяжная шахта С75 (ссылка),
Общая вытяжная шахта Б50 (ссылка), 
Общая вытяжная шахта Б75 (ссылка), 
Общая вытяжная шахта Б100 (ссылка), 
Общая вытяжная шахта УВ28 (ссылка).
Технический чердак располагается на верхнем этаже.
Строительные конструкции размещать согласно стандартам планировочных решений верхнего этажа в зависимости от морфотипа секции. Формировать конфигурацию технического чердака, обеспечивая проходы на кровле не менее 800 мм в свету.</t>
  </si>
  <si>
    <t>0.3 Автостоянки</t>
  </si>
  <si>
    <t>0.3.1</t>
  </si>
  <si>
    <t>Общие требования для стандартного одноуровневого подземного паркинга</t>
  </si>
  <si>
    <t>Стандартный одноуровневый подземный паркинг выполняется в кварталах без башен.
Высоту паркинга принять согласно стандартов:
 - Высота стандартного одноуровневого подземного паркинга без возможности въезда грузовой машины (ссылка)
 - Высота стандартного одноуровневого подземного паркинга с возможностью въезда грузовой машины (ссылка)
Возможность въезда грузовой машины определяется на этапе Концепции проекта.
Въездную рампу выполнить согласно стандартов:
 - Рампа для одноуровневого подземного паркинга без возможности въезда грузовой машины (ссылка)
 - Рампа для одноуровневого подземного паркинга с возможностью въезда грузовой машины (ссылка)
Стандартный одноуровневый подземный паркинг размещается под дворовым пространством квартала в контуре дворовых границ секций. Допустимо выполнять заглубленные в контур секции машино-места количеством от 2х машино-мест, расположенных смежно друг с другом. На первом этаже запрещено размещать жилые помещения над машино-местами.
Машино-места и строительные конструкции размещать согласно стандартов:
 - Планировочные решения стандартного одноуровневого подземного паркинга без возможности въезда грузовой машины (ссылка)
 - Планировочные решения расширенного одноуровневого подземного паркинга без возможности въезда грузовой машины (ссылка)
 - Планировочные решения стандартного одноуровневого подземного паркинга с возможностью въезда грузовой (ссылка)</t>
  </si>
  <si>
    <t>0.4 Жилая часть</t>
  </si>
  <si>
    <t>0.4.1</t>
  </si>
  <si>
    <t>В нижнем этаже предусмотреть помещения:
Квартал без башен - один блок инженерных помещений располагать в одной угловой секции ближе к тепловым сетям.
Квартал с одной башней - один блок инженерных помещений в доминанте (башне).
Квартал с двумя башнями - один блок инженерных помещений в доминанте (в самой высокой башне) ближе к тепловым сетям.
В случае, если не получится тепловой сетью дойти до доминанты, располагать блок инженерных помещений в угловой секции, ближней к доминанте.
Структура блока инженерных помещений: 
1.1 ИТП:
- для квартала с продаваемой площадью менее 30 000 м²  с башней до 50 м и без башни - одно помещение на все секции, располагать у наружной стены здания (со стороны улицы), помещение площадью 60 м² +/- 3 м²; 
- для квартала с продаваемой площадью менее 30 000 м² с башней от 50 м до 100 м   - одно помещение на все секции, располагать у наружной стены здания (со стороны улицы), помещение площадью 80 м² +/- 3 м²;
- для квартала с продаваемой площадью более 30 000 м²  - два смежных помещения длиной не более 12 м, разделенные стеной, на все секции, расположенные у наружной стены здания (со стороны улицы), помещение общей площадью 100 м² +/- 3м².
 2.1 Узел ввода/ Насосная: одно помещение на квартал для узла ввода,водоотчистки, насосной хозяйственно - питьевого водоснабжения, дополнительное помещение на квартал для насосной пожаротушения, оборудования автополива.
- для зданий до 28 м требуемая общая площадь помещении 60 м² +/- 3 м²;
- для зданий от 28 м до 50 м требуемая общая площадь помещении 80 м² +/- 3 м²;
- для зданий от 50 м до 75 м требуемая общая площадь помещении 100  м² +/- 3 м²;
- для здания от 75 м до 100 м требуемая общая площадь помещении 160 м² +/- 3 м².
 3.1.  Электрощитовая (паркинг): Одно помещение, располагать на нижнем этаже в угловой секции у рампы данной автостоянки. Площадь 15м² +/- 3 м². 
 3.2. Электрощитовая (жилые и коммерческие помещения): 
- одно помещение на квартал (количество секций не более 3). Располагать на нижнем этаже во внешнем контуре рядом с электрощитовой паркинга. Площадь 20м² +/- 3 м²;
- два помещения на квартал, (количество секций более 3). Помещения располагать на нижнем этаже во внешнем контуре площадью 20м² +/- 3 м² следующим образом:
- первую электрощитовую рядом с электрощитовой паркинга;
- вторую электрощитовую в угловой секции по диагонали относительно секции, в которой уже есть электрощитовая.
Допускается увеличение количества электрощитовых при возникновении индивидуальных пожарных отсеков в секциях от 50 м.
4.1 Вентиляционная камера (вытяжная противодымная автостоянки), располагать на нижнем этаже во внутреннем контуре у стены паркинга (за велосипедной или в углу). Одно помещение на каждый пожарный отсек паркинга. Площадь 20м² +/- 3 м². 
 4.2 Вентиляционная камера (вытяжная общеобменная автостоянки), располагать на нижнем этаже во внешнем контуре напротив вентиляционной камеры (вытяжная противодымная автостоянки). Одно помещение на каждый пожарный отсек автостоянки. Площадь 20м² +/- 3 м². 
 4.3 Вентиляционная камера (приточная паркинга), располагать на нижнем этаже во внутреннем контуре по диагонали (относительно вентиляционной камеры пункта 4.1). Одно помещение на каждый пожарный отсек паркинга. Площадь 20м² +/- 3 м². 
 4.4 Вентиляционная камера (приточная противодымная МОП), располагать на нижнем этаже во внешнем контуре под входной группой МОП. Одно помещение для каждой секции. Площадь 20м² +/- 3 м².
4.5 Вентиляционная камера (вытяжная противодымная МОП), располагать в техническом чердаке. Одно помещение для каждой секции. Площадь 20м² +/- 3 м².
 4.6 Вентиляционная камера (приточная противодымная МОП), располагать в техническом чердаке. Одно помещение для каждой секции. Площадь 20м² +/- 3 м². 
5.1 Сети связи: 
Одно помещение на квартал, располагать на нижнем этаже во внешнем контуре рядом с электрощитовой жилья, площадью 10 м² +/- 3 м², в каждой секции возле ЛЛУ предусмотреть место для размещения секционного распределительного оборудования.
Инженерные помещения под пунктами 1.1, 2.1, 4.1, 4.2 расположить в одной секции.</t>
  </si>
  <si>
    <t>0.4.2</t>
  </si>
  <si>
    <t>Предусмотреть коммерческие помещения (по концепции планировок) со следующими параметрами:
- витражное остекление со стороны уличных фасадов;
- минимум инженерных сетей в центрах помещений;
- возможность объединения смежных помещений;
- Отделочные работы в т.ч. монтаж внутренних перегородок во встроенных и встроенно-пристроенных нежилых помещениях общественного назначения выполняются после ввода объекта в эксплуатацию силами арендаторов, либо собственников помещений по рабочим проектам, разработанным на основании проектной документации. Перегородки функциональных помещений в нежилых помещениях общественного назначения не показывать, выделять только мокрые зоны. В случае необходимости разработки ТХ планировочные решения давать с примечанием «возможное объемно-планировочное решение»
Наименования помещений выполнить согласно
Наименование помещений (ссылка)
Нагрузки помещений принять в соответствии с
Нагрузки коммерческих помещений (первый этаж) (ссылка)
Внутренние системы хозяйственно - питьевого водопровода и горячего водоснабжения (канализации) во встроенных и встроенно-пристроенных нежилых помещениях общественного назначения, а также установка сантехнического оборудования (санфаянс, смесители, раковины и т.д.) выполняются после ввода объекта в эксплуатацию силами арендаторов либо собственников помещений по отдельным рабочим проектам.
Коммерческие помещения размещать согласно правилам зонирования первого и нижнего этажей
Кондиционирование коммерческих помещений принять согласно стандартов:
 - Кондиционирование коммерческих помещений до 120 м² (ссылка)
 - Кондиционирование коммерческих помещений более 120 м² (ссылка)</t>
  </si>
  <si>
    <t>1 Градостроительство</t>
  </si>
  <si>
    <t>1.2 Инфраструктура</t>
  </si>
  <si>
    <t>1.2.1</t>
  </si>
  <si>
    <t>Наличие управляющей компании согласовать на этапе мастер плана;
Размер помещения согласовать с заказчиком;
Офис УК размещать в первом доме, первой очереди строительства, на первом этаже, в зоне, где размещение жилья невозможно, а размещение коммерции не выгодно. Вход в офис УК с улицы. По возможности организовать отдельный служебный вход со спуском на нижнем этаж смежно с офисом УК. Обслуживает до 200 тыс. м² жилой площади при (радиус обслуживания до 3 км). 
Помещения службы безопасности, сантехника -электрика размещать в первом доме, первой очереди строительства, на нижнем этаже. Обслуживает до 200 тыс. м² жилой площади при (радиус обслуживания до 3 км).</t>
  </si>
  <si>
    <t>2 Благоустройство</t>
  </si>
  <si>
    <t>3 Архитектура</t>
  </si>
  <si>
    <t>3.1 Общее</t>
  </si>
  <si>
    <t>3.1.1</t>
  </si>
  <si>
    <t>Отметку 0.000 проекта, принять по следующему алгоритму:
1.Рассчитать среднее арифметическое между самой высокой и самой низкой планировочными отметками участка;
2.Округлить полученное значение с шагом 600 мм;
3.Принять получившуюся отметку за 0.000 проекта.
Отметки плоских участков рельефа перед входными группами (со стороны улицы) должны быть кратны 600 мм.
Отметка 0.000 принимается во внутреннем контуре квартала, единая отметка с уровнем двора. 
Правила перепада отметок (излома плиты) при уклоне со стороны улицы:
-Уклон менее 1,5% - Выполнить без излома плит;
-Уклон 1,5%-3% - Выполнить излом плит между деформационными швами, (перепад с шагом 600 мм на каждый деформационный шов);
-Уклон 3%-4,5% - Выполнить излом плит между секциями (перепад с шагом 600 мм на каждую секцию);
-Уклон 4,5%-15% - Выполнить излом плит с шагом (2, 3, 4, 6) х 3450 (перепад 600 мм на каждые 2, 3, 4, 6 шага(ов).
Участки шириной в 1 шаг х 3450 мм не выполнять.
Перепад плит первого этажа выполнять только по наружному периметру объекта строительства. Отметка 0.000 принимается во внутреннем контуре объекта строительства, единая отметка с уровнем двора. 
Отметку 0.000 принимать по верху чистого пола МОП со стороны двора</t>
  </si>
  <si>
    <t>3.1.2</t>
  </si>
  <si>
    <t>Рампа для одноуровневого подземного паркинга без возможности въезда грузовой машины</t>
  </si>
  <si>
    <t>Въездная рампа размещается при одноуровневом подземном паркинге на нижнем этаже высотой 2,95 м без возможности въезда грузовой машины. Длина рампы фиксированная и одинаковая в секциях разной ширины.
Въездную рампу в проекте принять в соответствии с проектом мастер-плана и матрицей кварталов.
Конструкции рампы выполнить согласно стандартов:
 - Вертикальные конструкции рампы (ссылка)
- Горизонтальные конструкции рампы (ссылка)
Утепление конструкций рампы принять согласно стандартов:
 - Устройство штукатурного фасада (ссылка)
Состав пола рампы принять согласно стандартов:
 - Пироги пола одноуровневого паркинга (ссылка)
Допускается предусматривать световые проемы в стене между МОП и рампой в соответствии со стандартом:
 - Планировочное решение МОП первого этажа С28 (ссылка)
Въездную рампу в контуре секции выполнить с уклоном 18%.</t>
  </si>
  <si>
    <t>3.1.3</t>
  </si>
  <si>
    <t>В закрытом квартале выполнить две арки на высоту двух этажей.
Конструкцию арки выполнять в соответствии с
Вертикальные конструкции арки (ссылка)
Горизонтальные конструкции арки (ссылка)
Утепление конструкций арки принять согласно
Устройство штукатурного фасада (ссылка)
Арка располагается на первом этаже, в соответствии с проектом мастер плана.</t>
  </si>
  <si>
    <t>3.1.4</t>
  </si>
  <si>
    <t>Выбор типа массинга ведется в соответствии с классом коллекции, этажом размещения, конструктивными и планировочными решениями.
Основные типы массинга: 
- Нулевая линия - линия, формирующая основной объем здания (определяется контуром плиты перекрытия типового каркаса);
- Массинг Плюс - принцип работы с фасадом посредством добавления объема, выходящего за основной объем здания / нулевую линию(эркер);
- Массинг Минус - принцип работы с фасадом посредством сдвижки плоскости фасада внутрь основного объема / нулевой линии (заглубление, подрезка, лоджия, полузаглубленная лоджия, терраса).
Выполнение массинга ведется керамическим блоком 380х219(h), использовать совместно со стандартом “Внешние стены. Блок керамический”. 
Основные типоразмеры массинга принять согласно раскладке керамического блока:
- Массинг Плюс (эркер): +950 мм, +570 мм;
- Массинг Минус (заглубление): -570 мм, -950 мм, -1210 мм, -1470 мм, -1850 мм.
Размещать массинг в соответствии с принципами коллекции и концепцией архитектуры. Границы размещения определять шагом осей и высотой этажа. 
Строительные конструкции располагаются согласно выбранному типу массинга (см. графические материалы). Использовать совместно со стандартами "Устройство фасадного модуля", "Правила проектирования фасадного модуля".</t>
  </si>
  <si>
    <t>3.1.5</t>
  </si>
  <si>
    <t>Методика разработки архитектурного облика включает в себя алгоритм, который описывает систему выбора коллекций на мастер-плане
- Определение доминант и акцентов застройки, анализ значимых пространств;
- Выбор принципа градостроительного массинга, реакция на контекст;
- Деление морфотипов на фасадные темы (парцелляция);
- Назначение цветовой палитры и материальности;
- Посадка коллекций на мастер-план с учетом стадийности освоения на 1 год вперед.
Выбор коллекции на мастер-плане ведется в соответствии с классом площадки, морфотипа застройки, ключевыми принципами разнообразия и архитектурно-художественной выразительности. 
Основные способы группировки коллекций на мастер-плане (парцелляция):
- Ансамбль. Группа зданий, которые создают единое архитектурное целое и гармонично вписываются в окружающую среду. Применяется для окраин, отдаленных участков, исторических центров с принципами классической архитектуры;
- Кластер. Архитектура зданий предполагает создание комплесов или массивов зданий, которые объединяются по определенным принципам и тематике. Применяется преимущественно в индустриальных районах;
- Пространство. Целостность вдоль ключевых акцентных пространств мастер-плана (улица, бульвар, площадь, парк);
- Каждый дом отдельная коллекция;
- Каждая секция отдельный дом.
Методика архитектурного облика определяет выбор коллекций на мастер-плане, контролирует цвето-материальную гамму, работает с градостроительным массингом. 
Палитра приемов и деталей определяется согласно выбранной коллекции. Использовать совместно с текущими стандартами объемно-планировочных решений, матрицей классов.</t>
  </si>
  <si>
    <t>3.1.6</t>
  </si>
  <si>
    <t>При проектировании микромассинга, руководствоваться фасадными модулями(см.буклет коллекции)
 Толщину утеплителя смотреть таблицу Правила подбора толщины теплоизоляционного слоя (ссылка).
 Монтаж утеплителя выполнять в соответствии с технологией производителя
Микромассинг в "+" в штукатурном фасаде выполнять наложением утеплителя толщиной требуемого микромассинга на основную толщину фасадного утеплителя. 
Микромассинг в "-" выполнять утеплителем меньшей толщины относительно основной толщины фасадного утеплителя.
Микромассинг в "-" возможно выполнять только на стене из керамического блока или керамзитового блока. 
На монолитных участках микромассинг в "-" выполнять запрещено, в виде исключения допустимо на торцах пилонов.
Уменьшение основного слоя утеплителя в 20 мм допустимо только: в зоне торцов пилонов до 250 мм, в зоне кладки и в зоне четвертей окна.
Не выполнять горизонтальные участки СФТК шириной более 50 мм без дополнительной защиты в виде отлива.
Микромассинг регламентирован для всего утеплителя надземных этажей.
Толщины и размеры см. граф. материалы</t>
  </si>
  <si>
    <t>3.1.7</t>
  </si>
  <si>
    <r>
      <rPr>
        <sz val="8"/>
        <rFont val="Arial"/>
      </rPr>
      <t xml:space="preserve">При проектировании микромассинга, руководствоваться фасадными модулями(см.буклет коллекции).
 Толщину утеплителя смотреть </t>
    </r>
    <r>
      <rPr>
        <u/>
        <sz val="8"/>
        <color rgb="FF1155CC"/>
        <rFont val="Arial"/>
      </rPr>
      <t>Правила подбора толщины теплоизоляционного слоя</t>
    </r>
    <r>
      <rPr>
        <sz val="8"/>
        <rFont val="Arial"/>
      </rPr>
      <t xml:space="preserve"> 
 Монтаж утеплителя выполнять в соответствии с технологией производителя
Микромассинг в "+" и  "-"  в навесном вентилируемом фасаде выполнять с помощью подсистемы(максимальный вылет подсистемы 500 мм)
Микромассинг регламентирован для всего утеплителя надземных этажей.
Толщины и размеры см. граф. материалы</t>
    </r>
  </si>
  <si>
    <t>3.1.8</t>
  </si>
  <si>
    <t>Предусмотреть проектом места установки наружных блоков кондиционированияю
Блоки кондиционирования устанавливаются за счет средств собственников помещений.
Для первых этажей:
Установка наружных блоков на летних помещениях (террасах).
Для типовых этажей:
Установка наружных блоков на летних помещениях (балконах, лоджиях).
Для последних жилых этажей:
Установка наружных блоков на летних помещениях (балконах, лоджиях, террасах).
Количество наружных блоков принять равными количеству летних помещений.
В студиях и квартирах с одной спальней предусмотреть кондиционирование одного помещения - гостиной. В квартирах с двумя спальнями и более предусмотреть кондиционирование двух помещений - гостиной и мастер-спальни.
Подключение наружного блока кондиционера выполняется только с правой стороны внешнего блока.
При отсутствии летних помещений наружный блок кондиционера располагать в декоративной корзине, разработанной и представленной застройщиком.</t>
  </si>
  <si>
    <t>3.1.9</t>
  </si>
  <si>
    <t>Во всех коммерческих помещениях необходимо предусмотреть место для размещения блоков кондиционера в зоне над входной группой.
Установка внутренних и наружных блоков кондиционирования коммерческих помещений предусматривается силами собственника. 
Отвод дренажа внутреннего блока кондиционера предусмотреть силами собственника в систему канализации через «разрыв струи» и установкой гидрозатвора.
Места установки кондиционеров обозначить на планах в рабочей документации.
В коммерческих помещениях, которые необходимо обеспечить выносным холодом, предусмотреть нишу в фасадной части здания для конденсатора, а так же помещение для центральной холодильной установки. 
Внутреннее помещение ЦХМ выполняет собственник в зависимости от технологии и дизайна коммерции. Так же собственник прокладывает под потолком подающий и обратный фреонопроводы от конденсаторного блока. 
При нехватке места над входной группой, кроме конденсатора, возможно разместить в данной нише блоки кондиционирования.
Принципиальное решение включает в себя:
1. Типовая рама кондиционера;
2. Типовая решетка наружного блока кондиционера. Длина (L) решетки меняется в зависимости от материала отделки фасада и региона (толщина теплоизоляционного слоя). 
3. Блок кондиционера. 
При площади коммерции до 70 м² возможно применение 1 блока кондиционера, при площади коммерции более 70 м² необходимо использовать 2 блока кондиционера
Требования к организации ниши:
1. Ниша в фасаде закрывается витражной системой или вентиляционной решеткой. Витраж и решетка дожны обеспечивать доступ к элементам системы охлаждения. 
Заполнение открывающейся створки витража определяется коллекцией.
2. При проектировании решетки учитывать площадь живого сечения не ниже 60%.
3. Блок конденсатора размещать в нише, на отметке вытяжной решетки согласно фасадному решению. 
Принципиальное решение для решения с помещением ЦХМ включает в себя:
1. Конденсатор 
2. Вытяжная решетка.
3. Блок кондиционера.
4. ЦХМ - центрально холодильная машина.
Данное решение применяется к коммерческим помещениям первого этажа.
Минимальные значения для размещения оборудования даны в качестве рекомендации, точные значения устанавливает компания-поставщик. Размещать блоки согласно данному стандарту.</t>
  </si>
  <si>
    <t>3.1.10</t>
  </si>
  <si>
    <t>Кладовые помещения предусмотреть проектом АР. Все свободные зоны нижнего этажа, не используемые для нужд инженерных помещений и коммуникаций, использовать под кладовые. Доступ к кладовым обеспечить из МОП жилой части в уровне парковки. Исключить транзиты общедомовых инженерных систем через индивидуальные зоны хранения (кладовые). Не допускать расположение выпусков систем канализации в кладовых.
Кладовые выполнять в соответствии со стандартами:
Размерность и модули кладовых (ссылка)
Стандарт отделки кладовых (ссылка)
Пироги пола нижнего этажа (ссылка)
Дверные проемы нижнего этажа (ссылка)
Кладовые размещать согласно зонированию нижнего этажа в зависимости от морфотипа секции.</t>
  </si>
  <si>
    <t>3.2 Зонирование</t>
  </si>
  <si>
    <t>3.2.1</t>
  </si>
  <si>
    <t>Типологию кварталов принять в соответствии с классом и морфотипами объектов.</t>
  </si>
  <si>
    <t>3.2.2</t>
  </si>
  <si>
    <r>
      <rPr>
        <sz val="8"/>
        <rFont val="Arial"/>
      </rPr>
      <t xml:space="preserve">Проектом предусмотреть зоны инженерно технических помещений. Жилые помещения не могут располагаться над инженерно техническими помещениями. 
При проектировании инженерно технических помещений руководствоваться следующими стандартами: </t>
    </r>
    <r>
      <rPr>
        <u/>
        <sz val="8"/>
        <color rgb="FF1155CC"/>
        <rFont val="Arial"/>
      </rPr>
      <t>Размещение технических помещений кварталов нижнего этажа</t>
    </r>
    <r>
      <rPr>
        <sz val="8"/>
        <rFont val="Arial"/>
      </rPr>
      <t xml:space="preserve"> 
В помещениях ИТП и насосной предусмотреть приямки.
Инженерно технические помещения размещать на нижнем этаже согласно зонированию нижнего этажа. Помещение ИТП располагать на расстоянии не более 12м от выхода на лестничную клетку. 
Наполнение планировками инженерно технических помещений согласовать с заказчиком</t>
    </r>
  </si>
  <si>
    <t>3.2.3</t>
  </si>
  <si>
    <t>При проектировании зоны ЛЛУ учесть общие требования
При проектировании секции до 28 м использовать:
Для прямых в плане секций EW, NS:
- с межквартирным коридором длиной до 12м - Л1 (тип лестничной клетки), 
- с межквартирным коридором длиной более 12м - Л1 (тип лестничной клетки) с дымоудалением МОП и компенсацией дымоудаления,
- при отсутствии аварийных выходов выше 15 м - Н3 (тип лестничной клетки). Соблюдать нормативные ограничения по расстоянию от оконного проема ЛК типа Н3.
Для угловых в плане секций CN, CS:
- с межквартирным коридором длиной до 12м - Л1 (тип лестничной клетки),
- с межквартирным коридором длиной более 12м - Л1 (тип лестничной клетки)с дымоудалением МОП и компенсацией дымоудаления, 
- с прямым внутренним углом (со стороны дворового фасада) - Н2 (тип лестничной клетки). Предусмотреть противопожарные окна в ЛК типа Н2.
- при отсутствии аварийных выходов выше 15 м - Н3 (тип лестничной клетки). Соблюдать нормативные ограничения по расстоянию от оконного проема ЛК типа Н3.
Зону ЛЛУ располагать согласно зонированию этажа. При проектировании Л1 с межквартирным коридором более 12 м, компенсацию и дымоудаление располагать в межквартирном коридоре.
Конкретные размеры и привязки зон см. графические материалы</t>
  </si>
  <si>
    <t>3.2.4</t>
  </si>
  <si>
    <t>При проектировании зоны ЛЛУ учесть общие требования
При проектировании секции более 28 м и менее 50 м использовать:
Для прямых в плане секций EW, NS - Н3 (тип лестничной клетки). Соблюдать нормативные ограничения по расстоянию от оконного проема ЛК типа Н3.
Для угловых в плане секций CN, CS:
- Н3 (тип лестничной клетки). Соблюдать нормативные ограничения по расстоянию от оконного проема ЛК типа Н3.
- с прямым внутренним углом (со стороны дворового фасада) - Н2+Н3 (тип лестничной клетки). Предусмотреть противопожарные окна в ЛК.
Зону ЛЛУ располагать согласно зонированию этажа. Компенсацию и дымоудаление располагать в межквартирном коридоре 
Конкретные размеры и привязки зон см. графические материалы</t>
  </si>
  <si>
    <t>3.2.5</t>
  </si>
  <si>
    <t>Проектом предусматривать технический чердак.
Проектирование технического чердака вести согласно стандарту каркаса в зависимости от морфотипа секции.
Технический чердак располагать на верхнем этаже. Если смежные секции одной высоты, технический чердак секций примкнуть друг к другу; 
если смежные секции разных высот, для вышележащей секции выполнить отступ верхнего этажа от внешнего контура фасада не менее чем на 1300 мм. 
Привязки и размеры см. графические материалы</t>
  </si>
  <si>
    <t>3.2.6</t>
  </si>
  <si>
    <t>Надстройки выполнять в соответствии с квартирографией проекта и стандартом массинга
Стандарт массинга (ссылка)
У каждой надстройки предусмотреть прямой доступ на приватную террасу на эксплуатируемой кровле.
Террасы смежных надстроек разграничивать дивайдерами согласно стандарту
Дивайдеры (ссылка)
Жилые надстройки располагать на эксплуатируемой кровле. Проектом могут быть предусмотрены варианты раздельного и слитного размещения жилых надстроек в соответствии с стандартом
Зонирование верхнего этажа и кровли с жилыми надстройками в секциях до 28 метров класс С (ссылка)
Для морфотипов выше 28 метров или проектов класса В и А варианты размещения жилых надстроек принять по аналогии. 
Глубина жилой надстройки определяется, исходя из максимальной подрезки секции. Минимальное заглубление жилой надстройки относительно нижележащего этажа - 1210 мм.
Минимальная длина (габарит вдоль фасада) жилой надстройки - два шага. Не применять жилую надстройку в один шаг.
Минимальная площадь жилой надстройки - 20 м²
Габариты и привязки жилых надстроек в секциях до 28 метров принять согласно
Типоразмеры жилых надстроек в секциях до 28 метров (ссылка)</t>
  </si>
  <si>
    <t>3.2.7</t>
  </si>
  <si>
    <t>Этапы проектирования коммерческих помещений 
- Функциональное назначение и размещение коммерческих помещений определяется на этапе мастер плана
- Конфигурация и площадь коммерческих помещений с назначенной функцией согласуется на этапе архпрограммы
Назначение коммерческих помещений на этапе мастер-плана выполняется согласно стандарта "Стандартизация программирования, проектирования и реализации коммерческой инфраструктуры" (ссылка)
Нарезка коммерческих помещений свободного назначения определяется в соответсвии с Библиотекой типовых кварталов согласно правилам размещения Коммерческих помещений в квартале (ссылка)
- Минимальная ширина коммерческого помещения принимается не менее одного конструктивного шага
Инженерные нагрузки в Коммерческих помещениях назначать в соответсвии с правилом:
- Инженерные нагрузки в помещениях с назначенной функцией принимать согласно ТЗ заказчика
- Инженерные нагрузки в помещениях свободного назначения принимать согласно стандартов:
"Система электроснабжения Коммерческие помещения" (ссылка)
"Система отопления Коммерческие помещения" (ссылка)
"Общеобменная вентиляция Коммерческие помещения" (ссылка)
"Кондиционирование Коммерческих помещений до 120 м²" (ссылка)
"Кондиционирование Коммерческих помещений свыше 120 м²" (ссылка)
Нарезка, назначение и инженерные нагрузки коммерческих помещений согласуется с Заказчиком (группа Инфраструктуры площадки, группа продаж и брокериджа социальной и коммерческой недвижимости).</t>
  </si>
  <si>
    <t>3.2.8</t>
  </si>
  <si>
    <r>
      <rPr>
        <sz val="8"/>
        <rFont val="Arial"/>
      </rPr>
      <t xml:space="preserve">Зонирование выполнять стандартными модулями паркинга, при необходимости использовать нестандартные "доборные" модули. Модули зонирования кратны шагам несущих конструкций. Вариативность сборки модулей осуществлять кратно конструктивным шагам. Места хранения предусмотрены в габаритах машино-места. В местах для хранения нельзя хранить ЛВЖ, ГЖ, авторезину, горючие вещества и материалы, а также негорючие вещества в сгораемой упаковке.
Предусмотреть наличие одной въездной рампа в 1 уровень с основным уклоном 18% и вспомогательными 10% и 13% согласно:
</t>
    </r>
    <r>
      <rPr>
        <u/>
        <sz val="8"/>
        <color rgb="FF1155CC"/>
        <rFont val="Arial"/>
      </rPr>
      <t>Рампа для одноуровневого подземного паркинга без возможности въезда грузовой машины</t>
    </r>
    <r>
      <rPr>
        <sz val="8"/>
        <rFont val="Arial"/>
      </rPr>
      <t xml:space="preserve"> 
</t>
    </r>
    <r>
      <rPr>
        <u/>
        <sz val="8"/>
        <color rgb="FF1155CC"/>
        <rFont val="Arial"/>
      </rPr>
      <t>Рампа для одноуровневого подземного паркинга с возможностью въезда грузовой машины</t>
    </r>
    <r>
      <rPr>
        <sz val="8"/>
        <rFont val="Arial"/>
      </rPr>
      <t xml:space="preserve"> 
Деформационный шов предусмотреть и выполнить согласно стандарту
</t>
    </r>
    <r>
      <rPr>
        <u/>
        <sz val="8"/>
        <color rgb="FF1155CC"/>
        <rFont val="Arial"/>
      </rPr>
      <t>Деформационный шов паркинга</t>
    </r>
    <r>
      <rPr>
        <sz val="8"/>
        <rFont val="Arial"/>
      </rPr>
      <t xml:space="preserve"> 
Модули выбирать согласно графическим материалам.
Паркинг расположен внутри закрытых кварталов.
Привязки и размеры модулей см. граф. материалы</t>
    </r>
  </si>
  <si>
    <t>3.2.9</t>
  </si>
  <si>
    <t>Количество приямков и размеры принимать согласно правилу минимальный объем приямков 2м³ на один пожарный отсек. Приямки располагать возле помещения для поломоечных машин, приямок и лоток на въезде, дополнительные приямки в проездах. Лотки из швеллера 120х50х3 мм  выполнить по центру проезда до приямков.
Планировку паркина выполнить согласно планировочному решению паркинга в зависимости от его типологии.
Для паркингов площадью до 2000м² предусматривать розетки с шагом 40х40м для подключения поломоечных машин
Многоуровневые паркинги - на всех уровнях кроме нижнего предусматривать трапы 240х240 мм, располагать по центру проезда. Количество считать по правилу: S=0-1500 м² - 6 трапов; S=1500-2000 м² - 10 трапов; S=2000-25000 м² - 14 трапов.</t>
  </si>
  <si>
    <t>3.2.10</t>
  </si>
  <si>
    <t>Тип зонирования определять в зависимости от размещения блока инженерных помещений в квартале.
Зонирование включает в себя зоны:
Коммерческие помещения
МОП
Велосипедная
Лестничная клетка
Кладовые
Технические помещения
Зонирование нижнего этажа применимо только к нижним этажам.
Коммерческие помещения в подвале размещаются в углах квартала. Для коммерческих помещений необходимо предусматривать световой приямок.
Требования к коммерческим помещениям принять согласно
Общее коммерческие помещения (ссылка)
Требования к кладовым помещениям принять согласно:
Общие требования кладовых помещений (ссылка)
Количество кладовых принять не более 60% от количества квартир. При превышении количества кладовых пространство занять коммерческими помещениями.
Не допускать расположение выпусков систем канализации в кладовых, велосипедных и встроенных помещениях жилого дома. 
Размещение инженерных помещений принять согласно:
Инженерные помещения (площади, расположение) (ссылка)
Планировочные решения принять согласно:
Планировки нижнего этажа С28 (ссылка)</t>
  </si>
  <si>
    <t>3.2.11</t>
  </si>
  <si>
    <t>Использовать данный тип ЛЛУ при проектировании по технологии монолит.
Зонирование включает в себя зоны:
Лифтовую шахту
Лифтовой холл
Лестницу
При проектировании руководствоваться
Зона ЛЛУ для секций до 28 м (ссылка)
Зона ЛЛУ для секций более 28 м и менее 50 м (ссылка)
Зона ЛЛУ для секций более 50 м (ссылка)
Зону ЛЛУ располагать в соответствии с зонированием нижнего этажа
Расположение и конкретные привязки зон см. графические материалы</t>
  </si>
  <si>
    <t>3.2.12</t>
  </si>
  <si>
    <t>Тип зонирования определять в зависимости от размещения блока инженерных помещений в квартале.
Зонирование включает в себя зоны:
Коммерческие помещения
МОП
Велосипедная
Лестничная клетка
Кладовые
Технические помещения
Зонирование нижнего этажа применимо только к нижним этажам.
Коммерческие помещения в подвале размещаются в углах квартала. Для коммерческих помещений необходимо предусматривать световой приямок.
Требования к коммерческим помещениям принять согласно
Общее коммерческие помещения (ссылка)
Требования к кладовым помещениям принять согласно
Общие требования кладовых помещений (ссылка)
Количество кладовых принять не более 60% от количества квартир. При превышении количества кладовых пространство занять коммерческими помещениями.
Не допускать расположение выпусков систем канализации в кладовых, велосипедных и встроенных помещениях жилого дома. 
Основной блок инженерных помещений квартала размещать в подземном этаже башни, при отсутствии в квартале более высокой секции. Размещение инженерных помещений принять согласно
Инженерные помещения (площади, расположение) (ссылка)
Планировочные решения принять согласно
Планировки нижнего этажа С50 (ссылка)</t>
  </si>
  <si>
    <t>3.2.13</t>
  </si>
  <si>
    <t>Использовать данный тип ЛЛУ при проектировании по технологии монолит.
Зонирование включает в себя зоны:
Лифтовую шахту
Лифтовой холл
Лестницу
При проектировании руководствоваться
Зона ЛЛУ для секций до 28 м (ссылка)
Зона ЛЛУ для секций более 28 м (ссылка)
Зону ЛЛУ располагать в соответствии с зонированием нижнего этажа
Расположение и конкретные привязки зон см. графические материалы</t>
  </si>
  <si>
    <t>3.2.14</t>
  </si>
  <si>
    <r>
      <rPr>
        <sz val="8"/>
        <rFont val="Arial"/>
      </rPr>
      <t xml:space="preserve">Тип зонирования определять в зависимости от инсоляции и квартирографии объекта
Зонирование включает в себя зоны:
Коммерческие помещения
МОП
Колясочная
Лобби (для В и А классов)
Лестничная клетка
Жилые помещения
Зонирование первого этажа применимо только к первому этажу. Зонирование выполнить согласно правилам:
1. Жилые помещения нельзя размещать над машино-местами и техническими помещениями (в подвале).
2. В угловых секциях на углах всегда размещать коммерческие помещения.
3. Квартиры с индивидуальным входом группировать в "жилые блоки" не менее чем из 2х квартир. Фронт коммерческих помещений не разделять одиночной квартирой. "Жилой блок" не разделяется одиночным коммерческим помещением.
4. Смежно с рампой или аркой может размещаться только коммерческое помещение.
5. Квартиры с входом из МОП появляются при невозможности организовать квартире отдельный вход. Такие квартиры имеют ориентацию только во двор.
6. Арка не может располагаться над инженерными помещениями.
7. Вход в коммерческие помещения располагать через шаг от МОП и через шаг от индивидуального входа в квартиру.
Графические пояснения к правилам см. графические материалы.
Планировочное решение лобби, лестничной клетки и МОП секции принять в соответствии с стандартом
</t>
    </r>
    <r>
      <rPr>
        <u/>
        <sz val="8"/>
        <color rgb="FF1155CC"/>
        <rFont val="Arial"/>
      </rPr>
      <t>Планировочное решение МОП первого этажа С28</t>
    </r>
    <r>
      <rPr>
        <sz val="8"/>
        <rFont val="Arial"/>
      </rPr>
      <t xml:space="preserve"> </t>
    </r>
  </si>
  <si>
    <t>3.2.15</t>
  </si>
  <si>
    <t>3.2.16</t>
  </si>
  <si>
    <t>Тип зонирования определять в зависимости от инсоляции и квартирографии объекта
Зонирование включает в себя зоны:
Коммерческие помещения
МОП
Лобби (для В и А классов)
Лестничная клетка
Зонирование первого этажа применимо только к первому этажу.
Жилые помещения нельзя размещать над машино-местами и техническими помещениями (в подвале).
На внешнем углу (ориентированном на улицу) всегда размещать коммерческие помещения.
Арка не может располагаться над инженерными помещениями.
Вход в коммерческие помещения располагать через шаг от МОП.
Планировочное решение лобби, лестничной клетки и МОП секции принять в соответствии с стандартом
Планировочное решение МОП первого этажа С50 (ссылка)</t>
  </si>
  <si>
    <t>3.2.17</t>
  </si>
  <si>
    <t>Использовать данный тип ЛЛУ при проектировании по технологии монолит.
Зонирование включает в себя зоны:
Лифтовую шахту
Лифтовой холл
Лестницу
При проектировании руководствоваться
Зона ЛЛУ для секций более 50 м (ссылка)
Зону ЛЛУ располагать в соответствии с зонированием нижнего этажа
Расположение и конкретные привязки зон см. графические материалы</t>
  </si>
  <si>
    <t>3.2.18</t>
  </si>
  <si>
    <r>
      <rPr>
        <sz val="8"/>
        <rFont val="Arial"/>
      </rPr>
      <t xml:space="preserve">Тип зонирования определять в зависимости от инсоляции и квартирографии объекта.
Зонирование включает в себя зоны:
Жилые помещения
МОП
Лестничная клетка
Зонирование типового этажа применимо только к типовым этажам
В открытом торце секции должны размещаться 2 квартиры.
При повороте квартала ~ 45° и ухудшении инсоляции до 1,5 ч (в центральной зоне) или до 2 ч (в северной зоне) объединение квартир происходит по алгоритму 0С+1С = 2С.
При повороте квартала ~ 45° и улучшении инсоляции от 2 ч (в центральной зоне) или от 2,5 ч (в северной зоне) деление квартир происходит по алгоритму 3С = 2С+0С.
Действовать на основании вариантов зонирования типового этажа, укрупняя пятна квартир при необходимости.
Допускается локально вносить корректировки в случае дополнительных вариантов затенения. 
Планировочные решения квартир типового этажа принять согласно
</t>
    </r>
    <r>
      <rPr>
        <u/>
        <sz val="8"/>
        <color rgb="FF1155CC"/>
        <rFont val="Arial"/>
      </rPr>
      <t>Планировки типового этажа С28</t>
    </r>
    <r>
      <rPr>
        <sz val="8"/>
        <rFont val="Arial"/>
      </rPr>
      <t xml:space="preserve"> </t>
    </r>
  </si>
  <si>
    <t>3.2.19</t>
  </si>
  <si>
    <t>3.2.20</t>
  </si>
  <si>
    <t>Тип зонирования определять в зависимости от инсоляции и квартирографии объекта.
Зонирование включает в себя зоны:
Жилые помещения
МОП
Лестничная клетка
Зонирование типового этажа применимо только к типовым этажам
В открытом торце секции должны размещаться 2 квартиры.
При повороте квартала ~ 45° и ухудшении инсоляции до 1,5 ч (в центральной зоне) или до 2 ч (в северной зоне) объединение квартир происходит по алгоритму 0С+1С = 2С.
При повороте квартала ~ 45° и улучшении инсоляции от 2 ч (в центральной зоне) или от 2,5 ч (в северной зоне) деление квартир происходит по алгоритму 3С = 2С+0С.
Действовать на основании вариантов зонирования типового этажа, укрупняя пятна квартир при необходимости.
Допускается локально вносить корректировки в случае дополнительных вариантов затенения. 
Планировочные решения квартир типового этажа принять согласно
Планировки типового этажа С50 (ссылка)</t>
  </si>
  <si>
    <t>3.2.21</t>
  </si>
  <si>
    <t>3.2.22</t>
  </si>
  <si>
    <t>Тип зонирования определять в зависимости от инсоляции и квартирографии объекта.
Зонирование включает в себя зоны:
Жилые помещения
МОП
Лестничная клетка
Жилые надстройки
Зонирование особенного этажа применимо только к особенным этажам.
Вариант размещения жилых надстроек на кровле определяется, исходя из объемной композиции фасада квартала. Общие требования к жилым надстройкам принять согласно
Жилые надстройки (ссылка)
Действовать на основании вариантов зонирования особенного этажа, изменяя контур пятен квартир в зависимости от массинга фасада.
Допускается локально вносить корректировки в случае дополнительных вариантов затенения. 
Планировочные решения квартир особенного этажа принять согласно
Планировки особенного этажа С28 (ссылка)
Габариты и привязки жилых надстроек в секциях до 28 метров принять согласно
Типоразмеры жилых надстроек в секциях до 28 метров (ссылка)</t>
  </si>
  <si>
    <t>3.2.23</t>
  </si>
  <si>
    <t>3.2.24</t>
  </si>
  <si>
    <t>Тип зонирования определять в зависимости от инсоляции и квартирографии объекта.
Зонирование включает в себя зоны:
Жилые помещения
МОП
Лестничная клетка
Жилые надстройки
Зонирование особенного этажа применимо только к особенным этажам.
Вариант размещения жилых надстроек на кровле определяется, исходя из объемной композиции фасада квартала. Общие требования к жилым надстройкам принять согласно
Жилые надстройки (ссылка)
Действовать на основании вариантов зонирования особенного этажа, изменяя контур пятен квартир в зависимости от массинга фасада.
Допускается локально вносить корректировки в случае дополнительных вариантов затенения. 
Планировочные решения квартир особенного этажа принять согласно
Планировки особенного этажа С50 (ссылка)</t>
  </si>
  <si>
    <t>3.2.25</t>
  </si>
  <si>
    <t>3.2.26</t>
  </si>
  <si>
    <t>Тип зонирования определять в зависимости от квартирографии объекта и типа ЛК.
Зонирование включает в себя зоны:
Техническое пространство
Венткамеры
Лестничная клетка
Жилые надстройки (согласно концепции Планировок)
Зонирование верхнего этажа применимо только к верхнему этажу.
Вариант размещения жилых надстроек на кровле определяется, исходя из объемной композиции фасада квартала. Общие требования к жилым надстройкам принять согласно
Жилые надстройки (ссылка)
Габариты и привязки жилых надстроек в секциях до 28 метров принять согласно
Типоразмеры жилых надстроек в секциях до 28 метров (ссылка)</t>
  </si>
  <si>
    <t>3.2.27</t>
  </si>
  <si>
    <t>Тип зонирования определять в зависимости от квартирографии объекта.
Зонирование включает в себя зоны:
Техническое пространство
Венткамеры
Лестничная клетка
Жилые надстройки (согласно концепции Планировок)
Зонирование верхнего этажа применимо только к верхнему этажу.
Вариант размещения жилых надстроек на кровле определяется, исходя из объемной композиции фасада квартала. Общие требования к жилым надстройкам принять согласно:
Жилые надстройки (ссылка)
Габариты и привязки жилых надстроек в секциях до 50 метров принять согласно:
Типоразмеры жилых надстроек в секциях до 50 метров (ссылка)</t>
  </si>
  <si>
    <t>3.3 Планировочные решения</t>
  </si>
  <si>
    <t>3.3.1</t>
  </si>
  <si>
    <t>Кладовые размещаются на нижнем уровне в границах секций.
Высоту этажа принять согласно стандартам высот этажей жилой части в зависимости от типа паркинга.
В блоках кладовых до 6 штук организовать 1 выход, более 6 штук - организовать 2 выхода.
Кладовые выполнить из керамического блока или металла. Размер кладовых зависит от класса, увеличивается только внешний блок кладовок. Эталон коэффициента кладовок - не более 60% от количества квартир.</t>
  </si>
  <si>
    <t>3.3.2</t>
  </si>
  <si>
    <t>Лобби обозначить в планах АР.
Наполнение лобби принять в соответствии с Коллекцией интерьеров.
Помещение колясочной располагать на первом этаже, в соответствии с зонированием первого этажа и планировочными решениями МОП первого этажа.
Конкретные привязки лобби см. граф материалы</t>
  </si>
  <si>
    <t>3.3.3</t>
  </si>
  <si>
    <t>Колясочные обозначить в планах АР.
Наполнение колясочной согласовать с заказчиком.
Помещение колясочной располагать на первом этаже, в соответствии с зонированием первого этажа и планировочными решениями МОП первого этажа.
Конкретные привязки колясочной см. граф материалы.</t>
  </si>
  <si>
    <t>3.3.4</t>
  </si>
  <si>
    <t>Велосипедные обозначить в планах АР
Наполнение велосипедной согласовать с заказчиком
Помещение велосипедной располагать на нижнем этаже, в соответствии с зонированием нижнего этажа
Конкретные привязки велосипедной см. граф материалы</t>
  </si>
  <si>
    <t>3.3.5</t>
  </si>
  <si>
    <t>Коммерческие помещения располагать согласно зонированию, предусматривать максимальное использование всей площади первого этажа
Коммерческие помещения проектировать согласно их типологии S,M,L,XL (см граф материалы)
Коммерческие помещения располагать на первом и нижнем этаже, в соответствии с зонированием первого и нижнего этажа 
Конкретные привязки велосипедной см. граф материалы</t>
  </si>
  <si>
    <t>3.3.6</t>
  </si>
  <si>
    <t>При проектировании Соседского центра функциональное зонирование выполнять согласно стандарту соседских центров (ссылка)
Конфигурации помещения соседского центра на этапе Архпрограммы определяется в соответсвии с правилом:
- Общая площадь помещений 350-420 м²
- Соседский центр размещать в уровне первого этажа
- При размещении соседского центра, в уровне первого этажа предусмотреть дополнительный вход со стороны МОПа жилья
- При размещении соседского центра на нескольких этажах, не менее 50% общей площади помещений должны располагаться на первом этаже
- Допустимые площади на нижнем этаже не более 80 м²
- При размещении помещений соседских центров в уровне нижнего этажа предусмотреть наличие естественного света через световые приямки 
Требования к инженерным нагрузкам
- Система вентиляции и кондиционирования. Предусмотреть в проекте (фасадного остекления) откидные створки для проветривания. Предусмотреть приточно-вытяжную вентиляцию во всех помещениях, кроме тамбура, из расчета площади и функционального назначения помещения (при условии что нет естественного проветривания)
Кондиционер распологается во всех помещениях
- Водоснабжение и канализация. Предусмотреть точки подключения водоснабжения и водоотведения мокрых зон (С/У, нише под кухню-гостинную, в месте размещения прачечной). 
- Электроснабжение. Заложить не менее 25 кВт. Сети предусмотреть с возможностью увеличесния мощности на 50% от проектной.
- Отопление. Расчетное значение из общей площади и региона строительства
- Тепловая завеса. Предусмотреть тепловую завесу для исключения попадания холодного воздуха
- СКУД: Устанавливается на все входы (кроме помещений арендаторов (студия и танц-зал), прачечную (если есть), для контроля доступа в помещения
- Видеонаблюдение. Расчетное значение из общей площади и региона строительства (оборудование закладывать с учетом записи звука)
- Интернет. Предусмотреть сеть для посетителей и закрытую сеть для сотрудников (для работы с принтером, ноутбуками сотрудников, сервером видеонаблюдения и скуд) 
- Пожарная безопасность. Предусмотреть: прибор приёмно-контрольный, резервированный источник питания, дымовые пожарные извещатели, ручные пожарные извещатели, устройство коммутационное/релейный модуль. Оборудование укомплектовать в шкаф ПС</t>
  </si>
  <si>
    <t>3.3.7</t>
  </si>
  <si>
    <t>План офиса УК в первом доме, первой очереди строительства при площади обслуживания до 60 тыс. м²
Предусмотреть два входа - главный (для клиентов) и служебный. У служебного лестница на нижний этаж для технического персонала. При появлении дополнительных пространств - организовать дополнительные функциональные зоны. 
План офиса УК в первом доме, первой очереди строительства при площади обслуживания от 60 тыс. м²
Появляются зона работы с клиентами и гардероб. Увеличиваются зона ожидания и кабинет управляющего.
План помещения УК в первом доме, первой очереди строительства при площади обслуживания до 60 тыс. м²
На нижний этаж попадаем через служебный вход, по лестнице из офиса УК. Помещения диспетчерская, мастерская сантехника и электрика, складские помещения и блок душевых скомпоновать в одну группу помещений. Если диспетчерская на нижнем этаже - необходим приямок для естественного освещения. Помещение диспетчерской по возможности расположить рядом с помещением сетей связи или выделить отдельное помещение серверной. Сохранить возможность сквозного прохода.
План помещения УК в первом доме, первой очереди строительства при площади обслуживания от 60 тыс. м²
Увеличивается площадь помещений (складские помещения, диспетчерская, мастерская, зона отдыха). Появляется второй гардероб в связке с с/у с душевой.</t>
  </si>
  <si>
    <t>3.3.8</t>
  </si>
  <si>
    <t>Террасы располагают согласно архитектурной программе 
Терраса выполняется в ширину двух шагов с отступом по 400 мм по бокам. Глубиной в один шаг. Если терраса в одном шаге от МОПа угловой секции - появляется отступ от оси на 800 мм по глубине.
Ограждения выполнить согласно
Ограждения террас первого этажа(ссылка)
Покрытие выполнить согласно 
Пироги террас (ссылка)</t>
  </si>
  <si>
    <t>3.3.9</t>
  </si>
  <si>
    <t>Террасы располагают согласно архитектурной программе 
Террасы при жилых надстройках выполнять с трех внешних сторон. 
Террасы могут располагаться над эркерами при массинге. 
Ограждения выполнить согласно
Ограждения террас(ссылка)</t>
  </si>
  <si>
    <t>3.3.10</t>
  </si>
  <si>
    <r>
      <rPr>
        <sz val="8"/>
        <rFont val="Arial"/>
      </rPr>
      <t xml:space="preserve">Особенные квартиры:
-на 1 этаже с террасами;
-на особенном этаже, обладая уникальными характеристиками.
Типовые квартиры:
-на типовом этаже;
-на особенном этаже, не обладая уникальными характеристиками.
В планировке квартиры предусмотреть не меньше минимального набора помещений:
спальня
санузел
кухня или кухня-ниша, совмещенная со столовой (или гостиной - только для 0С)
прихожая
В квартире обеспечить нормативные требования по инсоляции помещений.
Внутриквартирные перегородки выполнять согласно стандарту
</t>
    </r>
    <r>
      <rPr>
        <u/>
        <sz val="8"/>
        <color rgb="FF1155CC"/>
        <rFont val="Arial"/>
      </rPr>
      <t>Перегородки</t>
    </r>
    <r>
      <rPr>
        <sz val="8"/>
        <rFont val="Arial"/>
      </rPr>
      <t xml:space="preserve"> 
Строительные проемы для межкомнатных дверей принять
для спальни, кабинета, кухни - 900х2100 мм;
для гардероба, санузла, постирочной - 800х2100 мм;
для гостиной, кухни-гостиной - ширина не менее 1000 мм, высота до потолка.
Не допускается размещать кухню, кухню-нишу, санузел, постирочную над жилым помещением. Не допускается размещать санузел над кухней и кухней-нишей (за исключением двухуровневых квартир).
При проектировании планировки квартиры обеспечивать минимальные площадки комнат:
спальня не менее 8 м²;
кухня-ниша не менее 5 м² для квартир типа 0С и 1С
кухня-ниша не менее 6 м² для квартир типа 2С, 3С, 4С и более
кухня не менее 8 м²
Готовые планировочные решения квартир собраны в стандартах планировочных решений квартир в зависимости от морфотипа.</t>
    </r>
  </si>
  <si>
    <t>3.3.11</t>
  </si>
  <si>
    <t>Планировочные решения выполнять в соответствии с зонированием нижнего этажа. 
Внутренние стены и перегородки выполнять согласно стандарту 
Перегородки (ссылка) 
Отверстия в стенах и перегородках выполнять согласно стандарту 
Отверстия в ненесущих конструкциях (ссылка) 
Конструктивные решения принять согласно стандарту 
Каркас С28 (ссылка) 
Дверные проемы и их заполнение принять согласно стандарту 
Дверные проемы и их заполнение на нижнем этаже С28, С50, Б50 (ссылка) 
Полы принять согласно стандарту 
Пироги пола нижнего этажа (ссылка) 
Планировочные решения применимы только в нижних этажах. 
Наполнение кладовых блоков и габариты кладовок принять согласно общим требованиям кладовых помещений.</t>
  </si>
  <si>
    <t>3.3.12</t>
  </si>
  <si>
    <t>Планировочные решения выполнять в соответствии с зонированием нижнего этажа.
Внутренние стены и перегородки выполнять согласно стандарту
Перегородки (ссылка)
Отверстия в стенах и перегородках выполнять согласно стандарту
Отверстия в ненесущих конструкциях (ссылка)
Конструктивные решения принять согласно стандарту
Каркас С50 (ссылка)
Дверные проемы и их заполнение принять согласно стандарту
Дверные проемы и их заполнение на нижнем этаже С28, С50, Б50 (ссылка)
Полы принять согласно стандарту
Пироги пола нижнего этажа (ссылка)
Планировочные решения применимы только в нижних этажах.
Наполнение кладовых блоков и габариты кладовок принять согласно общим требованиям кладовых помещений.</t>
  </si>
  <si>
    <t>3.3.13</t>
  </si>
  <si>
    <t>Планировочные решения выполнять в соответствии с зонированием первого этажа.
Внутренние стены и перегородки выполнять согласно стандарту
Перегородки (ссылка)
Отверстия в стенах и перегородках выполнять согласно стандарту
Отверстия в ненесущих конструкциях (ссылка)
Конструктивные решения принять согласно стандарту
Каркас С28 (ссылка)
Дверные проемы и их заполнение принять согласно стандарту
Дверные проемы и их заполнение на первом этаже С28, С50, Б50 (ссылка)
Полы принять согласно стандарту
Пироги пола первого этажа (ссылка)
Планировочные решения применимы только на первых этажах.
Готовые решения планировок квартир первого этажа для конструктивного шага 3,45 м см. графические материалы.</t>
  </si>
  <si>
    <t>3.3.14</t>
  </si>
  <si>
    <r>
      <rPr>
        <sz val="8"/>
        <rFont val="Arial"/>
      </rPr>
      <t xml:space="preserve">Планировочное решение МОП выполнить в соответствии с зонированием первого этажа.
Строительные конструкции выбрать согласно стандарту
Планировки первого этажа С28
Планировочное решение МОП выбрать, исходя из следующих параметров:
- морфотип секции: рядовая или угловая;
- наличие/отсутствие паркинга на 1 этаже;
- наличие/отсутствие квартиры с входом из МОП;
- наличие/отсутствие примыкания арки во двор/рампы или въезда в паркинг/рампы для пожарной машины во двор.
При перепаде высот выполнить излом плиты по линии согласно графическим схемам и стандарту
</t>
    </r>
    <r>
      <rPr>
        <u/>
        <sz val="8"/>
        <color rgb="FF1155CC"/>
        <rFont val="Arial"/>
      </rPr>
      <t>Излом плит первого этажа</t>
    </r>
    <r>
      <rPr>
        <sz val="8"/>
        <rFont val="Arial"/>
      </rPr>
      <t xml:space="preserve"> 
Предусмотреть лестницу в МОП. Максимальная разница высот - 900 мм.</t>
    </r>
  </si>
  <si>
    <t>3.3.15</t>
  </si>
  <si>
    <t>Планировочные решения выполнять в соответствии с зонированием первого этажа.
Внутренние стены и перегородки выполнять согласно стандарту
Перегородки (ссылка)
Отверстия в стенах и перегородках выполнять согласно стандарту
Отверстия в ненесущих конструкциях (ссылка)
Конструктивные решения принять согласно стандарту
Каркас С50 (ссылка)
Дверные проемы и их заполнение принять согласно стандарту
Дверные проемы и их заполнение на первом этаже С28, С50, Б50 (ссылка)
Полы принять согласно стандарту
Пироги пола первого этажа (ссылка)
Планировочные решения применимы только на первых этажах.
Готовые решения планировок квартир первого этажа для конструктивного шага 3,45 м см. графические материалы.</t>
  </si>
  <si>
    <t>3.3.16</t>
  </si>
  <si>
    <r>
      <rPr>
        <sz val="8"/>
        <rFont val="Arial"/>
      </rPr>
      <t xml:space="preserve">Планировочное решение МОП выполнить в соответствии с зонированием первого этажа.
Строительные конструкции выбрать согласно стандарту
Планировки первого этажа С50
Планировочное решение МОП выбрать, исходя из наличия/отсутствия паркинга на первом этаже.
При перепаде высот выполнить излом плиты по линии согласно графическим схемам и стандарту 
</t>
    </r>
    <r>
      <rPr>
        <u/>
        <sz val="8"/>
        <color rgb="FF1155CC"/>
        <rFont val="Arial"/>
      </rPr>
      <t>Излом плит первого этажа</t>
    </r>
    <r>
      <rPr>
        <sz val="8"/>
        <rFont val="Arial"/>
      </rPr>
      <t xml:space="preserve"> 
Предусмотреть лестницу в МОП. Максимальная разница высот - 900 мм.</t>
    </r>
  </si>
  <si>
    <t>3.3.17</t>
  </si>
  <si>
    <r>
      <rPr>
        <sz val="8"/>
        <rFont val="Arial"/>
      </rPr>
      <t xml:space="preserve">Планировочные решения выполнять в соответствии с зонированием типового этажа.
Внутренние стены и перегородки выполнять согласно стандартам
</t>
    </r>
    <r>
      <rPr>
        <u/>
        <sz val="8"/>
        <color rgb="FF1155CC"/>
        <rFont val="Arial"/>
      </rPr>
      <t>Внутренние стены. Блок керамический</t>
    </r>
    <r>
      <rPr>
        <sz val="8"/>
        <rFont val="Arial"/>
      </rPr>
      <t xml:space="preserve"> , </t>
    </r>
    <r>
      <rPr>
        <u/>
        <sz val="8"/>
        <color rgb="FF1155CC"/>
        <rFont val="Arial"/>
      </rPr>
      <t>Перегородки</t>
    </r>
    <r>
      <rPr>
        <sz val="8"/>
        <rFont val="Arial"/>
      </rPr>
      <t xml:space="preserve"> , </t>
    </r>
    <r>
      <rPr>
        <u/>
        <sz val="8"/>
        <color rgb="FF1155CC"/>
        <rFont val="Arial"/>
      </rPr>
      <t>Внутренняя отделка</t>
    </r>
    <r>
      <rPr>
        <sz val="8"/>
        <rFont val="Arial"/>
      </rPr>
      <t xml:space="preserve"> 
Отверстия в стенах и перегородках выполнять согласно стандарту
</t>
    </r>
    <r>
      <rPr>
        <u/>
        <sz val="8"/>
        <color rgb="FF1155CC"/>
        <rFont val="Arial"/>
      </rPr>
      <t>Отверстия в не несущих конструкциях</t>
    </r>
    <r>
      <rPr>
        <sz val="8"/>
        <rFont val="Arial"/>
      </rPr>
      <t xml:space="preserve"> 
Конструктивные решения принять согласно стандарту
</t>
    </r>
    <r>
      <rPr>
        <u/>
        <sz val="8"/>
        <color rgb="FF1155CC"/>
        <rFont val="Arial"/>
      </rPr>
      <t>Каркас монолитный секция до 28 метров</t>
    </r>
    <r>
      <rPr>
        <sz val="8"/>
        <rFont val="Arial"/>
      </rPr>
      <t xml:space="preserve"> 
Дверные проемы и их заполнение принять согласно стандарту
</t>
    </r>
    <r>
      <rPr>
        <u/>
        <sz val="8"/>
        <color rgb="FF1155CC"/>
        <rFont val="Arial"/>
      </rPr>
      <t>Дверные проемы и их заполнение на типовом этаже С28, С50, Б50</t>
    </r>
    <r>
      <rPr>
        <sz val="8"/>
        <rFont val="Arial"/>
      </rPr>
      <t xml:space="preserve"> 
Полы принять согласно стандарту
</t>
    </r>
    <r>
      <rPr>
        <u/>
        <sz val="8"/>
        <color rgb="FF1155CC"/>
        <rFont val="Arial"/>
      </rPr>
      <t>Пироги пола типового этажа</t>
    </r>
    <r>
      <rPr>
        <sz val="8"/>
        <rFont val="Arial"/>
      </rPr>
      <t xml:space="preserve"> 
Планировочные решения типового этажа применимы только к типовым этажам.
Готовые решения планировок квартир типового этажа для конструктивного шага 3,45 м см. графические материалы.</t>
    </r>
  </si>
  <si>
    <t>3.3.18</t>
  </si>
  <si>
    <t>Планировочные решения выполнять в соответствии с зонированием типового этажа.
Внутренние стены и перегородки выполнять согласно стандарту
Перегородки (ссылка)
Отверстия в стенах и перегородках выполнять согласно стандарту
Отверстия в ненесущих конструкциях (ссылка)
Конструктивные решения принять согласно стандарту
Каркас С50 (ссылка)
Дверные проемы и их заполнение принять согласно стандарту
Дверные проемы и их заполнение на типовом этаже С28, С50, Б50 (ссылка)
Полы принять согласно стандарту
Пироги пола типового этажа (ссылка)
Планировочные решения типового этажа применимы только к типовым этажам.
Готовые решения планировок квартир типового этажа для конструктивного шага 3,45 м см. графические материалы.</t>
  </si>
  <si>
    <t>3.3.19</t>
  </si>
  <si>
    <r>
      <rPr>
        <sz val="8"/>
        <rFont val="Arial"/>
      </rPr>
      <t xml:space="preserve">Планировочные решения выполнять в соответствии с зонированием особенного этажа.
Внутренние стены и перегородки выполнять согласно стандарту
</t>
    </r>
    <r>
      <rPr>
        <u/>
        <sz val="8"/>
        <color rgb="FF1155CC"/>
        <rFont val="Arial"/>
      </rPr>
      <t>Перегородки</t>
    </r>
    <r>
      <rPr>
        <sz val="8"/>
        <rFont val="Arial"/>
      </rPr>
      <t xml:space="preserve"> 
Отверстия в стенах и перегородках выполнять согласно стандарту
</t>
    </r>
    <r>
      <rPr>
        <u/>
        <sz val="8"/>
        <color rgb="FF1155CC"/>
        <rFont val="Arial"/>
      </rPr>
      <t>Отверстия в не несущих конструкциях</t>
    </r>
    <r>
      <rPr>
        <sz val="8"/>
        <rFont val="Arial"/>
      </rPr>
      <t xml:space="preserve"> 
Конструктивные решения принять согласно стандарту
</t>
    </r>
    <r>
      <rPr>
        <u/>
        <sz val="8"/>
        <color rgb="FF1155CC"/>
        <rFont val="Arial"/>
      </rPr>
      <t>Каркас монолитный секция до 28 метров</t>
    </r>
    <r>
      <rPr>
        <sz val="8"/>
        <rFont val="Arial"/>
      </rPr>
      <t xml:space="preserve"> 
Дверные проемы и их заполнение принять согласно стандарту
</t>
    </r>
    <r>
      <rPr>
        <u/>
        <sz val="8"/>
        <color rgb="FF1155CC"/>
        <rFont val="Arial"/>
      </rPr>
      <t>Дверные проемы и их заполнение на особенном этаже С28, С50, Б50</t>
    </r>
    <r>
      <rPr>
        <sz val="8"/>
        <rFont val="Arial"/>
      </rPr>
      <t xml:space="preserve"> 
Полы принять согласно стандарту
</t>
    </r>
    <r>
      <rPr>
        <u/>
        <sz val="8"/>
        <color rgb="FF1155CC"/>
        <rFont val="Arial"/>
      </rPr>
      <t>Пироги пола особенного этажа</t>
    </r>
    <r>
      <rPr>
        <sz val="8"/>
        <rFont val="Arial"/>
      </rPr>
      <t xml:space="preserve"> 
Планировочные решения особенного этажа применимы только к особенным этажам.
Планировки и правила квартир особенного этажа для конструктивного шага 3,45 м см. графические материалы.</t>
    </r>
  </si>
  <si>
    <t>3.3.20</t>
  </si>
  <si>
    <r>
      <rPr>
        <sz val="8"/>
        <rFont val="Arial"/>
      </rPr>
      <t xml:space="preserve">Планировочные решения выполнять в соответствии с зонированием особенного этажа.
Внутренние стены и перегородки выполнять согласно стандарту
</t>
    </r>
    <r>
      <rPr>
        <u/>
        <sz val="8"/>
        <color rgb="FF1155CC"/>
        <rFont val="Arial"/>
      </rPr>
      <t>Перегородки</t>
    </r>
    <r>
      <rPr>
        <sz val="8"/>
        <rFont val="Arial"/>
      </rPr>
      <t xml:space="preserve"> 
Отверстия в стенах и перегородках выполнять согласно стандарту
</t>
    </r>
    <r>
      <rPr>
        <u/>
        <sz val="8"/>
        <color rgb="FF1155CC"/>
        <rFont val="Arial"/>
      </rPr>
      <t>Отверстия в не несущих конструкциях</t>
    </r>
    <r>
      <rPr>
        <sz val="8"/>
        <rFont val="Arial"/>
      </rPr>
      <t xml:space="preserve"> 
Конструктивные решения принять согласно стандарту
</t>
    </r>
    <r>
      <rPr>
        <u/>
        <sz val="8"/>
        <color rgb="FF1155CC"/>
        <rFont val="Arial"/>
      </rPr>
      <t>Каркас монолитный секция до 50 метров</t>
    </r>
    <r>
      <rPr>
        <sz val="8"/>
        <rFont val="Arial"/>
      </rPr>
      <t xml:space="preserve"> 
Дверные проемы и их заполнение принять согласно стандарту
</t>
    </r>
    <r>
      <rPr>
        <u/>
        <sz val="8"/>
        <color rgb="FF1155CC"/>
        <rFont val="Arial"/>
      </rPr>
      <t>Дверные проемы и их заполнение на особенном этаже С28, С50, Б50</t>
    </r>
    <r>
      <rPr>
        <sz val="8"/>
        <rFont val="Arial"/>
      </rPr>
      <t xml:space="preserve"> 
Полы принять согласно стандарту
</t>
    </r>
    <r>
      <rPr>
        <u/>
        <sz val="8"/>
        <color rgb="FF1155CC"/>
        <rFont val="Arial"/>
      </rPr>
      <t>Пироги пола особенного этажа</t>
    </r>
    <r>
      <rPr>
        <sz val="8"/>
        <rFont val="Arial"/>
      </rPr>
      <t xml:space="preserve"> 
Планировочные решения особенного этажа применимы только к особенным этажам.
Планировки и правила квартир особенного этажа для конструктивного шага 3,45 м см. графические материалы.</t>
    </r>
  </si>
  <si>
    <t>3.3.21</t>
  </si>
  <si>
    <t>Жилые надстройки проектировать согласно общим требованиям Жилые надстройки (ссылка).
Жилые помещения отделяются от технического пространства перегородками из керамического блока толщиной 250 мм. В графических материалах показаны варианты раздельного и слитного размещения жилых надстроек. Выбор производить, исходя из коллекционных решений фасада и планировочных решений жилого этажа ниже.
Жилые надстройки размещаются в уровне верхнего этажа.
Минимальные и максимальные габариты жилых надстроек в зависимости от каркаса секции см. графические материалы. Минимальная длина (габарит вдоль фасада) жилой надстройки - два шага. Не применять жилую надстройку в один шаг. Глубина жилой надстройки определяется, исходя из максимальной подрезки секции. Минимальное заглубление жилой надстройки относительно нижележащего этажа - 1210 мм.</t>
  </si>
  <si>
    <t>3.3.22</t>
  </si>
  <si>
    <t>Планировочные решения выполнять в соответствии с зонированием верхнего этажа.
Внутренние стены и перегородки выполнять согласно стандарту
Перегородки (ссылка)
Отверстия в стенах и перегородках выполнять согласно стандарту
Отверстия в ненесущих конструкциях (ссылка)
Конструктивные решения принять согласно стандарту
Каркас С28 (ссылка)
Дверные проемы и их заполнение принять согласно стандарту
Дверные проемы и их заполнение на первом этаже С28, С50, Б50 (ссылка)
Полы принять согласно стандарту
Пироги пола верхнего этажа (ссылка)
Планировочные решения применимы только на верхнем этаже.
Планировки и правила квартир с жилыми надстройками для конструктивного шага 3,45 м см. графические материалы.</t>
  </si>
  <si>
    <t>3.3.23</t>
  </si>
  <si>
    <t>Планировочные решения выполнять в соответствии с зонированием верхнего этажа.
Внутренние стены и перегородки выполнять согласно стандарту
Перегородки (ссылка)
Отверстия в стенах и перегородках выполнять согласно стандарту
Отверстия в ненесущих конструкциях (ссылка)
Конструктивные решения принять согласно стандарту
Каркас С50 (ссылка)
Дверные проемы и их заполнение принять согласно стандарту
Дверные проемы и их заполнение на первом этаже С28, С50, Б50 (ссылка)
Полы принять согласно стандарту
Пироги пола верхнего этажа (ссылка)
Планировочные решения применимы только на верхнем этаже.
Планировки и правила квартир с жилыми надстройками для конструктивного шага 3,45 м см. графические материалы.</t>
  </si>
  <si>
    <t>3.3.24</t>
  </si>
  <si>
    <t>Планировочные решения стандартного одноуровневого подземного паркинга без возможности въезда грузовой машины</t>
  </si>
  <si>
    <t>Стандартный одноуровневый подземный паркинг без возможности въезда грузовой машины размещается в типовых кварталах без башен. Выполнять совместно с Общие требования для стандартного одноуровневого подземного паркинга (ссылка).
Планировка паркинга включает в себя:
Машино-места
Кладовые хранения багажа
Въездную рампу
Проезды
Каркас паркинга выполнить согласно
Каркас паркинга квартального (ссылка)
Водоприемные лотки выполнить согласно
Водоприемные лотки в паркинге (ссылка)
Утепление паркинга выполнить согласно
Устройство штукатурного фасада (ссылка)
Въездную рампу в проекте разместить на первом этаже в соответствии с проектом мастер-плана и матрицей кварталов.
Машино-места располагать согласно планировке, предусматривать максимальное использование всей площади этажа. Кладовые хранения багажа размещать за машино-местом.
Ширина проездов - 5м. Размер машиноместа применять 5,3 х 2,5 м. Эталон коэффициента паркинга - 25,0</t>
  </si>
  <si>
    <t>3.4 Заполнение каркаса</t>
  </si>
  <si>
    <t>3.4.1</t>
  </si>
  <si>
    <t>Фасадные модули выбираются согласно коллекции архитектуры.
Выбор фасадного модуля для конкретного местоположения в структуре здания осуществляется в зависимости от функционального назначения помещения (определяется концепцией архитектуры и принципами коллекции).
Основные типы модулей:
М - базовый модуль с окном;
МЛ - базовый модуль с летним помещением;
МП - модуль МОП с окном (Модуль ЛЛУ);
МП - модуль МОП (для первого этажа);
МР - модуль ритейла (коммерческих помещений первого этажа);
МК - модуль квартиры (для первого этажа);
ММ - мультимодули;
МД - дополнительные модули.
Фасадные модули использовать на надземных этажах. Располагать модули согласно поэтажной стратегии в соответствии с "Правилами проектирования модуля":
ЭП - располагать модуль на первом этаже;
ЭТ - располагать модуль на типовом этаже;
ЭТ2 - располагать модуль на 2 этаже (или над ритейлом);
ЭВ - располагать модуль на особенном верхнем этаже;
ЭК - располагать модуль на уровне кровли.
Границы расположения фасадного модуля определяются шагом осей и высотой этажа (допускается увеличение размера модуля кратно шагу осей / высоте этажа). Разработка модулей и их наименование ведется согласно “Правилам проектирования модуля” в соответствии со “Стандартом массинга”.</t>
  </si>
  <si>
    <t>3.4.2</t>
  </si>
  <si>
    <t>Модуль – это совокупность строительных конструкций в границах соседних осей и соседних перекрытий (3,45х3; 3,45х4,2 и т.д.), объединенных в группу. Группа модели называется в соответствии с размерами модуля и набором его строительных конструкций.
Выбор строительных конструкций при разработке модуля определяется согласно коллекции архитектуры. 
Строительные конструкции, входящие в состав фасадного модуля:
- Стены (не включать в модуль пилоны и монолитные железобетонные стены, которые входят в общую конструктивную схему здания);
- Перекрытия (не включать в модуль монолитное железобетонное перектытие, которое входит в общую конструктивную схему здания);
- Оконные конструкции;
- Витражи;
- Остекление ЛП;
- Ограждения;
- Отливы;
- Префабрицированные элементы: префабрицированные балконы, префабрицированные панели, префабрицированные отливы;
- Декоративные элементы: русты, нащельники, шпросы;
- Инженерное оборудование: КИВы, радиаторы;
- Корзины кондиционеров.
Фасадные модули размещать по наружному контуру здания согласно концепции архитектуры.
Размещение строительных конструкций и пошаговую инструкцию разработки модуля см. графические материалы.</t>
  </si>
  <si>
    <t>3.4.3</t>
  </si>
  <si>
    <t>Подбор утеплителя выполнять в соответствии с характеристиками данной таблицы см. графические материалы
Монтаж утеплителя выполнять в соответствии с технологией производителя.</t>
  </si>
  <si>
    <t>3.4.4</t>
  </si>
  <si>
    <r>
      <rPr>
        <sz val="8"/>
        <rFont val="Arial"/>
      </rPr>
      <t xml:space="preserve">При проектировании тамбура руководствоваться данным стандартом.
Глубину тамбура со стороны улицы принять 1540 мм от внутренней плоскости кладки керамического блока до плоскости остекления второй ветки витража 
Глубину тамбура со стороны двора принять 2650 мм от внутренней плоскости кладки керамического блока до плоскости остекления второй ветки витража
Принять типовой проем под входной витраж - 2420 мм 
Отметку чистого пола в МОПе и тамбуре принять +0.000
 Отметка благоустройства по периметру здания принять -0.015
Отметку потолка в тамбуре принять не выше +3.520
Отметку потолка в МОПе принять не выше +3.370
( минимальный размер подшивки потолка - 350 мм)
см. графические материалы:
Расположение входной группы МОП. Заглубленный в фасад(ссылка)
Расположение входной группы МОП. В подрезке(ссылка)
Утепление тамбура :
- по стенам применять минераловатный утеплитель плотностью не менее 110 кг/ м³ в зависимости от региона 
-по потолку принять минераловатный утеплитель плотностью не менее 110 кг/ в два слоя по 100 мм (общая толщина 200 мм)
см. таблицу </t>
    </r>
    <r>
      <rPr>
        <u/>
        <sz val="8"/>
        <color rgb="FF1155CC"/>
        <rFont val="Arial"/>
      </rPr>
      <t>Правила подбора толщины теплоизоляционного слоя</t>
    </r>
    <r>
      <rPr>
        <sz val="8"/>
        <rFont val="Arial"/>
      </rPr>
      <t xml:space="preserve"> 
</t>
    </r>
    <r>
      <rPr>
        <u/>
        <sz val="8"/>
        <color rgb="FF1155CC"/>
        <rFont val="Arial"/>
      </rPr>
      <t>Система грязезащиты. Первая ступень. Планировочные решения</t>
    </r>
    <r>
      <rPr>
        <sz val="8"/>
        <rFont val="Arial"/>
      </rPr>
      <t xml:space="preserve"> </t>
    </r>
  </si>
  <si>
    <t>3.4.5</t>
  </si>
  <si>
    <t>При проектировании цоколя, руководствоваться данным стандартом и альбомом узлов АР.ОБ-У
В цокольной части применять в зависимости от коллекции и концепции архитектуры необходимые варианты отделочных материалов:
1.Штукатурный фасад:
-в цокольной части покрывается гидрофобизирующим составом (поверх декоративного слоя) на высоту 300 мм, либо используется специальная цокольная фасадная штукатурка.
-на высоту до 2,5-3,0 м выполняется в антивандальном исполнении: два слоя сетка
2.НВФ клинкерный кирпич
3.СФБ-панели / Префабрицированные панели
4.Керамогранит на подсистеме
При проектировании цоколя необходимо защитить монолитую железобетонную часть вертикальной наплавляемой гидроизоляцией в 2 слоя:
-Технониколь Техноэласт ЭПП по огрунтовке праймером битумным завести выше уровня чистого пола на высоту не менее 300 мм
Защитить цоколь от теплопотерей с помощью экструдированного пенополистирола на монтажном клей-пене без механического крепления к стене
Утепление выполнять на глубину сезонного промерзания для ЕКБ/ТМН/НСК/СРГ толщиной 150 мм для коммерческих помещений и подсобных помещений жилья, толщиной 100 мм для остальных помещений, для МСК для всех помещений толщиной 100 мм. Утепление ниже глубины промерзания выполнять толщиной 50 мм. При наличии шпунтового ограждения утепление выполняется на всю глубину равной толщины.
Выполнить защиту экструдированного пенополистирола с помощью профилированной мембраны,крепить к экструдированному пенополистиролу дюбелем винтовым с тарельчатым держателем.
При отсутствие дренажной системы применять Технониколь PLANTER Standart 
При наличии дренажной системы -PLANTER Geo
Устройство цоколя регламентировано для всех этажей,которые соприкасаются непосредственно с благоустройством</t>
  </si>
  <si>
    <t>3.4.6</t>
  </si>
  <si>
    <r>
      <rPr>
        <sz val="8"/>
        <rFont val="Arial"/>
      </rPr>
      <t xml:space="preserve">Система фасадная теплоизоляционная композиционная (СФТК). Выбор данной системы обусловлен коллекцией, не должен противоречить проценту СФТК, указанному в матрице классов. 
Состав системы СФТК: 
- минераловатный утеплитель по региону
- базовый штукатурный состав
- 1 слой армирующей сетки
- декоративно-защитный состав
- окрасочный слой
В качестве теплоизоляционного слоя применять однослойные плиты из минеральной (каменной) ваты на синтетическом связующем.
Толщина утеплителя:
- Основная плоскость СФТК смотреть толщину в таблице </t>
    </r>
    <r>
      <rPr>
        <u/>
        <sz val="8"/>
        <color rgb="FF1155CC"/>
        <rFont val="Arial"/>
      </rPr>
      <t>Правила подбора толщины теплоизоляционного слоя</t>
    </r>
    <r>
      <rPr>
        <sz val="8"/>
        <rFont val="Arial"/>
      </rPr>
      <t xml:space="preserve"> </t>
    </r>
  </si>
  <si>
    <t>3.4.7</t>
  </si>
  <si>
    <r>
      <rPr>
        <sz val="8"/>
        <rFont val="Arial"/>
      </rPr>
      <t xml:space="preserve">Навесная фасадная система состоит из несущего каркаса, теплоизоляции, паропроницаемого полотна и внешней облицовки, задающей дизайн и стиль по буклету коллекии
Материал навесной фасадной системы выбирать согласно буклету коллекции :
Для цокольной части применять:
-Кирпич
-СФБ-панели / Префабрицированные панели
Для первого этажа:
-Кирпич
-Керамогранит
-СФБ-панели
-Префаб панели 
-Натуральный камень
Для типового этажа:
-Кирпич
-Клинкерная/бетонная плитка
-Композит
Для особенного этажа:
-Клинкерная/бетонная плитка
-Композит
В качестве теплоизоляционного слоя системы применять двухслойные плиты из минеральной (каменной) ваты на синтетическом связующем.
Толщину теплоизоляционного слоя смотреть по таблице </t>
    </r>
    <r>
      <rPr>
        <u/>
        <sz val="8"/>
        <color rgb="FF1155CC"/>
        <rFont val="Arial"/>
      </rPr>
      <t>Правила подбора толщины теплоизоляционного слоя</t>
    </r>
    <r>
      <rPr>
        <sz val="8"/>
        <rFont val="Arial"/>
      </rPr>
      <t xml:space="preserve"> 
Максимальный вылет подсистемы принять :
Для кирпича,клинкерной плитки,бетонной плитки,керамогранита,композита,префаб-панелей: 500 мм
Для стеклофибробетона,натурального камня:450 мм</t>
    </r>
  </si>
  <si>
    <t>3.4.8</t>
  </si>
  <si>
    <r>
      <rPr>
        <sz val="8"/>
        <rFont val="Arial"/>
      </rPr>
      <t xml:space="preserve">Фасадная система «АКВАПАНЕЛЬ» представляет собой конструкцию, разработанную на принципе навесных фасадов с вентилируемым воздушным зазором, образованным между облицовочным материалом и теплоизоляцией. 
Несущая конструкция представляет собой каркас из оцинкованной стали с полимерным покрытием или нержавеющей стали,устанавливаемый на стене здания и закрепленные на нем плиты АКВАПАНЕЛЬ с отделкой штукатурным слоем.
 Основными элементами подконструкции являются несущие кронштейны и удлинители кронштейнов, направляющие (несущие) и вспомогательные профили.
 Несущие кронштейны, в виде неравнополочного уголка, крепить к стене через специальные паронитовые прокладки.
Технические решения, принятые в проектной документации,должны отвечать требованиям, предъявляемым к фасадной системе и материалам, входящим в ее состав, теплотехническому расчету, расчету на статические, ветровые и прочие нагрузки, физико-механическим параметрам, коррозионной стойкости, пожарной безопасности и а также привязке предлагаемых проектных решений к буклету коллекции.
В качестве теплоизоляционного слоя системы применять двухслойные плиты из минеральной (каменной) ваты на синтетическом связующем.
Толщину теплоизоляционного слоя смотреть по 
таблице </t>
    </r>
    <r>
      <rPr>
        <u/>
        <sz val="8"/>
        <color rgb="FF1155CC"/>
        <rFont val="Arial"/>
      </rPr>
      <t>Правила подбора толщины теплоизоляционного слоя</t>
    </r>
    <r>
      <rPr>
        <sz val="8"/>
        <rFont val="Arial"/>
      </rPr>
      <t xml:space="preserve"> 
Фасадную систему «АКВАПАНЕЛЬ» применять согласно буклету коллекции</t>
    </r>
  </si>
  <si>
    <t>3.4.9</t>
  </si>
  <si>
    <t>Выбор фасадной системы осуществлять на основе матрицы классов и принципов коллекции архитектуры.
При выборе материалов СФТК для фасада первого этажа учитывать регион строительства, класс, ориентацию фасада (двор/улица).
1. СФТК
Регион: МСК, ЕКБ, ТМН, НСК, СРГ, КРГ, ОМС;
Класс: С;
Ориентация: улица, двор.
2. СФТК
Регион: МСК, ЕКБ, ТМН, НСК, СРГ, КРГ, ОМС;
Класс: В;
Ориентация: двор.
При выборе материалов НВФ для фасада первого этажа учитывать регион строительства, класс, ориентацию фасада (двор/улица).
1. Кирпич, Керамогранит, Камень природный, СФБ, Префабрицированные панели, HPL:
Регион: МСК, ЕКБ, ТМН, НСК;
Класс: С;
Ориентация: улица.
2. Кирпич, Керамогранит, Камень природный, СФБ, Префабрицированные панели, HPL:
Регион: МСК, ЕКБ, ТМН, НСК;
Класс: В;
Ориентация: улица, двор.
3. Керамогранит, HPL, СФБ;
Регион: СРГ, КРГ, ОМС;
Класс: С;
Ориентация: улица.
4. Керамогранит, HPL, СФБ:
Регион: СРГ, КРГ, ОМС;
Класс: В;
Ориентация: улица, двор.
Выбор строительных конструкций осуществлять согласно альбому узлов АР.ОБ-У-09.23 и буклету коллекции архитектуры.
В качестве теплоизоляционного слоя применять однослойные плиты из минеральной (каменной) ваты на синтетическом связующем.
Использовать экструдированный пенополистирол по региону в одну толщину с минераловатным утеплителем до уровня не менее 300 мм от уровня чистого пола первого этажа.
Границы расположения фасадного модуля определяются шагом осей и высотой этажа. Размещать конкретный модуль согласно принципиальным решениям коллекции и концепции архитектуры.
Строительные конструкции размещать согласно альбому узлов АР.ОБ-У-09.23. Использовать совместно со стандартами "Устройство цоколя", "Устройство штукатурного фасада", "Устройство навесного фасада".</t>
  </si>
  <si>
    <t>3.4.10</t>
  </si>
  <si>
    <t>Пергола - специальный навес из деревянных или металлических брусьев. Выбор перголы осуществялется на основе принципиальных решений коллекции.
Выбор элементов перголы осуществляется на основе каталога свето-защитных устройств.
Размещение перголы определить в соответствии с концепцией архитектуры:
- особенный этаж;
- уровень кровли (жилая надстройка). 
Строительные конструкции располагать согласно детальным чертежам (см. графические материалы) и альбом узлов АР.ОБ-У-09.23.</t>
  </si>
  <si>
    <t>3.4.11</t>
  </si>
  <si>
    <t>Дивайдер - перегородка, разделитель, Выбор дивайдера осуществдяется на основе принципиальных решений коллекции.
Выбор элементов дивайдера осуществляется на основе каталога дивайдеров. 
Размещение перголы определить в соответствии с концепцией архитектуры (предназначены для использования на летних помещениях).
Строительные конструкции располагать согласно детальным чертежам (см. графические материалы) и альбом узлов АР.ОБ-У-09.23.</t>
  </si>
  <si>
    <t>3.4.12</t>
  </si>
  <si>
    <t>Маркиза - архитектурный элемент фасада здания; лёгкий навес над входными дверями или открытыми террасами, по периметру витрин, над летними верандами кафе и ресторанов.Выбор маркизы осуществялется на основе принципиальных решений коллекции.
Выбор элементов маркизы осуществляется на основе каталога свето-защитных устройств.
Размещение маркизы определить в соответствии с концепцией архитектуры:
- квартира: оконный блок, витраж, терраса;
- коммерческие помещения: витраж.
Строительные конструкции располагать согласно детальным чертежам (см. графические материалы) и альбом узлов АР.ОБ-У-09.23.</t>
  </si>
  <si>
    <t>3.4.13</t>
  </si>
  <si>
    <t>Козырек — защитная конструкция над дверью или окном. Выбор козырька осуществялется на основе принципиальных решений коллекции.
Выбор элементов козырька осуществляется на основе каталога свето-защитных устройств.
Размещение козырька определить в соответствии с концепцией архитектуры.
Строительные конструкции располагать согласно детальным чертежам (см. графические материалы) и альбом узлов АР.ОБ-У-09.23.</t>
  </si>
  <si>
    <t>3.4.14</t>
  </si>
  <si>
    <t>Жалюзи - светозащитные устройства, состоящие из вертикальных или горизонтальных пластин, Выбор жалюзи осуществялется на основе принципиальных решений коллекции архитектуры.
Выбор элементов жалюзи осуществляется на основе каталога свето-защитных устройств.
Размещение жалюзи определить в соответствии с концепцией архитектуры:
- квартира: оконный блок, витраж.
- коммерческие помещения: витраж.
Строительные конструкции располагать согласно детальным чертежам (см. графические материалы) и альбом узлов АР.ОБ-У-09.23.</t>
  </si>
  <si>
    <t>3.4.15</t>
  </si>
  <si>
    <t>Ставни - светозащитные устройства, представляющие собой конструкцию, которая состоит из рамы и заполнения. Виды ставен: складные, раздвижные, Выбор ставен осуществялется на основе принципиальных решений коллекции архитектуры.
Выбор элементов ставен осуществляется на основе каталога свето-защитных устройств.
Размещение ставен определить в соответствии с концепцией архитектуры:
- квартира: оконный блок, витраж, терраса.
- коммерческие помещения: витраж.
Строительные конструкции располагать согласно детальным чертежам (см. графические материалы) и альбом узлов АР.ОБ-У-09.23.</t>
  </si>
  <si>
    <t>3.4.16</t>
  </si>
  <si>
    <t>Предусмотреть проектом фасадное освещение.
Выбор элементов фасадного освещения согласовать с заказчиком.
Размещение фасадного освещения осуществлять на основе концепции архитектуры.
Места установки ободудования:
- МОП;
- Террасы.
Располагать осветительный прибор светлого цвета при монтаже на светлую поверхность, темного цвета - на темную поверхность.
1. Дежурное освещение. Внешний контур. 
Расстановка освещения перед входными группами в МОПы в заглубленных тамбурах. 
- Если тамбур меньше чем 3м шириной - устанавливать один светильник по центру проёма. (Привязку к входной двери не делаем)
- Если тамбур 3-7м шириной - устанавливать два светильника (смотри пример расположения) пропорционально.
- Если тамбур 7-10м шириной - устанавливать 3 светильника... и т.д 
2. Дежурное освещение. Вутренний двор (при наличии)
- Если существует внутренний двор, выполняем расстановку освещения перед входными группами в МОПы во внутренних дворах по аналогии с Внешним контуром. 
3. Освещение террас. Внешний конутр.
Производить освещение террас подконтрольных жильцам. 
Располагать по одной штуке на межоконное пространство/колонну/простенок рядом с входом.
Высота установки светильника 1.800 - 2.500 от уровня пола этажа установки. По возможности привязаться к имеющейся в этом диапазоне горизонтальной оси (уровень окна или двери и т.д).
4. Освещение террас. Внутренний конутр.
Располагать по одной штуке на межоконное пространство/колонну/простенок рядом с входом.
Террасы должны быть подсвечены как и на верхних этажах, так и на нижних.</t>
  </si>
  <si>
    <t>3.4.17</t>
  </si>
  <si>
    <t>Выбор отлива выполнить в соответствии с типом фасада а так же толщиной теплоизоляционного слоя в зависимости от региона. 
Отлив заводского изготовления с торцевыми заглушками со значением вылета за фасад 30 мм в соответствии с актуальной нормативной документацией, а так-же со строительными конструкциями отлива.
Отлив размещаются на нижнем откосе окна. 
Крепится с помощью саморезов с пресс шайбой к конструкции окна согласно узла.</t>
  </si>
  <si>
    <t>3.4.18</t>
  </si>
  <si>
    <t>Выбор отлива выполнить в соответствии с типом фасада а так же толщиной теплоизоляционного слоя в зависимости от региона.
Отлив заводского изготовления со значением вылета за фасад 30 мм в соответствии с актуальной нормативной документацией, а так-же со строительными конструкциями отлива.
Отлив размещаются на керамичесский блок.
Монтаж производить с помощью дюбель-самореза к керамическому блоку согласно узла.</t>
  </si>
  <si>
    <t>3.4.19</t>
  </si>
  <si>
    <t>Отлив заводского изготовления со значением вылета за фасад 30 мм в соответствии с актуальной нормативной документацией, а так-же со строительными конструкциями отлива (ссылка)
Отлив размещаются на навесном фасаде или на штукатурке</t>
  </si>
  <si>
    <t>3.4.20</t>
  </si>
  <si>
    <t>Выбор отлива выполнить в соответствии с типом фасада а так же толщиной теплоизоляционного слоя в зависимости от региона.
Отлив заводского изготовления со значением вылета за фасад 60 мм в соответствии с актуальной нормативной документацией, а так-же со строительными конструкциями отлива.
Отлив размещаются на парапете.
Монтаж производить согласно узла.</t>
  </si>
  <si>
    <t>3.4.21</t>
  </si>
  <si>
    <t>Выбор декоративных элементов префаб осуществлять на основании принцпиальных решений коллекции и каталога декоративных фасадных элементов.
Основные виды декоративных элементов префаб:
- отливы;
- оконные рамки;
- карнизы;
- пилястры;
- пояса межэтажные.
Размещение элементов осуществлять согласно концепции архитектуры в границах фасадного модуля. Использовать совместно со стандартом "Правила проектирования фасадного модуля".
Располагать конструкции согласно альбому узлов АР.ОБ-У-09.23.</t>
  </si>
  <si>
    <t>3.4.22</t>
  </si>
  <si>
    <t>Размещение и выбор корзин определяется коллекцией.
Установка наружных блоков на летних помещениях (террасах), при отсутствии террас предусмотреть места (обозначить на планах в проектной и рабочей документации).
Показать трассировку фреонопровода. 
Количество наружных блоков принять равных количеству внутренних.
В квартирах с двумя спальнями и более предусмотреть кондиционирование двух помещений - гостиной и мастер-спальни.
Корзина кондиционера металлическая (Ш*В*Г) 1000х700х500  (монтажный зазор принять 100 мм). Монтируется застройщиком. RAL в соответствии с цветовым решением коллекции. 
Подключение внешнего блока кондиционера выполняется только с правой стороны внешнего блока. 
Для квартир с одной спальней длина фреонопровода от наружного блока до места установки внутреннего блока не более 15 м. Перепад высоты между блоками не более 15 м.
Для квартир с двумя спальнями и более суммарная длина фреонопроводов от наружного блока до места установки внутренних блоков не более 80м. Перепад высоты между блоками не более 15 м.
Внешний блок кондиционера располагать в декоративной корзине, разработанной и предоставленной застройщиком.</t>
  </si>
  <si>
    <t>3.4.23</t>
  </si>
  <si>
    <t>Размещение и выбор корзин определяется коллекцией.
Установка наружных блоков под окном выполняется собственником, места обозначить на планах в проектной и рабочей документации.
Количество наружных блоков принять равных количеству внутренних.
В студиях и квартирах с одной спальней предусмотреть кондиционирование только одного
помещения - гостиной.
В квартирах с двумя спальнями и более предусмотреть кондиционирование двух помещений -
гостиной и мастер-спальни. 
Подключение внешнего блока кондиционера выполняется только с правой стороны внешнего блока.
Внешний блок кондиционера располагать в декоративной корзине, разработанной и
предоставленной застройщиком. Размещать блоки согласно схеме (см. графические материалы).</t>
  </si>
  <si>
    <t>3.4.24</t>
  </si>
  <si>
    <r>
      <rPr>
        <sz val="8"/>
        <rFont val="Arial"/>
      </rPr>
      <t>Паттерн - повторяемый рисунок, расположение, цвет и периодичность элементов которого строго регламентированы. Выбор осуществляется на основе каталога паттернов корзин кондиционера. 
Выбор паттерна корзины кондиционера осуществляется на основании принципиальных решений коллекции архитектуры. Использовать совместно со стандартами “</t>
    </r>
    <r>
      <rPr>
        <u/>
        <sz val="8"/>
        <color rgb="FF1155CC"/>
        <rFont val="Arial"/>
      </rPr>
      <t>Корзина кондиционера на ЛП</t>
    </r>
    <r>
      <rPr>
        <sz val="8"/>
        <rFont val="Arial"/>
      </rPr>
      <t xml:space="preserve"> ”, “</t>
    </r>
    <r>
      <rPr>
        <u/>
        <sz val="8"/>
        <color rgb="FF1155CC"/>
        <rFont val="Arial"/>
      </rPr>
      <t>Корзина кондиционера под окно</t>
    </r>
    <r>
      <rPr>
        <sz val="8"/>
        <rFont val="Arial"/>
      </rPr>
      <t xml:space="preserve"> ”.
Размещение определяется в соответствии с концепцией архитектуры (летнее помещение, под окном).
Располагать конструкции согласно детальным чертежам (см. графические материалы).</t>
    </r>
  </si>
  <si>
    <t>3.4.25</t>
  </si>
  <si>
    <t>Выбор декоративных элементов осуществлять на основании принцпиальных решений коллекции и каталога декоративных фасадных элементов.
Выбор декоративных элементов зависит от типа маскируемого инженерного оборудования. 
Основные виды декоративных элементов:
- вентиляционные решетки;
- декоративные ламели;
- декоративные сетки.
Размещение элементов осуществлять согласно концепции архитектуры.
Располагать конструкции согласно альбому узлов АР.ОБ-У-09.23.</t>
  </si>
  <si>
    <t>3.4.26</t>
  </si>
  <si>
    <t>Выбор ограждения выполнить в соответствии с коллекцией.
Ограждение со значением высоты не менее 1200 мм от чистого пола, в соответствии с актуальной нормативной документацией а так же строительной конструкций ограждения террас (ссылка)
Ограждения террасы первого этажа размещаются на ленточном фундаменте террасы.
Монтаж производить согласно узла (Ссылка)</t>
  </si>
  <si>
    <t>3.4.27</t>
  </si>
  <si>
    <t>Выбор ограждения выполнить в соответствии с коллекцией и типом фасада а так же толщиной теплоизоляционного слоя в зависимости от региона.
Ограждение со значением высоты не менее 1200 мм от чистого пола, в соответствии с актуальной нормативной документацией, а так-же строительных конструкций ограждения кровли.
Ограждения кровли размещаются на монолитном парапете.
Монтаж производить согласно узла.</t>
  </si>
  <si>
    <t>3.4.28</t>
  </si>
  <si>
    <t>Выбор ограждения выполнить в соответствии с коллекцией и типом фасада а так же толщиной теплоизоляционного слоя в зависимости от региона.
Ограждения должны иметь высоту не менее 1200 мм от чистого пола, в соответствии с актуальной нормативной документацией в соответствиис строительными конструкциями ограждения окон (ссылка)
Ограждения размещаются на боковых откосах окна
Монтаж производить с помощью саморезов с прессшайбой к конструкции окна согласно узла (Ссылка)</t>
  </si>
  <si>
    <t>3.4.29</t>
  </si>
  <si>
    <t>Принять типы полов в соответствии с функциональными зонами.
МОП (Лестничная клетка, лифтовой холл, тамбур, коридор, велосипедная):
1. Финишная отделка (согласно Коллекции интерьеров) - 20 мм.
Коммерческие помещения:
1. Финишная отделка (выполняется собственником) - 20 мм
2. Стяжка из ц/п раствора с полипропиленовой фиброй - 50 мм
3. Экструзионный пенополистирол плотностью 35 кг/м³ - 50 мм
Подсобные помещения для квартир (сухая зона):
1. Финишная отделка (выполняется собственником) - 20 мм
2. Стяжка из ц/п раствора с полипропиленовой фиброй - 50 мм
3. Экструзионный пенополистирол плотностью 35 кг/м³ - 50 мм
Подсобные помещения для квартир (мокрая зона):
1. Финишная отделка (выполняется собственником) - 20 мм
2. Стяжка из ц/п раствора с полипропиленовой фиброй - 40 мм
3. Экструзионный пенополистирол плотностью 35 кг/м³ - 50 мм
4. 2 слоя эластичной гидроизоляции Ceresit CL 51 - 5 мм
5. Грунтовка глубокого проникновения Ceresit CT17
Инженерные помещения (Насосная, Узел ввода, ИТП, Венткамера):
1. Финишная отделка (керамогранитная плитка+клей) - 20 мм
2. Гидроизоляция окрасочная в 2 слоя Ceresit CL51
3. Грунтовка глубокого проникновения Ceresit CT17
Инженерные помещения (Электрощитовая, Помещение СС, Диспетчерская, Тех.подполье):
1. Обеспыливающая гидрофобная пропитка
Кладовые, коридор кладовых:
1. Обеспыливающая гидрофобная пропитка
КУИ:
1. Финишная отделка (керамогранитная плитка+клей) - 20 мм
2. Гидроизоляция окрасочная в 2 слоя Ceresit CL51
3. Грунтовка глубокого проникновения Ceresit CT17
Указанные типы полов применимы только на подземном этаже.
Визуальное отображение см. графические материалы.</t>
  </si>
  <si>
    <t>3.4.30</t>
  </si>
  <si>
    <t>Принять типы полов в соответствии с функциональными зонами.
МОП (тамбур, тамбур-шлюз, холл, лифтовой холл, коридор, лестничная клетка с нижнего этажа, колясочная):
1.Финишная отделка (керамогранитная плитка + клей) - 20 мм
(согласно Коллекции интерьеров)
2.Стяжка из ц/п раствора М200 с полипропиленовой фиброй - 50 мм
3.Экструзионный пенополистирол плотностью 35 кг/м³ - 80 мм
МОП (лестничная клетка с первого этажа):
1.Финишная отделка (керамогранитная плитка + клей) - 20 мм
(согласно Коллекции интерьеров)
2.Стяжка из ц/п раствора М200 с полипропиленовой фиброй - 50 мм
3.Экструзионный пенополистирол плотностью 35 кг/м³ - 50 мм
МОП (санузел):
1.Финишная отделка (керамогранитная плитка + клей) - 20 мм
(согласно Коллекции интерьеров)
2.Стяжка из ц/п раствора М200 с полипропиленовой фиброй - 50 мм
3.Экструзионный пенополистирол плотностью 35 кг/м³ - 70 мм
4.Гидроизоляция обмазочная в 2 слоя Ceresit CR 65
5.Грунтовка глубокого проникновения Ceresit CT17
Коммерческие помещения:
1.Финишная отделка (выполняется собственником) - 20 мм
2.Стяжка из ц/п раствора М200 с полипропиленовой фиброй - 50 мм
3.Экструзионный пенополистирол плотностью 35 кг/м³ - 80 мм
Жилье (сухая зона):
1.Финишная отделка (выполняется собственником) - 20 мм
2.Стяжка из ц/п раствора М200 с полипропиленовой фиброй - 50 мм
3.Экструзионный пенополистирол плотностью 35 кг/м³ - 80 мм
Жилье (мокрая зона):
1.Финишная отделка (выполняется собственником) - 20 мм
2.Стяжка из ц/п раствора М200 с полипропиленовой фиброй - 50 мм
3.Экструзионный пенополистирол плотностью 35 кг/м³ - 80 мм
4.Гидроизоляция обмазочная в 2 слоя Ceresit CR 65
5.Грунтовка глубокого проникновения Ceresit CT17
Указанные типы полов применимы только на первом этаже.
Визуальное отображение см. графические материалы.</t>
  </si>
  <si>
    <t>3.4.31</t>
  </si>
  <si>
    <t>Принять типы полов в соответствии с функциональными зонами.
МОП (лестничная площадка и лестничный марш без финишной отделки):
Без отделки, лестничная площадка и лестничный марш заводской готовности.
МОП (лестничная площадка и лестничный марш с финишной отделкой):
1. Финишная отделка (согласно стандарта отделки МОП) - 20 мм
МОП (лифтовой холл, коридор, лестничная клетка с монолитной лестницей):
1. Финишная отделка (согласно Коллекции интерьеров) - 20 мм
2. Стяжка из ц/п раствора с полипропиленовой фиброй с участками трубной разводки и
рулонным материалом ИЗОДОМ ППИ-ПЛ с отражающей изоляции - 8 мм (над трубопроводами ВК,
ОВ) - 95 мм (общая толщина стяжки)
3. Звукоизоляция Акуфлекс или Рулонная звукоизоляция пола Технониколь - 5 мм
Коммерческие помещения:
1. Финишная отделка (выполняется собственником) - 20 мм
2. Стяжка из ц/п раствора с полипропиленовой фиброй - 50 мм
3. Экструзионный пенополистирол плотностью 35 кг/м³ - 50 мм
Квартира (сухая зона):
1. Финишная отделка (выполняется собственником) - 20 мм
2. Стяжка из ц/п раствора с полипропиленовой фиброй - 50 мм
3. Полиэтиленовая пленка 200 мкм
4. Минераловатные плиты Технониколь Технофлор 25 мм, 2 слоя - 50 мм
Квартира (мокрая зона):
1. Финишная отделка (выполняется собственником) - 20 мм
2. Стяжка из ц/п раствора с полипропиленовой фиброй - 85 мм
3. Звукоизоляция по типу Акуфлекс Комби - 5 мм
4. 2 слоя эластичной гидроизоляции Ceresit CR 65 - 5 мм
5. Грунтовка глубокого проникновения Ceresit CT17
Указанные типы полов применимы только на типовых этажах.
Визуальное отображение см. графические материалы.</t>
  </si>
  <si>
    <t>3.4.32</t>
  </si>
  <si>
    <t>Принять типы полов в соответствии с функциональными зонами.
МОП (лестничная площадка и лестничный марш без финишной отделки):
Без отделки, лестничная площадка и лестничный марш заводской готовности.
МОП (лестничная площадка и лестничный марш с финишной отделкой):
1. Финишная отделка (согласно стандарта отделки МОП) - 20 мм
МОП (лифтовой холл, коридор, лестничная клетка с монолитной лестницей):
1. Финишная отделка (согласно Коллекции интерьеров) - 20 мм
2. Стяжка из ц/п раствора с полипропиленовой фиброй с участками трубной разводки и
рулонным материалом ИЗОДОМ ППИ-ПЛ с отражающей изоляции - 8 мм (над трубопроводами ВК,
ОВ) - 95 мм (общая толщина стяжки)
3. Звукоизоляция Акуфлекс или Рулонная звукоизоляция пола Технониколь - 5 мм
Коммерческие помещения:
1. Финишная отделка (выполняется собственником) - 20 мм
2. Стяжка из ц/п раствора с полипропиленовой фиброй - 50 мм
3. Экструзионный пенополистирол плотностью 35 кг/м³ - 50 мм
Квартира (сухая зона):
1. Финишная отделка (выполняется собственником) - 20 мм
2. Стяжка из ц/п раствора с полипропиленовой фиброй - 50 мм
3. Полиэтиленовая пленка 200 мкм
4. Минераловатные плиты Технониколь Технофлор 25 мм, 2 слоя - 50 мм
Квартира (мокрая зона):
1. Финишная отделка (выполняется собственником) - 20 мм
2. Стяжка из ц/п раствора с полипропиленовой фиброй - 85 мм
3. Звукоизоляция по типу Акуфлекс Комби - 5 мм
4. 2 слоя эластичной гидроизоляции Ceresit CR 65 - 5 мм
5. Грунтовка глубокого проникновения Ceresit CT17
Указанные типы полов применимы только на особенных этажах.
Визуальное отображение см. графические материалы.</t>
  </si>
  <si>
    <t>3.4.33</t>
  </si>
  <si>
    <t>Принять типы полов в соответствии с функциональными зонами.
Техническое пространство:
1. Обеспыливающее покрытие
2. Стяжка из ц/п раствора с полипропиленовой фиброй - 60 мм
3. Экструзионный пенополистирол - 50 мм
Венткамера:
1. Обеспыливающее покрытие
2. Стяжка из ц/п раствора с полипропиленовой фиброй - 60 мм
3. Полиэтиленовая пленка 200 мкм
4. Минераловатные плиты Технониколь Технофлор 25 мм, 2 слоя - 50 мм
Лестничная клетка:
1. Обеспыливающее покрытие
2. Стяжка из ц/п раствора с полипропиленовой фиброй - 50 мм
3. Экструзионный пенополистирол - 50 мм
Указанные типы полов применимы только на верхнем этаже.
Визуальное отображение см. графические материалы.</t>
  </si>
  <si>
    <t>3.4.34</t>
  </si>
  <si>
    <t>Выбор данного покрытия определяется в соответствии с функциональной зоной.
Состав:
1.Сетка для защиты от птиц 17х19 мм
2.Гравийный щебень фракции 20-40 мм - от 80 мм
3.Мембрана Planter Standard - 8 мм
4.Техноэласт ЭКП - 4 мм
5.Техноэласт ЭПП - 4 мм
6.Праймер битумный Технониколь №1
7.Цементно-песчаная стяжка М 150, армированная сеткой 4Вр-I 150х150 - 50 мм
8.Разуклонка из керамзита- от 30 мм
9.Утеплитель ЭППС Технониколь по регионам МСК/ЕКБ,ТМН,КРГ,ОМС,НСК/СРГ - 170/200/240 мм
10.Пароизоляция Биполь.
В проекте предусмотреть фразу: "После выполнения кровельных работ произвести диагностику
герметичности гидроизоляции кровельным дефектоскопом Изотест 2.0"
Состав кровли верхнего этажа см. графическую часть.</t>
  </si>
  <si>
    <t>3.4.35</t>
  </si>
  <si>
    <t>Выбор данного покрытия определяется в соответствии с функциональной зоной.
Пол монолитного балкона (типовой этаж):
1 Финишная отделка (выполняется собственником)
2 Гидроизоляция MasterSeal 550
3 Железобетонная плита перекрытия
Водоотведение применить внутреннее, в толще вентилируемого фасада, через лоток и водоприемную воронку.
Cостав пола см. графические материалы</t>
  </si>
  <si>
    <t>3.4.36</t>
  </si>
  <si>
    <t>Выбор данного покрытия определяется в соответствии с функциональной зоной. 
Пол террас 1 этаж (по грунту):
1 Террасная доска, натуральная (лиственница) - 30 мм
2 Лаги деревянные, шаг 500 мм - 50 мм
3 Монолитная лента из бетона B25, сечением 150х150 мм по уплотненному грунту
Покрытие эксплуатируемой кровли. Террасная доска натуральная на регулируемых опорах:
1 Террасная доска, натуральная (лиственница) - 30 мм на лагах деревянных -  толщиной 50 мм с шагом 500 мм, общая толщина слоя - 80 мм
2 Регулируемые опоры с заполнением гравием на 50 мм, высота опор - от 40 мм до 210 мм
3 Геотекстиль 150 кг/м² - 2 мм
4 Техноэласт ЭКП - 4 мм
5 Техноэласт ЭПП - 4 мм
6 Праймер битумный Технониколь №1
7 Цементно-песчаная стяжка М 150, армированная сеткой 4Вр-I 150х150 - 50 мм
8 Разуклонка из керамзита- от 30 мм
9 Утеплитель ЭППС Технониколь по региону - 170/200/240 мм
10 Пароизоляция Биполь
11 Монолитный железобетон (плита перекрытия)
В проекте предусмотреть фразу: "После выполнения кровельных работ произвести диагностику
герметичности гидроизоляции кровельным дефектоскопом Изотест 2.0".
Соста пола см. графическую часть.</t>
  </si>
  <si>
    <t>3.4.37</t>
  </si>
  <si>
    <t>Выбор данного покрытия определяется в соответствии с функциональной зоной.
Пол паркинг. Одноуровневый:
1. Пропитка укрепляющая для бетона BASF MasterTop C714
2. Смесь BASF MasterTop 450 серый или терракот - 20 мм
Покрытие въездной рампы паркинга:
Покрытие шероховатое, исключающее скольжению. Укладка по типу "Елочкой"
1. Плитка тротуарная по типу Бехатон - 80 мм.
2. Цементно-песчаный раствор М150 - от 20 мм.
3. Цементно-песчаная стяжка М150 - 50 мм. - с участками электрокабеля обогрева рампы.
4. Гидроизоляция обмазочная в 2 слоя, Мастика гидроизоляционная ТЕХНОНИКОЛЬ No24
5. Праймер битумный ТЕХНОНИКОЛЬ No01
В конструкции полов автостоянки, не выполнять разуклонку полов.
Состав пола см. графическую часть.</t>
  </si>
  <si>
    <t>3.4.38</t>
  </si>
  <si>
    <t>Выбор данного покрытия определяется в соответствии с функциональной зоной. 
Состав:
1.Слои благоустройства
2.Фильтрующий слой FIL 300 (Optigruen) - 1 мм
3.Дренажно-накопительная панель FKD 25 (Optigruen) отверстиями вниз с засыпкой гранитным
щебнем фракции 5-10 мм - 25 мм
4.Защитный флис от протечек RSV 120 (Optigruen) - 1 мм
5.Утеплитель ЭППС ТЕХНОНИКОЛЬ CARBON PROF SOLID - 50 мм
6.Корнезащитная мембрана PELD (Optigruen) – 0,5 мм
7.Техноэласт ЭПП – 4 мм
8.Техноэласт ЭКП – 4 мм
9.Праймер битумный ТЕХНОНИКОЛЬ №01
10.Монолитная ж/б плита покрытия с выравниванием 20 мм
Тип покрытия кровли применен только на кровли паркинга.
В проекте предусмотреть фразу: "После выполнения кровельных работ произвести диагностику
герметичности гидроизоляции кровельным дефектоскопом Изотест 2.0".
Состав кровли см. графические материалы.</t>
  </si>
  <si>
    <t>3.4.39</t>
  </si>
  <si>
    <t>Выбор данного покрытия определяется в соответствии с функциональной зоной 
Террасная доска применима на летних помещениях первого этажа, на террасах верхних этажей и кровли.
Состав покрытия:
1.Террасная доска, натуральная (лиственница) - 30 мм
2.Лаги деревянные, шаг 500 мм - 50 мм
3.Регулируемые опоры с заполнением гравием на 50 мм, высота опор - от 40 мм до 210 мм
4.Геотекстиль 150 кг/м² - 2 мм
5.Пирог кровли
Укладка террасной доски.
1 этап: Укладка регулируемых опор
На подготовленное основание укладываются регулируемые опоры.
Опоры устанавливаются в шахматном порядке с шагом 500 мм, высотой от 40 до 210 мм.
Для установки опоры под лаги применяется крепление - небольшой диск, оснащенный монтажным
бортиком.
2 этап: Сборка каркаса.
На данном этапе используется устройство двухъярусной опорной системы.
1-й ярус- регулируемые опоры
2-й ярус - направляющие опорные лаги, закрепленные уголками.
Размеры лаг 50х70х3000 мм(материал лиственница)
3 этап: Укладка террасной доски.
Начиная от стены на лаге закрепляются уголки, далее монтаж первой доски, фиксация с другой
стороны подходящим монтажным элементом. Фиксация второй и последующих досок происходит по
такому же принципу.
Финишная отделка покрытия:
К установленной завершающей доске прикрепляется финишный профиль или уголок. Торцы
пустотелых досок закрыть специальными декоративными заглушками.
Меры по защите древесины:
Обработку террасной доски из лиственницы производить любым средством для наружных работ:
-масло;
-масло-воск;
-твердый воск;
-лак;
-эмаль.
Рекомендуется выбирать морозостойкие составы.
Производители: Biofa, Belinka, Dulux, Tikkurilla.</t>
  </si>
  <si>
    <t>3.4.40</t>
  </si>
  <si>
    <t>Наружные стены принять из блока керамического.
Кладка из керамического блока 10,7(10,5)НФ размерами 380х250х219(h) мм, маркой М100, на растворе марки М50.
Армирование кладки принять через 2 ряда кладки (начиная со второго), кладочной сеткой 4ВрI 50х50
мм.
Анкеровку к монолитным стенам и пилонам выполнять через 2 ряда кладки (начиная с первого)
двумя стержнями арматуры марки А500, А500С, диаметром 8 мм, длиной 500 мм заделка в
монолитный пилон/стену на 100 мм.
Анкеровку к монолитным плитам перекрытия выполнять одним стержнем арматуры марки А500,
А500С, диаметром 8 мм, длиной 300 мм, заделка в плиту в натяг на 100 мм с шагом 800 мм, но не
менее двух на простенок.
Толщина горизонтального шва нормируется в пределах 12 мм(±4 мм).
Перевязка вертикальных швов осуществляется путем смещения двух соседних рядов на половину
ширины блока и не менее чем на 0,4хh, где h-номинальная высота ряда.
Выравнивающий нижний слой (постель) - 10-30 мм. 
На первом этаже нижний ряд керамического блока кладется на монолитный борт, на типовых, особенных, верхнем этажах нижний ряд керамического блока кладется на плиту перекрытия (см. альбом узлов АР.ОБ-У-09.23).
Шов примыкания к перекрытию 20-40 мм заполняется Вилатермом с внутренней стороны и
монтажной пеной. 
Необходимость дополнительного усиления кладки при действий нагрузок от собственного веса и
расчетной ветровой нагрузки проверить и подтвердить расчетом, согласовать с заказчиком.
Кладку из керамического блока выполнять выше уровня благоустройства.</t>
  </si>
  <si>
    <t>3.4.41</t>
  </si>
  <si>
    <t>При проектировании монолитного железобетонного борта первого этажа, руководствоваться данным стандартом.
Монолитный борт выполнять высотой 470 мм и толщиной 250 мм в том случае, когда нет витражной системы.
Высотой 700 мм и толщиной 250 мм в том случае, когда есть витражная система.
Данное решение не применяется в зоне витража входной группы.
Монолитный борт выполняется заподлицо с плитой перекрытия</t>
  </si>
  <si>
    <t>3.4.42</t>
  </si>
  <si>
    <t>В зависимости от коллекции и концепции архитектуры применять необходимые варианты монолитных парапетов:
-Высота 1650 мм, толщина 160 мм
-Высота 950 мм, толщина 160 мм
-Высота 470 мм,толщина 160 мм
-Высота 660 мм,толщина 160 мм (тип парапета используется по контуру лоджий,террас,1 этаж в угловой секции )
-Высота 230 мм,толщина 160 мм (тип парапета используется только на террасах)
Выполнять монолитный парапет на эксплуатируемой или неэксплуатируемой плоской кровле(в том числе террасы на типовых этажах)</t>
  </si>
  <si>
    <t>3.4.43</t>
  </si>
  <si>
    <t>При проектировании внутренних стен руководствоваться данным стандартом.
Внутренние стены:
-250 мм из керамического блока 10,7(10,5)НФ
При необходимости подрезки блоков по высоте, установку подрезанных блоков производить в предпоследнем верхнем ряду кладки. Обеспечить примыкание к плите перекрытия/покрытия целого блока.
Вертикальный шов в месте установки анкера заполнить раствором.
Крепить кладку из керамического блока сверху через стержень Ø8 мм А500 L=300 мм в натяг в плиту перекрытия/покрытия на 100 мм, каждые 2 м, но не менее 2-х на простенок.</t>
  </si>
  <si>
    <t>3.4.44</t>
  </si>
  <si>
    <t>При проектировании перегородок руководствоваться данным стандартом.
Тип перегородки выбрать в соответствии с функциональной зоной
МОП - квартиры: 120 мм 6,9(6,74)НФ из керамического блока с обшивкой из гипсокартонных листов в два слоя с заполнением минераловатными плитам. Общая толщина конструкции 475 мм.
Межквартирная (между двумя квартирами) - 120 мм 6,9(6,74)НФ из керамического блока с обшивкой из гипсокартонных листов в два слоя - воздуховоды двух смежных квартир - 120 мм 6,9 (6,74)НФ из керамического блока с обшивкой из гипсокартонных листов в два слоя. Общая толщина конструкции 670 мм.
Межквартирные: 250 мм из керамического блока 10,7(10,5)НФ
Межкомнатные: 125 мм из ГКЛ в два слоя 
Межкомнатные по пилонам: 280 мм из ГКЛ (для классов В и А) или 125 мм (для класса С)
Санузлов: 125 мм из ГКЛВ в два слоя
Зашивка торцов монолитных жб стен ЛЛУ со стороны межквартирного коридора: 2 листа ГКЛ
Перегородки из ГКЛ: опирание на конструкции чернового пола (стяжку).
Перегородки кладовых: 120 мм 6,9(6,74)НФ из керамического блока высотой 2500 мм под расшивку, потолок - металлическая сетка в раме из уголка 50х5 мм.
Облицовка ниш стояков канализации в МОП и кухне (учитывать размещение ревизии кухонного стояка канализации для устройства лючка), стальных вентканалов - гипсокартонная облицовка.
В  коммерческих помещениях, двухуровневых квартирах, квартирах с отдельным входом, с террасами на первом этаже, с надстройкой на последних этажах и квартирах обладающими особенными характеристикимами - не выполнять перегородки из гипсокартона и облицовку ниш стояков (зонирование помещений в документации показать пунктирной линией). Предусмотреть разметку на полу, для обозначения контура мокрых зон (для Москвы, Московской области, Тюмени предусмотреть выкладку контура мокрых зон из керамического блока толщиной 120 мм высотой в 1 ряд).
Производителя перегородок согласовать с Заказчиком.</t>
  </si>
  <si>
    <t>3.4.45</t>
  </si>
  <si>
    <t>Внутренняя отделка</t>
  </si>
  <si>
    <t xml:space="preserve">При проектировании отделки руководствоваться данным стандартом.
В квартирах:
Предусмотреть отделку по кладке и монолитному железобетону:
- В сухих помещениях - улучшенная гипсовая штукатурка 15 мм, категория качества поверхностей не менее К2;
- В мокрых помещениях - цементно-песчаная штукатурка 15 мм, категория качества поверхностей К1.
- Перегородки и зашивки ГКЛ без отделки.
В двухуровневых квартирах, квартирах с отдельным входом, с террасами на первом этаже, с надстройкой на последних этажах и квартирах обладающими особенными характеристикимами - не выполнять отделку стен.
Оконные и дверные откосы: без отделки (для Екатеринбурга - предусмотреть выполнение откосов оконных и дверных проемов.).
Отделку потолка не предусматривать - монолитная ж/б плита перекрытия класс поверхности А4.
Внутриквартирные лестницы - в двухуровневых квартирах (дуплексах) предусмотреть установку временной поворотной универсальной деревянной лестницы.
В МОП:
Предусмотреть отделку согласно проекту дизайна интерьеров.
В паркинге:
Предусмотреть отделку согласно проекту дизайна интерьеров.
В  коммерческих помещениях, инженерных помещениях:
Не предусматривать отделку.
</t>
  </si>
  <si>
    <t>3.4.46</t>
  </si>
  <si>
    <t>Использовать при заполнении каркаса керамическим блоком 380х219(h) совместно со стандартом “Внешние стены. Блок керамический”. Типоразмеры проемов предназначены для использования на первом этаже.
При выборе высоты проема, необходимо учитывать высоту этажа, тип фасада (наличие перемычки), положение проема в структуре здания (наличие заглубления), наличие подоконной зоны;
Рекомендуемая высота проемов, при высоте этажа 4,2 м: 
- h = 3010 мм (наличие подоконной зоны 700 мм);
- h = 3710 мм (наличие перемычки);
- h = 4020 мм (между железобетонными плитами перекрытия);
При выборе ширины проема (b) необходимо учитывать ориентацию фасада.
1. Улица: 
- Вход в МОП заглубленный: b = 2420 мм; 
- Коммерческие помещения: b = 2500 мм (в случае невозможноти выбора проема 2500 мм, выбрать - 1930 мм, 1740 мм, 1360 мм);
- Квартира: b = 2500 мм (в случае невозможноти выбора проема 2500 мм, выбрать - 1930 мм, 1740 мм, 1360 мм);
- Арка/Рампа: b = 1360 мм, 1640 мм;
- Индивидуальный вход в квартиру: ширина проема определяется согласно стандартам "Отдельный вход в квартиру. Общая информация" и "Отдельный вход в квартиру. Заполнение".
2. Двор:
- Вход МОП в плоскости фасада: b = 2500 мм;
- Коммерческие помещения: b = 2500 мм;
- Квартира: b = 1740 мм; 1930 мм; 2310 мм; 2500 мм.
При высоте проема h = 3010 мм - располагать низ проема на отметке 700 мм от верха плиты перекрытия текущего этажа. 
При высоте проема h = 3710 мм, 4020 мм - располагать низ проема на отметке 0 мм от верха плиты перекрытия текущего этажа.
Располагать (привязывать к осям) оконный проем кратно ½ керамического блока (min 380 мм) в соответствии с принципами коллекции. При наличии монолитной стены/пилона в одной плоскости с проемом, привязка ведется не от оси, а от торца монолитной стены/пилона в соответствии с принципами коллекции. Положение перемычки определяется стандартом “Перемычки оконных проемов”. Расстановку необходимого инженерного оборудования предусмотреть согласно стандарту “Принцип размещения радиаторов, приточных вентиляционных клапанов, кондиционеров”.</t>
  </si>
  <si>
    <t>3.4.47</t>
  </si>
  <si>
    <t>Оконные проемы типового (3.0 м) этажа.</t>
  </si>
  <si>
    <r>
      <rPr>
        <sz val="8"/>
        <rFont val="Arial"/>
      </rPr>
      <t>Использовать при заполнении каркаса керамическим блоком 380х219(h) совместно со стандартом “</t>
    </r>
    <r>
      <rPr>
        <u/>
        <sz val="8"/>
        <color rgb="FF1155CC"/>
        <rFont val="Arial"/>
      </rPr>
      <t>Внешние стены. Блок керамический.</t>
    </r>
    <r>
      <rPr>
        <sz val="8"/>
        <rFont val="Arial"/>
      </rPr>
      <t xml:space="preserve"> ”. Типоразмеры проемов предназначены для применения на типовом этаже, высотой 3.0 м. Выбор ширины проема (b) определяется коллекцией. При выборе высоты проема (h) необходимо учитывать функциональное назначение модуля.
Фасадный модуль с окном - рекомендуемые типы проемов:
h = 1865 мм;
b = 965 мм; 1060 мм; 1360 мм; 1550 мм; 1740 мм; 1930 мм; 2310 мм; 2690 мм.
Фасадный модуль с террасой - рекомендуемые типы проемов: 
h = 2095 мм;
b = 965 мм; 1360 мм; 1550 мм; 1740 мм; 1930 мм; 2310 мм.
Фасадный модуль с балконом - рекомендуемые типы проемов: 
h = 2565 мм;
b = 965 мм; 1360 мм; 1550 мм; 1740 мм; 1930 мм; 2310 мм.
При высоте проема h = 1865 мм - располагать низ проема на отметке 700 мм от верха плиты перекрытия текущего этажа. 
При высоте проема h = 2095 мм - располагать низ проема на отметке 470 мм от верха плиты перекрытия текущего этажа.
При высоте проема h = 2565 мм - располагать низ проема на отметке 0 мм от верха плиты перекрытия текущего этажа.
Располагать (привязывать к осям) оконный проем кратно ½ керамического блока (min 380 мм) в соответствии с принципами коллекции. При наличии монолитной стены/пилона в одной плоскости с проемом, привязка ведется не от оси, а от торца монолитной стены/пилона в соответствии с принципами коллекции. Положение перемычки определяется стандартом “</t>
    </r>
    <r>
      <rPr>
        <u/>
        <sz val="8"/>
        <color rgb="FF1155CC"/>
        <rFont val="Arial"/>
      </rPr>
      <t>Перемычки оконных проемов</t>
    </r>
    <r>
      <rPr>
        <sz val="8"/>
        <rFont val="Arial"/>
      </rPr>
      <t xml:space="preserve"> ”. Расстановку необходимого инженерного оборудования предусмотреть согласно стандарту “</t>
    </r>
    <r>
      <rPr>
        <u/>
        <sz val="8"/>
        <color rgb="FF1155CC"/>
        <rFont val="Arial"/>
      </rPr>
      <t>Принцип размещения радиаторов, приточных вентиляционных клапанов, кондиционеров</t>
    </r>
    <r>
      <rPr>
        <sz val="8"/>
        <rFont val="Arial"/>
      </rPr>
      <t xml:space="preserve"> ”.</t>
    </r>
  </si>
  <si>
    <t>3.4.48</t>
  </si>
  <si>
    <r>
      <rPr>
        <sz val="8"/>
        <rFont val="Arial"/>
      </rPr>
      <t>Использовать при заполнении каркаса керамическим блоком 380х219(h) совместно со стандартом “</t>
    </r>
    <r>
      <rPr>
        <u/>
        <sz val="8"/>
        <color rgb="FF1155CC"/>
        <rFont val="Arial"/>
      </rPr>
      <t>Внешние стены. Блок керамический.</t>
    </r>
    <r>
      <rPr>
        <sz val="8"/>
        <rFont val="Arial"/>
      </rPr>
      <t xml:space="preserve"> ”. Типоразмеры проемов предназначены для применения на верхнем этаже (жилая надстройка), высотой 3.02м.
Выбор ширины проема (b) определяется коллекцией.
Фасадный модуль с террасой - рекомендуемые типы проемов: 
h = 2095 мм
b = 965 мм; 1360 мм; 1550 мм; 1740 мм; 1930 мм; 2310 мм; 2500 мм; 2690 мм.
При высоте проема h = 2095 мм - располагать низ проема на отметке 470 мм от верха плиты перекрытия текущего этажа.
Располагать (привязывать к осям) оконный проем кратно ½ керамического блока (min 380 мм) в соответствии с принципами коллекции. При наличии монолитной стены/пилона в одной плоскости с проемом, привязка ведется не от оси, а от торца монолитной стены/пилона в соответствии с принципами коллекции. Положение перемычки определяется стандартом “</t>
    </r>
    <r>
      <rPr>
        <u/>
        <sz val="8"/>
        <color rgb="FF1155CC"/>
        <rFont val="Arial"/>
      </rPr>
      <t>Перемычки оконных проемов</t>
    </r>
    <r>
      <rPr>
        <sz val="8"/>
        <rFont val="Arial"/>
      </rPr>
      <t xml:space="preserve"> ”. Расстановку необходимого инженерного оборудования предусмотреть согласно стандарту “</t>
    </r>
    <r>
      <rPr>
        <u/>
        <sz val="8"/>
        <color rgb="FF1155CC"/>
        <rFont val="Arial"/>
      </rPr>
      <t>Принцип размещения радиаторов, приточных вентиляционных клапанов, кондиционеров</t>
    </r>
    <r>
      <rPr>
        <sz val="8"/>
        <rFont val="Arial"/>
      </rPr>
      <t xml:space="preserve"> ”.</t>
    </r>
  </si>
  <si>
    <t>3.4.49</t>
  </si>
  <si>
    <t>Принять дверные проемы и их заполнение в соответствии с функциональными зонами.
На всех дверях, расположенных на путях эвакуации, предусмотреть доводчики самозакрывания и уплотнения в притворах. Обозначить в рабочей документации. Модель и производителя уточнить у Заказчика. 
Функциональные зоны:
МОП
Выбор внешнего облика дверного полотна, цветового решения и фурнитуры определяется дизайном коллекции.
1. Лестничная клетка (вход из тамбур-шлюза):
- Размер строительного проема 1250х2100(h)мм
- Размер светового проема 1050х2000(h)мм
- Заполнение проема алюминиевой остекленной однопольной дверью с порогом, огнестойкостью EIS30, с доводчиком, открыванием внутрь.
- Маркировка двери: ДАВ-О-Оп-П-Р-Вн-EIS30 2100х1250.
2. Лифтовый холл (вход из тамбур-шлюза):
- Размер строительного проема 1150х2100(h)мм
- Размер светового проема 1050х1950(h)мм
- Заполнение проема алюминиевой остекленной однопольной дверью с выпадающим порогом, огнестойкостью EIWS60, с доводчиком, открыванием наружу.
- Маркировка двери: ДАВ-О-Оп-П-Р-Н-EIWS60 2100х1150.
3. Велосипедная:
- Размер строительного проема 1150х2100(h)мм
- Размер светового проема 900х1950(h)мм
- Заполнение проема алюминиевой остекленной однопольной дверью без порога, огнестойкостью EIW30, с доводчиком, открыванием наружу.
- Маркировка двери: ДАВ-О-Оп-Бпр-Р-Н-EIW30 2100х1150.
4. Тамбур-шлюз (вход из паркинга):
- Размер строительного проема 1300х2100(h)мм
- Размер светового проема 1050х1950(h)мм
- Заполнение проема алюминиевой остекленной однопольной дверью с выпадающим порогом, огнестойкостью EIWS60, с доводчиком, открыванием внутрь.
- Маркировка двери: ДАВ-О-Оп-П-Р-Вн-EIWS60 2100х1300.
5. Тамбур-шлюз (вход из коридора):
- Размер строительного проема 1300х2100(h)мм
- Размер светового проема 1050х1950(h)мм
- Заполнение проема алюминиевой остекленной однопольной дверью с выпадающим порогом, огнестойкостью EIW30, с доводчиком, открыванием внутрь.
- Маркировка двери: ДАВ-О-Оп-П-Р-Вн-EIW30 2100х1300.
6. КУИ
- Размер строительного проема 1100х2100(h)мм
- Размер светового проема 900х2000(h)мм
- Заполнение проема стальной глухой однопольной дверью с порогом, огнестойкостью EI30, с доводчиком, открыванием наружу.
- Маркировка двери: ДСВ-Оп-Прг-Н-EI30 2100х1100.
Технические помещения
1. Насосная хоз.-бытовая, Узел ввода, Насосная пожаротушения, Помещение СС, Электрощитовая, ИТП:
- Размер строительного проема 1100х2100(h)мм
- Размер светового проема 900х2000(h)мм
- Заполнение проема стальной глухой однопольной дверью с порогом, огнестойкостью EI30, с доводчиком, открыванием наружу.
- Маркировка двери: ДСВ-Оп-Прг-Н-EI30 2100х1100.
2. Венткамера:
- Размер строительного проема 1100х2100(h)мм
- Размер светового проема 900х2000(h)мм
- Заполнение проема стальной глухой однопольной дверью с порогом, огнестойкостью EI60, с доводчиком, открыванием наружу.
- Маркировка двери: ДСВ-Оп-Прг-Н-EI60 2100х1100.
3. Тамбур-шлюз (вход из технического помещения):
- Размер строительного проема 1100х2100(h)мм
- Размер светового проема 900х2000(h)мм
- Заполнение проема стальной глухой однопольной дверью с порогом, огнестойкостью EIS30, с доводчиком, открыванием внутрь.
- Маркировка двери: ДСВ-Оп-Прг-Вн-EIS30 2100х1100.
Кладовые
1. Блок кладовых, Между секциями, Отдельная кладовая:
- Размер строительного проема 1100х2100(h)мм
- Размер светового проема 900х2000(h)мм
- Заполнение проема стальной глухой однопольной дверью с порогом, огнестойкостью EI60, с доводчиком, открыванием наружу.
- Маркировка двери: ДСВ-Оп-Прг-Н-EI60 2100х1100.
2. Кладовая в блоке
- Размер строительного проема 850х2100(h)мм
- Размер светового проема 700х2000(h)мм
- Заполнение проема стальной глухой однопольной дверью с порогом, не нормируемой огнестойкостью, открыванием наружу.
- Маркировка двери: ДСВ-Оп-Прг-Н 2100х850.
Указанные дверные проемы и их заполнение применимы только в подземном этаже.
Визуальное отображение см. графические материалы.</t>
  </si>
  <si>
    <t>3.4.50</t>
  </si>
  <si>
    <t>Принять дверные проемы и их заполнение в соответствии с функциональными зонами.
На всех дверях, расположенных на путях эвакуации, предусмотреть доводчики самозакрывания и уплотнения в притворах. Обозначить в рабочей документации. Модель и производителя уточнить у Заказчика. 
Функциональные зоны:
МОП
Выбор внешнего облика дверного полотна, цветового решения и фурнитуры определяется дизайном коллекции.
1.1 Колясочная:
- Размер строительного проема 1150х2400(h)мм
- Размер светового проема 900х2300(h)мм
- Заполнение проема алюминиевой остекленной однопольной дверью без порога, не нормируемой огнестойкостью, с доводчиком, открыванием наружу/внутрь.
- Маркировка двери: ДАВ-О-Оп-Бпр-Р 2400х1150.
1.2. Колясочная (при размещении паркинга на 1 этаже):
- Размер строительного проема 1150х2400(h)мм
- Размер светового проема 900х2300(h)мм
- Заполнение проема алюминиевой остекленной однопольной дверью без порога, огнестойкостью EIWS 30, с доводчиком, открыванием наружу.
- Маркировка двери: ДАВ-О-Оп-Бпр-Р-Н-EIWS30 2400х1150.
2. Санузел:
- Размер строительного проема 1100х2400(h)мм
- Размер светового проема 900х2300(h)мм
- Заполнение проема однопольной дверью скрытого монтажа (согласно Коллекции интерьеров) с порогом, не нормируемой огнестойкостью, с доводчиком, открыванием наружу.
3.1. Лифтовый холл (в С28):
- Размер строительного проема 1150х2400(h)мм
- Размер светового проема 900х2300(h)мм
- Заполнение проема алюминиевой остекленной однопольной дверью с выпадающим порогом, огнестойкостью EIWS 30, с доводчиком, открыванием наружу.
- Маркировка двери: ДАВ-О-Оп-П-Р-Н-EIWS30 2400х1150.
3.2. Лифтовый холл (в С50, Б50):
- Размер строительного проема 1550х2400(h)мм
- Размер светового проема открывающейся створки 900х2300(h)мм
- Заполнение проема алюминиевой остекленной двупольной дверью с выпадающим порогом, огнестойкостью EIWS 30, с доводчиком, открыванием наружу.
- Маркировка двери: ДАВ-О-Дв-П-Р-Н-EIWS30 2400х1550.
4.1. Лестничная клетка (Л1):
- Размер строительного проема 1300х2400(h)мм
- Размер светового проема 1050х2250(h)мм
- Заполнение проема алюминиевой остекленной однопольной дверью с порогом, не нормируемой огнестойкостью, с доводчиком, открыванием наружу.
- Маркировка двери: ДАВ-О-Оп-П-Р-Н 2400х1300.
4.2 Лестничная клетка (Н2, Н3, Н2+Н3):
- Размер строительного проема 1300х2400(h)мм
- Размер светового проема 1050х2250(h)мм
- Заполнение проема алюминиевой остекленной однопольной дверью с выпадающим порогом, огнестойкостью EIWS 30, с доводчиком, открыванием наружу.
- Маркировка двери: ДАВ-О-Оп-П-Р-Н-EIWS30 2400х1300.
5. Лестничная клетка (выход на улицу из нижнего этажа):
- Размер строительного проема 1300х2400(h)мм
- Размер светового проема 10500х2300(h)мм
- Заполнение проема алюминиевой остекленной однопольной дверью с порогом, не нормируемой огнестойкостью, с доводчиком, открыванием наружу.
- Маркировка двери: ДАН-О-Оп-П-Р-Н 2400х1300.
6. Межквартирный коридор:
- Размер строительного проема 1300х2400(h)мм
- Размер светового проема 1050х2250(h)мм
- Заполнение проема алюминиевой остекленной однопольной дверью без порога, не нормируемой огнестойкостью, с доводчиком, открыванием наружу.
- Маркировка двери: ДАВ-О-Оп-Бпр-Р-Н 2400х1300.
7. Тамбур-шлюз (вход из паркинга):
- Размер строительного проема 2250х2400(h)мм
- Размер светового проема 1000х2250(h)мм
- Заполнение проема алюминиевой остекленной двупольной дверью с выпадающим порогом, огнестойкостью EIWS60, с доводчиком, открыванием внутрь.
- Маркировка двери: ДАВ-О-Дв-П-Р-Вн-EIWS60 2400х2250.
Жилье
Выбор внешнего облика дверного полотна, цветового решения и фурнитуры определяется дизайном коллекции.
1. Квартира:
- Размер строительного проема 1050х2440(h)мм
- Размер светового проема 900х2300(h)мм
- Заполнение проема однопольной дверью (согласно Коллекции интерьеров) с порогом, не нормируемой огнестойкостью, открыванием наружу.
- Открывание двери должно быть направлено по ходу движения от ЛЛУ для удобства заноса крупногабаритной мебели.
- При открывании входной двери квартиры не допускается блокирование дверей соседних квартир.
2. Квартира с индивидуальным входом из улицы:
Принять согласно стандарту Отдельный вход в квартиру. Заполнение (ссылка).
Технические помещения (выход на улицу):
- Размер строительного проема 1300х2400(h)мм
- Размер светового проема 1050х2250(h)мм
- Заполнение проема алюминиевой остекленной однопольной дверью (согласно Коллекции фасада) с порогом, не нормируемой огнестойкостью, открыванием наружу.
- Маркировка двери: ДАН-О-Оп-П-Р-Н 2400х1300.
Указанные дверные проемы и их заполнение применимы только на первом этаже.
Визуальное отображение см. графические материалы.</t>
  </si>
  <si>
    <t>3.4.51</t>
  </si>
  <si>
    <t>Принять дверные проемы и их заполнение в соответствии с функциональными зонами.
На всех дверях, расположенных на путях эвакуации, предусмотреть доводчики самозакрывания и уплотнения в притворах. Обозначить в рабочей документации. Модель и производителя уточнить у Заказчика. 
Функциональные зоны:
Жилье
Выбор внешнего облика дверного полотна, цветового решения и фурнитуры определяется дизайном коллекции.
1. Квартира
- Размер строительного проема 1050х2440(h)мм
- Размер светового проема 900х2300(h)мм
- Заполнение проема однопольной дверью (согласно Коллекции интерьеров) с порогом, не нормируемой огнестойкостью, открыванием наружу.
2. Квартира (при особых условиях):
- Размер строительного проема 1050х2440(h)мм
- Размер светового проема 900х2300(h)мм
- Заполнение проема однопольной дверью (согласно Коллекции интерьеров) с порогом, огнестойкостью EI30, с доводчиком, открыванием наружу.
МОП
Выбор внешнего облика дверного полотна, цветового решения и фурнитуры определяется дизайном коллекции.
1.1. Лестничная клетка (Л1):
- Размер строительного проема 1150х2400(h)мм
- Размер светового проема 900х2300(h)мм
- Заполнение проема алюминиевой остекленной однопольной дверью без порога, огнестойкостью EI30, с доводчиком, открыванием внутрь.
- Маркировка двери: ДАВ-О-Оп-Бпр-Р-Вн-EI30 2400х1150.
1.2. Лестничная клетка (Н2, Н3, Н2+Н3):
- Размер строительного проема 1150х2400(h)мм
- Размер светового проема 900х2300(h)мм
- Заполнение проема алюминиевой остекленной однопольной дверью с выпадающим порогом, огнестойкостью EIS30, с доводчиком, открыванием внутрь.
- Маркировка двери: ДАВ-О-Оп-П-Р-Вн-EIS30 2400х1150.
2. Лифтовый холл:
- Размер строительного проема 1550х2400(h)мм
- Размер светового проема 900х2300(h)мм (открывающаяся створка).
- Заполнение проема алюминиевой остекленной однопольной дверью с выпадающим порогом, огнестойкостью EIS30, с доводчиком, открыванием внутрь.
- Маркировка двери: ДАВ-О-Оп-П-Р-Вн-EIS30 2400х1550.
Указанные дверные проемы и их заполнение применимы только на типовых этажах.
Визуальное отображение см. графические материалы.</t>
  </si>
  <si>
    <t>3.4.52</t>
  </si>
  <si>
    <t>Принять дверные проемы и их заполнение в соответствии с функциональными зонами.
На всех дверях, расположенных на путях эвакуации, предусмотреть доводчики самозакрывания и уплотнения в притворах. Обозначить в рабочей документации. Модель и производителя уточнить у Заказчика. 
Функциональные зоны:
Жилье
Выбор внешнего облика дверного полотна, цветового решения и фурнитуры определяется дизайном коллекции.
1. Квартира
- Размер строительного проема 1050х2440(h)мм
- Размер светового проема 900х2300(h)мм
- Заполнение проема однопольной дверью (согласно Коллекции интерьеров) с порогом, не нормируемой огнестойкостью, открыванием наружу.
2. Квартира (при особых условиях):
- Размер строительного проема 1050х2440(h)мм
- Размер светового проема 900х2300(h)мм
- Заполнение проема однопольной дверью (согласно Коллекции интерьеров) с порогом, огнестойкостью EI30, с доводчиком, открыванием наружу.
МОП
Выбор внешнего облика дверного полотна, цветового решения и фурнитуры определяется дизайном коллекции.
1.1. Лестничная клетка (Л1):
- Размер строительного проема 1150х2400(h)мм
- Размер светового проема 900х2300(h)мм
- Заполнение проема алюминиевой остекленной однопольной дверью без порога, огнестойкостью EI30, с доводчиком, открыванием внутрь.
- Маркировка двери: ДАВ-О-Оп-Бпр-Р-Вн-EI30 2400х1150.
1.2. Лестничная клетка (Н2, Н3, Н2+Н3):
- Размер строительного проема 1150х2400(h)мм
- Размер светового проема 900х2300(h)мм
- Заполнение проема алюминиевой остекленной однопольной дверью с выпадающим порогом, огнестойкостью EIS30, с доводчиком, открыванием внутрь.
- Маркировка двери: ДАВ-О-Оп-П-Р-Вн-EIS30 2400х1150.
2. Лифтовый холл:
- Размер строительного проема 1550х2400(h)мм
- Размер светового проема 900х2300(h)мм (открывающаяся створка).
- Заполнение проема алюминиевой остекленной однопольной дверью с выпадающим порогом, огнестойкостью EIS30, с доводчиком, открыванием внутрь.
- Маркировка двери: ДАВ-О-Оп-П-Р-Вн-EIS30 2400х1550.
Указанные дверные проемы и их заполнение применимы только на особенных этажах.
Визуальное отображение см. графические материалы.</t>
  </si>
  <si>
    <t>3.4.53</t>
  </si>
  <si>
    <t>Принять дверные проемы и их заполнение в соответствии с функциональными зонами.
ЛК (выход на кровлю), Тех.пространство (выход на кровлю):
- Размер строительного проема 1100х1900(h)мм
- Размер светового проема 900х1800(h)мм
- Заполнение проема стальной глухой однопольной дверью с порогом, огнестойкостью EI30, с доводчиком, открыванием наружу.
- Маркировка двери: ДСВ-Оп-Прг-Н-EI30 1900х1100.
Венткамера:
- Размер строительного проема 1100х1900(h)мм
- Размер светового проема 900х1800(h)мм
- Заполнение проема стальной глухой однопольной дверью с порогом, огнестойкостью EI60, с доводчиком, открыванием наружу.
- Маркировка двери: ДСВ-Оп-Прг-Н-EI60 1900х1100.
Указанные дверные проемы и их заполнение применимы только на верхнем этаже. Цвет заполнения дверных проемов принять согласно Коллекции фасада.
Визуальное отображение см. графические материалы.</t>
  </si>
  <si>
    <t>3.4.54</t>
  </si>
  <si>
    <t>При проектировании оконных перемычек, руководствоваться данным стандартом.
Для оконных проёмов применять полистиролбетонные перемычки:
-Перемычка ППБ 13.25.219 Для оконного проёма шириной 965 мм
-Перемычка ППБ 15.25.219 Для оконного проёма шириной 1060 мм
-Перемычка ППБ 18.25.219 Для оконного проёма шириной 1360 мм
-Перемычка ППБ 20.25.219 Для оконного проёма шириной 1550 мм
-Перемычка ППБ 22.25.219 Для оконного проёма шириной 1740 мм
-Перемычка ППБ 25.25.219 Для оконного проёма шириной 1930 мм
-Перемычка ППБ 29.25.219 Для оконного проёма шириной 2310 мм
-Перемычка ППБ ППБ 31.25.219 Для оконного проёма шириной 2690 мм
Анкеровку к монолитным плитам перекрытия выполнять одним стержнем арматуры марки А500,
А500С, диаметром 8 мм, длиной 350 мм, заделка в плиту на 100 мм, на раствор в теле перемычки,
не менее двух в пролете.</t>
  </si>
  <si>
    <t>3.4.55</t>
  </si>
  <si>
    <t>При проектировании перемычек, руководствоваться данным стандартом.
Для дверных проемов и витражей первого, особенного этажа применять железобетонные брусковые перемычки.
Для дверных проемов кладовых и входных дверей квартир (Высота этажа: до 4200 мм ,ширина строительного проёма: 1050 мм ):
-Перемычка 1ПБ 13-1п
Для дверных проемов в стенах толщиной 250 мм (Высота этажа: до 4200 мм
Ширина строительного проёма: 1000, 1100, 1150, 1250 мм):
-Перемычка 3ПБ 16-37-п (по 2 шт.на проем)
Для дверных проемов в стенах толщиной 250 мм(Высота этажа: до 4200 мм
Ширина строительного проёма: 1300, 1400 мм):
-Перемычка 3ПБ 18-8-п (по 2 шт.на проем)
Для дверных проемов в стенах толщиной 250 мм (Высота этажа: до 4200 мм
Ширина строительного проёма: 1600 мм):
-Перемычка 3ПБ 21-8-п (по 2 шт.на проем)
Перемычка из арматурных стержней Ø10 Прокат арматурный класса А500С в слое ЦПР М100 (опирание 250 мм)
Перемычка из арматурных стержней Ø12 Прокат арматурный класса А500С в слое ЦПР М100 (опирание 250 мм)
Перемычка из уголков 70х70х5 Уголки из стали марки С235, размером 70х70х5 (опирание 125 мм на одну сторону):</t>
  </si>
  <si>
    <t>3.4.56</t>
  </si>
  <si>
    <t>Предусмотреть инженерную нишу для размещения:
- шкафов коллекторов водоснабжения и отопления
- шкафов электрических и слаботочных сетей
Инженерная ниша размещается вблизи ЛЛУ. 
Нишу закрыть обшивкой из гипсокартонных листов в два слоя с заполнением минераловатными плитам. Общая толщина конструкции 75 мм.
Внутренние перегородки выполнить из гипсокартонных листов в 1 слой с заполнение минераловатными плитами. Общая толщина конструкции 100 мм.
Организовать инженерную нишу на всех этажах, кроме нижнего и верхнего, за исключением:
- При наличии жилых помещений на первом этаже предусмотреть размещение инженерных сетей на нижнем этаже и организовать зашивку ниши по аналогии с типовыми этажами.
- Зашивку ниши на первом этаже выполнить согласно стандартам
Планировочное решение МОП первого этажа С28 (ссылка)
Планировочное решение МОП первого этажа С50 (ссылка)
Внутренние габариты ниши в рядовой секции С28 и секции С50 (при расположении от 2 до 8 квартир на этаже):
- глубина 350 мм
- длина 3910 мм
Внутренние габариты ниши в угловой секции С28 (при расположении до 11 квартир на этаже):
- глубина 350 мм
- длина 4510 мм
Привязки строительных конструкций см. графические материалы.</t>
  </si>
  <si>
    <t>3.4.57</t>
  </si>
  <si>
    <t>Оконные конструкции выбирать в соответствии со стандартом "Оконные проемы первого этажа".
Выбор строительных конструкций при проектировании модуля осуществляется на основании коллекции архитектуры и концепции архитектуры. Выбор характеристик со стороны фасада “цвет” RAL профиля определяется коллекцией архитектуры, со стороны квартиры RAL Classic 9003. Высота конструкции зависит от высоты этажа.
Данные оконные конструкции предназначены для использования на первом этаже и зависят от высоты этажа.
Располагать конструкцию в оконном проеме в соответствии с данным стандартом (см. графические материалы). Предусмотреть монтажный зазор сбоку от края проема 50 мм, монтажный зазор сверху от края проема определить в соответствии с узлами альбома “АР.ОБ-У-09.23” раздела “3.2.1.Окна ПВХ”, монтажный зазор снизу от края проема зависит от функционального назначения конструкции. 
В оконных конструкция использовать одну или несколько формул стеклопакета:
- 4-14-4-14-4;
- 6-12-4-14-4;
- 6-12-4-14-4;
- 8-12-6-12-6.
Формулы принять согласно графическим материалам.</t>
  </si>
  <si>
    <t>3.4.58</t>
  </si>
  <si>
    <t>Оконные конструкции ПВХ. Типовой (3.0 м) этаж</t>
  </si>
  <si>
    <t>Оконные конструкции выбирать в соответствии со стандартом “Оконные проемы типового (3.0 м) этаж".
Выбор строительных конструкций при проектировании модуля осуществляется на основании коллекции архитектуры и концепции архитектуры. Выбор характеристик со стороны фасада “цвет” RAL профиля определяется коллекцией архитектуры, со стороны квартиры RAL Classic 9003.
Данные оконные конструкции предназначены для использования на типовом этаже высотой 3.0 м 
Располагать конструкцию в оконном проеме в соответствии с данным стандартом (см. графические материалы). Предусмотреть монтажный зазор сбоку от края проема 50 мм, монтажный зазор сверху от края проема определить в соответствии с узлами альбома “АР.ОБ-У-09.23” раздела “3.2.1.Окна ПВХ”, монтажный зазор снизу от края проема зависит от функционального назначения конструкции: 
- окно (h = 1765 мм) - 50 мм;
- терраса (h = 2030 мм) - 15 мм;
- балкон (h = 2510 мм) - 5 мм.
В оконных конструкциях использовать одну или несколько формул стеклопакета:
- 4-14-4-14-4;
- 6-12-4-14-4;
- 6-12-4-14-4;
- 8-12-6-12-6.
Формулы принять согласно графическим материалам.</t>
  </si>
  <si>
    <t>3.4.59</t>
  </si>
  <si>
    <t>Оконные конструкции выбирать в соответствии со стандартом “Оконные проемы верхнего (3.02 м) этажа”.
Выбор строительных конструкций при проектировании модуля осуществляется на основании коллекции архитектуры и концепции архитектуры. Выбор характеристик со стороны фасада “цвет” RAL профиля определяется коллекцией архитектуры, со стороны квартиры RAL Classic 9003.
Данные оконные конструкции предназначены для использования на типовом этаже высотой 3.0 м 
Располагать конструкцию в оконном проеме в соответствии с данным стандартом (см. графические материалы). Предусмотреть монтажный зазор сбоку от края проема 50 мм, монтажный зазор сверху от края проема определить в соответствии с узлами альбома “АР.ОБ-У-09.23” раздела “3.2.1.Окна ПВХ”, монтажный зазор снизу от края проема зависит от функционального назначения конструкции: 
- терраса (h = 2030 мм) - 15 мм.
В оконных конструкция использовать одну или несколько формул стеклопакета:
- 4-14-4-14-4;
- 6-12-4-14-4;
- 6-12-4-14-4;
- 8-12-6-12-6.
Формулы принять согласно графическим материалам.</t>
  </si>
  <si>
    <t>3.4.60</t>
  </si>
  <si>
    <t>3.4.61</t>
  </si>
  <si>
    <t>Оконные конструкции ДВА верхнего этажа</t>
  </si>
  <si>
    <t>Оконные конструкции выбирать в соответствии со стандартом "Оконные проемы первого этажа".
Выбор строительных конструкций при проектировании модуля осуществляется на основании коллекции архитектуры и концепции архитектуры. Выбор характеристик со стороны фасада “цвет” RAL профиля определяется коллекцией архитектуры, со стороны квартиры RAL Classic 9003. Высота констркукции зависит от высоты этажа.
Данные оконные конструкции предназначены для использования на первом этаже и зависят от высоты этажа.
Располагать конструкцию в оконном проеме в соответствии с данным стандартом (см. графические материалы). Предусмотреть монтажный зазор сбоку от края проема 50 мм, монтажный зазор сверху от края проема определить в соответствии с узлами альбома “АР.ОБ-У-09.23” раздела “3.2.1.Окна ПВХ”, монтажный зазор снизу от края проема зависит от функционального назначения конструкции: 
- терраса (h = 2030 мм) - 15 мм.
В оконных конструкция использовать одну или несколько формул стеклопакета :
4-14-4-14-4
6-12-4-14-4
6-12-4-14-4
8-12-6-12-6
Формулы принять согласно графическим материалам.</t>
  </si>
  <si>
    <t>3.4.62</t>
  </si>
  <si>
    <t>При проектировании витражей первого этажа, руководствоваться альбомом коллекций. 
Тип крепления витражей регламентирован для регионов. Монтаж витражей выполнять в соответствии с технологией производителя
Витражные конструкции из алюминиевого профиля со стеклопакетом солнцезащитного стекла с
отражающим покрытием нейтрального оттенка*.
Цвет профиля со стороны фасада "цвет" RAL по проекту, со стороны коммерческого помещения "цвет" RAL по проекту
Стеклопакет двухкамерный с солнцезащитным отражающим покрытием, нейтрального оттенка*
Предусмотреть ламель для притока воздуха для коммерческих помещений в необходимом
количестве для обеспечения вентиляции.</t>
  </si>
  <si>
    <t>3.4.63</t>
  </si>
  <si>
    <t>При проектировании витражей типового этажа, руководствоваться данным стандартом. Тип крепления витражей регламентирован для регионов. Монтаж витражей выполнять в соответствии с технологией производителя
Витражные конструкции из алюминиевого профиля со стеклопакетом солнцезащитного стекла с
отражающим покрытием нейтрального оттенка*.
Цвет профиля со стороны фасада "цвет" RAL по проекту, со стороны коммерческого помещения "цвет" RAL по проекту
Стеклопакет двухкамерный с солнцезащитным отражающим покрытием, нейтрального оттенка*
Предусмотреть ламель для притока воздуха для коммерческих помещений в необходимом
количестве для обеспечения вентиляции.</t>
  </si>
  <si>
    <t>3.4.64</t>
  </si>
  <si>
    <t>При проектировании витражей особенного этажа, руководствоваться данным стандартом. Тип крепления витражей регламентирован для регионов. Монтаж витражей выполнять в соответствии с технологией производителя
Особенные, уникальные квартиры (двухуровневые квартиры, квартиры с отдельным входом и
квартиры с надстройкой на последних этажах) оконные конструкции из дерево - алюминиевого
профиля, со стороны квартиры "цвет" RAL по проекту. Стеклопакет двухкамерный с
солнцезащитным отражающим покрытием, нейтрального оттенка*.
Размеры створки в ПВХ профиле (в том числе балконной двери): ширина до 850 мм, высота до 2300
мм. Длина горизонтального импоста в ПВХ профиле не более 1600 м.</t>
  </si>
  <si>
    <t>3.4.65</t>
  </si>
  <si>
    <t>При проектировании витражей верхнего этажа, руководствоваться данным стандартом. Тип крепления витражей регламентирован для регионов. Монтаж витражей выполнять в соответствии с технологией производителя
Витражные конструкции из алюминиевого профиля со стеклопакетом солнцезащитного стекла с
отражающим покрытием нейтрального оттенка*.
Цвет профиля со стороны фасада "цвет" RAL по проекту, со стороны коммерческого помещения "цвет" RAL по проекту
Стеклопакет двухкамерный с солнцезащитным отражающим покрытием, нейтрального оттенка*</t>
  </si>
  <si>
    <t>3.4.66</t>
  </si>
  <si>
    <t>При проектировании входных дверей (Типового этажа), руководствоваться данным стандартом. Выбор внешнего облика дверного полотна, цветового решения и фурнитуры определяется дизайном коллекции.
Входные двери квартир (вход из межквартирного коридора):
- стальные индивидуального изготовления;
- размер дверного полотна: 1030х2430 мм, открывание наружу;
- открывание двери должно быть направлено по ходу движения в ЛЛУ для удобства заноса крупногабаритной мебели;
- при открывании входной двери квартиры не допускается блокирование дверей соседних квартир;
- степень огнестойкости предусмотреть в соответствии с СП и СТУ.
1. Дверной проем размером 1050 х 2440 мм сформировать перегородками из керамических блоков, толщиной 120 мм. 
Базовая привязка строительного проема входной двери от оси 425 мм. 
Отклонения привязки возможны только по согласованию размещения инженерных сетей.
Для корректного размещения дверного проема нишу под вентиляцию и канализацию привязать от центра трубы канализации на 215 мм до оси пилона (разрез 2-2).
2. Инженерное оборудование конечное располагать в простенках перегородок из керамического блока в соответствии с раскладкой инженерных сетей.
3. Тип перемычки принять по расчету.
Условные обозначения: 
1. Дверной блок металлический с отделкой МДФ 
 (по коллекции интерьера)
2. Отделка и фурнитура (по коллекции интерьера) 
3. Перегородка из керамического блока, размером 500х120х219 мм
4. Зашивка ГКЛ 12,5 мм (2слоя) на стоечном профиле ПС50 
5. Чистовая отделка МОП
6. Перемычка железобетонная брусковая (по расчету)
7. Монолитная железобетонная плита перекрытия
8. Монтажная пластина двери для крепления в керамический блок (шаг по расчету производителя)
9. Ниша под вентиляцию и канализацию
10. Домофон
11. Розетка СС 80х80 мм
12. Розетка ЭЛ 80х80 мм
13. Шкаф ЭЛ 
14. Прокладка отопления, водоснабжения, ЭЛ, СС
Требования к кладке:
- Внутренние перегородки толщиной 120 мм из керамического блока Porotherm 12 армировать кладочной сеткой из проволоки ∅4 (Вр-1) B500 с ячейкой 50х50 через каждые 2 ряда кладки (по 1 шт. в шов). 
- В местах примыкания кладки стен к монолитным стенам и перекрытию выполнить анкерное крепление через 2 ряда кладки по высоте из стержней ∅8 A500C длиной 500 мм. Стержни забить внатяг в высверленные отверстия на глубину 100 мм.
Заполнение дверных проёмов выполнить согласно стандарту и узловым решениям:
-Дверные проемы и их заполнение на типовом этаже С28, С50, Б50;
-Дверные проемы и их заполнение на особенном этаже С28, С50, Б50.</t>
  </si>
  <si>
    <t>3.4.67</t>
  </si>
  <si>
    <t>При проектировании ворот паркинга, руководствоваться данным стандартом. Выбор внешнего облика полотна ворот, цветовое решение определяется в соответствии с коллекцией.
Ворота секционные светопрозрачные наружные в соответствии с коллекцией:
Скоростные спиральные светопрозрачные ворота Hormann модель HS 5015 PU N 42, тип направляющей "N" (или аналог).
Высота въезда в чистоте не менее 2200 мм.
Ворота паркинга располагаются в наружных конструкциях при въезде в рампу паркинга.
Требования к привязкам, монтажным зазорам и минимальному размеру притолоки проема для ворот устанавливает компания-поставщик.</t>
  </si>
  <si>
    <t>3.4.68</t>
  </si>
  <si>
    <t>Руководствоваться стадартом при проектировании фасадных модулей индивидуальных входных групп.
Выбор осуществить на основании класса и принципальных решений коллекции, высоты первого этажа.</t>
  </si>
  <si>
    <t>3.4.69</t>
  </si>
  <si>
    <t>Выбор двери зависит от планировочного решения и коллекции.
Двери квартир с отдельным входом могуть быть:
- стальные индивидуального изготовления с возможностью глухого остекления и декоративной
зашивки.
- алюминиевые индивидуального изготовления с возможностью глухого остекления и декоративной
зашивки.
Дверной блок стальной наружный однопольный открывание наружу, полотно - 1600х3535(h), дверь 1100х2390(h)
Размер строительного проема 1740х3765(h)
ДСН-Оп-Н 1600х3535(h)
Дверной блок алюминиевый наружный однопольный открывание наружу 1600х3585(h), дверь 1050х2390(h)
ДАН-О-Н 1600х3785(h)
Размер строительного проема 1740х3765(h)
Размер светового проема 905х2300((h)мм при открытой створке на 90°
Заполнение дверных проёмов выполнить согласно технического стандарту в соответствии с узлами (ссылка).</t>
  </si>
  <si>
    <t>3.4.70</t>
  </si>
  <si>
    <t>Выбор ограждения выполнить в соответствии с коллекцией и матрицей префабрицированных балконов.
Ограждение со значением высоты не менее 1200 мм от чистого пола, в соответствии с актуальной нормативной документацией, а так-же строительной конструкций ограждения префабрицированных балконов.
Ограждения размещаются на префабрицированных балконах.
Размещение ограждения привязать к позиции закладных префабрицированных балконов.
Монтаж производить согласно узла.</t>
  </si>
  <si>
    <t>3.4.71</t>
  </si>
  <si>
    <t>Выбор ограждения выполнить в соответствии с коллекцией и матрицей балконов.
Ограждение со значением высоты не менее 1200 мм от чистого пола, в соответствии с актуальной нормативной документацией а так-же строительной конструкций ограждения монолитных балконов (ссылка)
Ограждения размещаются на монолитных балконах.
Монтаж производить согласно узла (Ссылка)</t>
  </si>
  <si>
    <t>3.4.72</t>
  </si>
  <si>
    <t>Выбор ограждения выполнить в соответствии с интерьерной коллекцией и матрицей префабрицированных лестниц.
Ограждение со значением высоты не менее 900 мм от чистого пола, в соответствии с актуальной нормативной документацией а так-же строительной конструкций ограждения террас (ссылка)
Ограждения размещаются на префабрицированных лестниц.
Размещение ограждения привязать к позиции закладных префабрицированных лестниц.
Монтаж производить согласно узла (Ссылка)</t>
  </si>
  <si>
    <t>3.4.73</t>
  </si>
  <si>
    <t>Выбор ограждения выполнить в соответствии с интерьерной коллекцией.
Ограждение со значением высоты не менее 900 мм от чистого пола, в соответствии с актуальной нормативной документацией а так-же строительной конструкций ограждения террас (ссылка)
Ограждения размещаются на монолитных лестницах.
Монтаж производить согласно узла (Ссылка)</t>
  </si>
  <si>
    <t>3.4.74</t>
  </si>
  <si>
    <t>Выбор ограждения выполнить в соответствии с коллекцией и типом фасада а так же толщиной теплоизоляционного слоя в зависимости от региона. 
Ограждение со значением высоты не менее 1200 мм от чистого пола, в соответствии с актуальной нормативной документацией а так-же строительной конструкций ограждения террас (ссылка)
Ограждения террасы размещаются на монолитном парапете.
Монтаж производить согласно узла (Ссылка)</t>
  </si>
  <si>
    <t>3.4.75</t>
  </si>
  <si>
    <t>Выбор лестницы выполнить в соответствии с типом фасада а так же толщиной теплоизоляционного слоя в зависимости от региона.
Лестница заводского изготовления со значением вылета за фасад 300 мм, шириной 600 мм и суммарной длиной не более 6 метров в соответствии с актуальной нормативной документацией, а так-же со строительными конструкциями пожарной лестницы до 6 м.
Лестница крепится к монолитному парапету, плите, и к керамическим блокам.
Крепление осуществляется с помощью анкер саморезов для монолитного парапета и плит, химических анкеров для керамических блоков.</t>
  </si>
  <si>
    <t>3.4.76</t>
  </si>
  <si>
    <t>Выбор лестницы выполнить в соответствии с типом фасада а так же толщиной теплоизоляционного слоя в зависимости от региона. 
Лестница заводского изготовления со значением вылета за фасад 300 мм, шириной 800 мм и суммарной длиной более 6 метров в соответствии с актуальной нормативной документацией, а так-же со строительными конструкциями пожарной лестницы более 6 м (ссылка)
Лестница крепится к монолитному парапету, плите, и к керамическим блокам.
Крепление осуществляется с помощью анкер саморезов для монолитного парапета и плит, химических анкеров для керамических блоков (Ссылка)</t>
  </si>
  <si>
    <t>4 Интерьеры</t>
  </si>
  <si>
    <t>5 Конструктив</t>
  </si>
  <si>
    <t>5.1 Общее</t>
  </si>
  <si>
    <t>5.1.1</t>
  </si>
  <si>
    <r>
      <rPr>
        <sz val="8"/>
        <rFont val="Arial"/>
      </rPr>
      <t xml:space="preserve">Для выполнения каркаса с подрезкой и без подрезки на верхних этажах использовать монолитные пилоны сечением 250х600 мм, 250х900 мм, 250х1800 мм.
Применять пилоны:
 - сечением 250х600 мм в случае подрезки на 2 последних этажах (в том числе верхний этаж);
 - сечением 250х900 мм в случае подрезки на 3 последних этажах (в том числе верхний этаж), для решения массинга углов.
 - сечением 250х1800 мм, переходной пилон под пилонами 250х600 мм, 250х900 мм.
При подрезке массинга на двух последних этажах, возможно применение пилонов сечением 250х600 мм, при подрезке массинга на 3 этажах последних этажах  - применять пилоны только сечением 250х900 мм.
Местоположение и привязки выполнять в соответствии со </t>
    </r>
    <r>
      <rPr>
        <u/>
        <sz val="8"/>
        <color rgb="FF1155CC"/>
        <rFont val="Arial"/>
      </rPr>
      <t>Стандарт массинга</t>
    </r>
    <r>
      <rPr>
        <sz val="8"/>
        <rFont val="Arial"/>
      </rPr>
      <t xml:space="preserve"> .</t>
    </r>
  </si>
  <si>
    <t>5.1.2</t>
  </si>
  <si>
    <t>Несущую схему предусмотреть каркасно-стеновую (смешанную), состоящую из вертикальных элементов в виде пилонов и стен ЛЛУ, объединенных дисками перекрытий и покрытий в единую систему. Базовый шаг вертикальных конструкций 3450 мм.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А3 согласно приложения Х, СП 70.13330. Класс поверхности для лицевой (верхней) поверхности фундаментных плит принять - А4 согласно приложения Х, СП 70.13330.
Отступления от задания на проектирование и материалов Конструктора, должны быть обоснованы расчетом в объеме достаточном для проверки и оценки технического решения и согласованы с Заказчиком.
- Плита фундаментная монолитная - по расчету, но не более 500 мм;
- Монолитный ростверк  -  400 мм или более по расчету и согласованию с Заказчиком;
- Стена приямка лифтового монолитная 300 мм;
- Плита приямка лифтового монолитная 300 мм;
- Стена монолитная 250 мм - Наружная стена подвала, монолитные участки (между префаб стенами), стена арки, стена рампы;
- Префаб стена нижнего этажа;  
- Балка монолитная над въездной аркой, рампой - 950х500(h) мм (с учетом плиты перекрытия);
- Стена лестнично - лифтового узла монолитная 160 мм - (с нижнего по 9 этаж);
- Пилон монолитный 250х1800 мм - Пилон каркаса переходной;
- Пилон монолитный 250х1200 мм - Пилон каркаса (с нижнего по 9 этаж);
- Пилон монолитный 250х900 - Пилон каркаса (типового, особенного этажей или верхнего этажа);
- Пилон монолитный 250х600 - Пилон каркаса (особенного и верхнего этажа);
- Плита перекрытия монолитная 180 мм - (между нижним и первым этажом, между типовыми этажами, перекрытие над аркой, перекрытие над рампой). При необходимости выполнения перекрытия 1-го типа, выполнить огнезащиту снизу (нельзя использовать вспучивающиеся материалы);
- Плита перекрытия монолитная 200 мм - (между последним жилым и верхним этажами);
- Плита покрытия монолитная 200 мм - (покрытие верхнего этажа);
- Площадка межэтажная (префабрицированная или монолитная толщиной 160 мм); 
- Марш лестничный (префабрицированный или монолитный толщиной 160 мм);
- Балкон префабрицированный, заводского изготовления;
- Парапет монолитный 160;
- Борт монолитный  250 мм.
Бетон для конструкций ниже нуля (монолитные стены и пилоны нижнего этажа) принять B30 W8 F150 (F200 - для Сургута).
Бетон для конструкций ниже нуля (фундамент) принять B25 W8 F150 (F200 - для Сургута).
Бетон для конструкций выше нуля (плиты перекрытий и покрытий, стены и пилоны, монолитные лестницы) принять В25 W4 F100 ((F200 - для Сургута).
Бетон для парапета на кровле (не защищенного от атмосферного воздействия) принять В25 W6 F200 (F300 - для Сургута).
Расход арматуры: не более 80 кг/м³, отступления должны быть обоснованы расчетом в объеме достаточном для проверки и оценки технического решения и согласованы с Заказчиком.
Привязки пилонов принять в соответствии с графической документацией.</t>
  </si>
  <si>
    <t>5.1.3</t>
  </si>
  <si>
    <t>Несущую схему предусмотреть каркасно-стеновую (смешанную), состоящую из вертикальных элементов в виде пилонов и стен ЛЛУ, объединенных дисками перекрытий и покрытий в единую систему. Базовый шаг вертикальных конструкции 3450 мм.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А3 согласно приложения Х, СП 70.13330. Класс поверхности для лицевой (верхней) поверхности фундаментных плит принять - А4 согласно приложения Х, СП 70.13330.
Отступления от задания на проектирование и материалов Конструктора, должны быть обоснованы расчетом в объеме достаточном для проверки и оценки технического решения и согласованы с Заказчиком.
- Плита фундаментная монолитная - по расчету, но не более 800 мм;
- Монолитный ростверк  -  800 мм или более по расчету и согласованию с Заказчиком;
- Стена приямка лифтового монолитная 300 мм;
- Плита приямка лифтового монолитная 400 мм;
- Стена монолитная 250 мм - Наружная стена подвала, монолитные участки (между префаб стенами);
- Префаб стена нижнего этажа;  
- Стена лестнично - лифтового узла монолитная 160 мм - (с нижнего по 17 этаж);
- Пилон монолитный 250х1800 мм - Пилон каркаса переходной;
- Пилон монолитный 250х900, 250х1200 мм - Пилон каркаса (с нижнего по 17 этаж);
- Пилон монолитный 250х600 мм - Пилон каркаса (особенного и верхнего этажа);
- Плита перекрытия монолитная 180 мм - (между нижним и первым этажом, между типовыми этажами). При необходимости выполнения перекрытия 1-го типа, выполнить огнезащиту снизу (нельзя использовать вспучивающиеся материалы);
- Плита перекрытия монолитная 200 мм - (между последним жилым и верхним этажами);
- Плита покрытия монолитная 200 мм - (покрытие верхнего этажа);
- Площадка межэтажная (префабрицированная или монолитная толщиной 160 мм); 
- Марш лестничный (префабрицированный или монолитный толщиной 160 мм);
- Балкон префабрицированный, заводского изготовления;
- Парапет монолитный 160 мм;
- Борт монолитный  250 мм.
Бетон для конструкций ниже нуля (монолитные стены и пилоны нижнего этажа) принять B35 W8 F150 (F200 - для Сургута).
Бетон для конструкций ниже нуля (фундамент) принять B25 W8 F150 (F200 - для Сургута).
Бетон для конструкций выше нуля (монолитные стены и пилоны первого этажа) принять B35 W4 F100 (F200 - для Сургута).
Бетон для конструкций выше нуля (плиты перекрытий и покрытий, стены и пилоны выше первого этажа, монолитные лестницы) принять В25 W4 F100 ((F200 - для Сургута).
Бетон для парапета на кровле (не защищенного от атмосферного воздействия) принять В25 W6 F200 (F300 - для Сургута).
Расход арматуры: не более 80 кг/м³, отступления должны быть обоснованы расчетом в объеме достаточном для проверки и оценки технического решения и согласованы с Заказчиком.
Привязки пилонов принять в соответствии с графической документацией.</t>
  </si>
  <si>
    <t>5.1.4</t>
  </si>
  <si>
    <t xml:space="preserve">Каркас паркинга квартального
</t>
  </si>
  <si>
    <t>Несущую схему принять из монолитных пилонов и стен (ограждающие стены паркинга, соприкасающиеся с грунтом), сопряженных с монолитной железобетонной плитой покрытия. Базовый шаг пилонов принять 7800 мм (через 3 м/места), допускается располагать пилоны через 2 м/места (5000 мм в чистоте между внутренними гранями пилонов) при условии увеличения общего количества м/мест от базового.  Исключить применение разгрузочных балок. Необходимость устройства капителей подтвердить расчетом.
Класс поверхности для лицевой поверхности стен, колонн и нижняя поверхность перекрытий - А4 согласно приложения Х, СП 70.13330. Класс поверхности для лицевой (верхней) поверхности фундаментных плит - А4 согласно приложения Х, СП 70.13330. Выполнить покрытие пола в соответствии с требованиями Стандарта пироги пола одноуровневого паркинга (ссылка).
При устройстве консоли в плите покрытия ее размер не должен превышать 1/5 пролета.
Отступления от Задания на проектирование и материалов Конструктора, должны быть обоснованы расчетом в объеме достаточном для проверки и оценки технического решения и согласованы с Заказчиком.
- Фундамент монолитный столбчатый - под монолитные пилоны, габариты по расчету;
- Фундамент монолитный ленточный - выполнить под ограждающие конструкции стен, габариты по расчету;
- Плита пола монолитная, выполнить с утолщением по периметру паркинга в д.шве, для позиционирования гидрошпонки:
- по верху столбчатых фундаментов (ростверков) толщиной 100 мм при низком УГВ, пластовый дренаж не требуется;
- по верху столбчатых фундаментов (ростверков) толщиной 100 мм при высоком УГВ, требуется устройство и расчет пластового дренажа;
- между столбчатыми фундаментами (ростверками) толщиной 200 мм при высоком УГВ в случае невозможности устройства пластового дренажа или других грунтовых условиях.
- Стена монолитная 250 мм - наружная стена, соприкасающаяся с грунтом;
- Пилон монолитный 300х900 мм - пилон каркаса;
- Пилон монолитный 1200х300 при необходимости, 600х300(250) в случаях когда паркинг объемом заходит под стилобаты и жилые секции;
- Плита покрытия монолитная 250 мм;
- Капитель монолитная 500 мм (от верха плиты до низа капители) - обосновать расчетом на продавливание необходимость устройства, габариты по расчету, согласовать с Заказчиком;
- Плита рампы монолитная 200 мм;
- Парапет монолитный толщиной 160 мм;
В конструкции пола выполнить лоток из швеллера до приямка по центру проезда.  
Бетон для конструкций: фундаменты, монолитные стены, соприкасающиеся с грунтом принять B25 W8 F150 (F200 - для Сургута).
Бетон для конструкций: плиты, капители принять В25 W4 F100 (F200 - для Сургута).
Бетон для конструкций: пилоны принять В30 W4 F100 (F200 - для Сургута).
Квартальный паркинг располагается во внутридворовом пространстве.
Расположение конструкций см:
- Стандарт каркас подземного паркинга в один уровень (ссылка).</t>
  </si>
  <si>
    <t>5.1.5</t>
  </si>
  <si>
    <r>
      <rPr>
        <sz val="8"/>
        <rFont val="Arial"/>
      </rPr>
      <t xml:space="preserve">Стены ЛЛУ принять монолитные толщиной 160 мм.
Монолитные стены ЛЛУ армировать плоскими типовыми сетками.
Марку бетона подобрать по требованиям к каркасам </t>
    </r>
    <r>
      <rPr>
        <u/>
        <sz val="8"/>
        <color rgb="FF1155CC"/>
        <rFont val="Arial"/>
      </rPr>
      <t>Каркас С28</t>
    </r>
    <r>
      <rPr>
        <sz val="8"/>
        <rFont val="Arial"/>
      </rPr>
      <t xml:space="preserve"> , </t>
    </r>
    <r>
      <rPr>
        <u/>
        <sz val="8"/>
        <color rgb="FF1155CC"/>
        <rFont val="Arial"/>
      </rPr>
      <t>Каркас С50</t>
    </r>
    <r>
      <rPr>
        <sz val="8"/>
        <rFont val="Arial"/>
      </rPr>
      <t xml:space="preserve"> , </t>
    </r>
    <r>
      <rPr>
        <u/>
        <sz val="8"/>
        <color rgb="FF1155CC"/>
        <rFont val="Arial"/>
      </rPr>
      <t>Каркас Б50</t>
    </r>
    <r>
      <rPr>
        <sz val="8"/>
        <rFont val="Arial"/>
      </rPr>
      <t xml:space="preserve"> 
Стены ЛЛУ располагать согласно стандарту на каркас ЛЛУ и концепции. В секциях С28 и С50 каркас ЛЛУ располагать во внутриквартальном пространстве, для Б50 каркас ЛЛУ располагать в центральной части.
Расстояние от центра вертикального стержня до грани стены брать, соблюдая основные конструтивные требования.</t>
    </r>
  </si>
  <si>
    <t>5.1.6</t>
  </si>
  <si>
    <t>Монолитные стены выполнять в зонах монолитных участков по наружному контуру, в каркасе рампы и арки (вертикальные элементы).
Стены монолитные принять толщиной 250 мм. Армировать отдельными стержнями из арматуры класса А240 и А500С с шагом по расчету, но не более 400 мм. 
Марку бетона подобрать по требованиям к каркасам С28, С50, Б50.
Монолитные участки выполнить в уровне нижнего этажа, где нет возможности установить префаб стены. Вертикальные конструкции арки выполнить на 3 этажа (нижний, первый и второй), стены рампы на 2 этажа (нижний и первый).
Расстояние от центра вертикального стержня до грани стены брать, соблюдая основные конструтивные требования.
Расположение и привязки стен арки и рампы, а также стен(монолитных участков) по наружном у контуру - принять в соответсвии с графической документацией.</t>
  </si>
  <si>
    <t>5.1.7</t>
  </si>
  <si>
    <t>Парапет монолитный выполнить для крепления ограждений на террасах или кровли, для ограничения благоустройства на паркинге.
Парапет монолитный выполнить толщиной 160 мм. Стык с плитой выполнить без термовкладышей. Утепление и  высоту парапета выбрать в соответствии с узлами АР.ОБ-У.
Монолитный парапет армировать отдельными стержнями арматурой класса А240 и А500С. Бетон для конструкций парапета защищенных от атмосферных осадков принять В25 W4 F100 (для Сургута - F200), бетон не защищенных от атмосферных осадков принять В25 W4 F200 (для Сургута - F300),
Монолитный парапет толщиной 160 мм выполнять:
- по контуру покрытия паркинга, верхнего этажа, надстроек в соответствии с концепцией - высотой 950 мм, 1650 мм;
- по контуру лоджий - высотой 470 мм, 230 мм.
- по контуру лоджий, террас, 1 этаж в угловой секции - высотой 660 мм
Для предотвращения промерзания между вертикальными конструкциями каркаса и парапетом проложить ППС-25 на всю толщину парапета, толщиной 50 мм. 
При армировании соблюдать основные конструтивные требования. Для устройства монолитного парапета из плиты перекрытия заложить выпуски из арматурных стержней ø8 мм шагом 250 мм, при использовании иного сечения и длины подтвердить расчетом и согласовать с Заказчиком.</t>
  </si>
  <si>
    <t>5.1.8</t>
  </si>
  <si>
    <t>Борт монолитный выполнить в уровне первого этажа для отсечения наружной кладки от земли. 
Борт монолитный выполнить толщиной 250 мм. 
Монолитный борт армировать отдельными стержнями арматурой класса А240 и А500С. Бетон для конструкции принять В25 W4 F100 (для Сургута - F200).
Монолитный борт выполнить под керамический блок по наружному контуру стен:
- при витражной системе - высотой 700 мм, 
- без витражной системы - высотой 470 мм.
При армировании соблюдать основные конструтивные требования. Для устройства монолитного борта из плиты перекрытия заложить выпуски из арматурных стержней ø8 мм шагом 250 мм, при использовании иного сечения и длины подтвердить расчетом и согласовать с Заказчиком.</t>
  </si>
  <si>
    <t>5.1.9</t>
  </si>
  <si>
    <t>Конструкция фундаментов - плита монолитная железобетонная. 
При необходимости использовать сваи. Длину свай определить расчетом. Для объединения свай выполнить ростверк, толщину ростверка выполнить по:
- Стандарт на сваи С28 (ссылка);
- Стандарт на сваи С50 (ссылка);
- Стандарт на сваи Б50 (ссылка).
Проектом предусмотреть требования по устройству фундментов.
- Для секции С28 толщина фундаментной плиты 500 мм или менее по расчету;
- Для башни С50, Б50 толщина фундаментной плиты 800 мм или менее по расчету;
- Для автостоянки принять столбчатый фундамент под пилоны, ленточный под внешние ограждающие стены (габариты по расчету), толщину монолитной плиты пола принять в соответствии с УГВ см. Каркас паркинга квартального (ссылка).
Под фундаментами выполнить бетонную подготовку. 
При высоком УГВ выполнить гидроизоляцию фундамента см. Стандарт подготовка под фундамент (ссылка).
Армирование фундаментов выполнить согласно: 
- Стандарт армирование сетками фундамента (ссылка);
- Стандарт армирование фундамента отдельными стержнями (ссылка). 
Глубина заложения фундамента должна быть не менее расчетной глубины промерзания.
Плитный фундамент не должен выступать за внешнюю грань наружных стен подвала.</t>
  </si>
  <si>
    <t>5.1.10</t>
  </si>
  <si>
    <r>
      <rPr>
        <sz val="8"/>
        <rFont val="Arial"/>
      </rPr>
      <t xml:space="preserve">Для позиционирования и установки малых архитектурных форм выполнить фундаменты в соответствии с требованиями </t>
    </r>
    <r>
      <rPr>
        <u/>
        <sz val="8"/>
        <color rgb="FF1155CC"/>
        <rFont val="Arial"/>
      </rPr>
      <t>Фундаменты игрового и спортивного оборудования. Технические решения</t>
    </r>
    <r>
      <rPr>
        <sz val="8"/>
        <rFont val="Arial"/>
      </rPr>
      <t xml:space="preserve"> 
Для фундаментов использовать бетон марки не ниже В15, армирование выполнять арматурой класса А500С или сетками по ГОСТ 23279, ГОСТ 6727.
Местоположение и привязки в плане выполнять по концепции.
Устройство фундаментов, глубину заложения и их габариты выполнить в соответствии рекомендациями производителя и узлами ГП.БГ-У. Фундаменты под игровое оборудование на детской площадке выполнить с скругленнием в верхней зоне.</t>
    </r>
  </si>
  <si>
    <t>5.1.11</t>
  </si>
  <si>
    <r>
      <rPr>
        <sz val="8"/>
        <rFont val="Arial"/>
      </rPr>
      <t>Перекрытия принять монолитными. Соединение с вертикальными конструкциями принять жестким. 
Плиты перекрытия выполнять между этажами.
Плиты покрытия выполняют функцию ограждающих конструкций, по ним выполняются кровельные пироги покрытия или слои благоустройства (над парковкой). В плите покрытия над лифтовой шахтой выполнить монтажные крюки, сечение крюков и привязки сделать по заданию на подъемное оборудование. 
В плитах покрытия парковки выполнять капители в зонах продавливания. В жилой части капители не предусматривать.
Монолитные плиты:
- между этажные - толщиной 180 мм; 
- плита проезда рампы и плиты покрытия с эксплуатируемой или неэксплуатируемой кровлей на верхних этажах. Зоны с покрытием на террасах на промежуточных этажах не учитывать.
- плита покрытия над паркингом с капителями - плита толщиной 250 мм, капитель - 500 мм (от верха плиты до низа капители), необходимость устройства капителей подтвердить расчетом, согласовать с Заказчиком.
Для прохода вентиляционных коробов через плиты выполнить префаб проходки, согласно заданию специалистов ОВ. Для выполнения отверстий под остальные инженерные коммуникации выполнить закладные элементы из блоков газо(пено)бетонных для бурения по месту. Отверстия менее или равные 200 мм (одна из сторон)  выполнять по месту по чертежам ВИС.
Монолитные плиты (проезда) 180 мм и 200 мм, покрытие паркинга армировать отдельными стержнями из арматуры класса А240 и А500С, остальные плиты перекрытия армировать сетками из арматуры класса А500С.
Бетон плит В25 W4 F100 (для Сургута - F200).
Монолитные плиты перекрытия располагать согласно концепции, между этажами.
На первом этаже в плите над подвалом выполнить перепады (</t>
    </r>
    <r>
      <rPr>
        <u/>
        <sz val="8"/>
        <color rgb="FF1155CC"/>
        <rFont val="Arial"/>
      </rPr>
      <t>Излом(перепад) плит в уровне 1 этажа</t>
    </r>
    <r>
      <rPr>
        <sz val="8"/>
        <rFont val="Arial"/>
      </rPr>
      <t xml:space="preserve"> ), согласно планированию отметок земли по концепции. В плите перекрытия, в местах заглубления входной группы над подземным этажом, выполнить перепад, величиной равной высоте пирога благоустройства. Перепад выполнять согласно альбому узлов АР.ОБ-У.
Плиту рампы выполнить согласно Стандарту </t>
    </r>
    <r>
      <rPr>
        <u/>
        <sz val="8"/>
        <color rgb="FF1155CC"/>
        <rFont val="Arial"/>
      </rPr>
      <t>Въездная рампа для паркинга в 1 уровень</t>
    </r>
    <r>
      <rPr>
        <sz val="8"/>
        <rFont val="Arial"/>
      </rPr>
      <t xml:space="preserve"> , опирание плиты рампы на вертикальные ограждающие конструкции выполнить по см. Стандарт </t>
    </r>
    <r>
      <rPr>
        <u/>
        <sz val="8"/>
        <color rgb="FF1155CC"/>
        <rFont val="Arial"/>
      </rPr>
      <t>Горизонтальные несущие конструкции рампы</t>
    </r>
    <r>
      <rPr>
        <sz val="8"/>
        <rFont val="Arial"/>
      </rPr>
      <t xml:space="preserve"> . 
В плите покрытия парковки выполнить капители (по необходимости), прямоугольной формы без излома, габаритами равными 1/3 - 1/4 пролета.
Защитные слои в плитах выполнять, соблюдая конструктивные требования нормативных актов.</t>
    </r>
  </si>
  <si>
    <t>5.1.12</t>
  </si>
  <si>
    <t>Монолитные балки выполнять над аркой и рампой. В других случаях выполнение балок, необходимо согласовать с заказчиком (сечение подобрать по расчету).
Использовать балки сечением 950х500(h). Высота балки учтена до верха плиты перекрытия. Материал конструкций - бетон В25 W4 F100 (для Сургута - F200), армирование выполнять отдельными стержнями арматурой класса А240, А500С.
Монолитные балки выполнять совместно с плитой перекрытия. Балки находятся под плитой перекрытия, высота считается от верха плиты вниз на 500 мм.
Армирование плиты в данной зоне выполнить отдельными стержнями. Стык сеток плиты и армирование отдельными стержнями сместить на 1/3 пролета от стены, вглубь секции. Предусмотреть вертикальные выпуски для пилонов, в местах отсутствия нижележащих конструкций.
Расположение балок выполнять в соответствии с графической документацией на конструкции арки и рампы.</t>
  </si>
  <si>
    <t>5.1.13</t>
  </si>
  <si>
    <t>Монолитные пилоны принять толщиной:
- 250 мм для каркаса секций С28, С50, отдельностоящей Б50;
- 300 мм для каркаса паркинга.
Типоразмеры пилонов:
- основные пилоны для жилья - 250х1200 мм;
- переходной пилон - 250х1800 мм; 
- пилон для массинга на верхних этажах, для решения торцов и решения массинга углов - 250х900 мм; 
- пилон для массинга на особенном, верхнем этажах и для надстроек на верхнем - 250х600 мм; 
- основной пилон для автостоянки - 300х900 мм.
Пилоны иного сечения необходимо согласовать с Заказчиком.
Монолитные пилоны каркаса С28, С50, Б50 армировать плоскими сетками из арматуры класса А500С, пилоны паркинга армировать отдельными стержнями из арматуры класса А240, А500С. 
Пилоны с отношением сторон более 1:4 (250х1200 мм, 250х1800 мм) в расчетной схеме выполнять пластинчатыми элементами (стены), армировать также как пилоны.
Марку бетона подобрать по требованиям к каркасам С28, С50, Б50.
Монолитные пилоны располагать согласно концепции.
Расположение пилонов принять в соответсвии с графической документацией на каркас. 
Пилоны располагать соосно с нижерасположенными пилонами, смещение возможно вдоль оси по длине в соответствии с требованиями по выполнению массинга. 
Несоосное расположение пилонов возможно выполнять только над рампой и аркой, в соотвестствии с графической документацией. Для реализации данного решения использовать снизу балки см. стандарт на монолитные балки (ссылка).
На пилонах каркаса паркинга выполнить фаску 45 град, размером 25 мм.</t>
  </si>
  <si>
    <t>5.1.14</t>
  </si>
  <si>
    <r>
      <rPr>
        <sz val="8"/>
        <rFont val="Arial"/>
      </rPr>
      <t xml:space="preserve">Выполнить деформационные швы на границе температурных блоков. 
Деформационные швы выполнить при разнице высот секций в два и более этажей или при суммарной длине смежных секций более 55 м (16 базовых шагов по 3,45 м). При замкнутом каркасе, количество деформационных швов на противоположных сторонах должно совпадать, чтобы не нарушалась геометрия секций.
Деформационными швами выделить все секции с наличием перепадов высот и только после этого анализировать остальные секции, разбить их по длине не более 55 м.
Ширину деформационного шва выполнять не менее 50 мм.
В деформационных швах установить пенополистирол ППС25 на всю ширину шва. 
Перед установкой утеплителя в фундаментной плите запозиционировать гидрошпонку Технониколь FM-140/50 в вертикальном (снаружи) и горизонтальном положении. Слои под фундаментной плитой в деформационном шве выполнить по стандарту </t>
    </r>
    <r>
      <rPr>
        <u/>
        <sz val="8"/>
        <color rgb="FF1155CC"/>
        <rFont val="Arial"/>
      </rPr>
      <t>Гидроизоляция фундамента</t>
    </r>
    <r>
      <rPr>
        <sz val="8"/>
        <rFont val="Arial"/>
      </rPr>
      <t xml:space="preserve"> .
В деформационные швы наружных стен нижнего этажа, установить гидрошпонку Технониколь FM-140/50 в вертикальном положении. 
Допустимо применение гидрошпонки FMR-140/50 при сопряжении с существующими конструкциями или ранее возведенными. Монтаж вести по узлам от производителя.
Деформационный шов выполнить на всю высоту температурных блоков.
Выполнить согласно альбомов:
- КР.КЖ-У;
- КР.Ф-У.</t>
    </r>
  </si>
  <si>
    <t>5.1.15</t>
  </si>
  <si>
    <r>
      <rPr>
        <sz val="8"/>
        <rFont val="Arial"/>
      </rPr>
      <t xml:space="preserve">Деформационный шов не выполнять:
- при длине подземного паркинга до 50 м
- при длине от 50 м до 60 м, выполнить температурный расчет 
При длине более 60 м выполнить деформационный шов в центральной части
Ширину деформационного шва принимать не менее 50 мм.
В деформационных швах плиты пола и между ростверками установить пенополистирол ППС25 на всю ширину шва. Перед установкой утеплителя (при высоком УГВ) запозиционировать гидрошпонку Технониколь FM-140/50 
Слои под плитой пола в деформационном шве, выполнить по стандарту </t>
    </r>
    <r>
      <rPr>
        <u/>
        <sz val="8"/>
        <color rgb="FF1155CC"/>
        <rFont val="Arial"/>
      </rPr>
      <t>Гидроизоляция фундамента</t>
    </r>
    <r>
      <rPr>
        <sz val="8"/>
        <rFont val="Arial"/>
      </rPr>
      <t xml:space="preserve"> .
Деформационный шов выполнить на всю высоту. При расположении дефомационного шва не нарушать ширину парковочного места. Расположение деформационного шва сдвинуть от границы проезда пожарной машины на один шаг осей.
Допустимо применение гидрошпонки FMR-140/50 при сопряжении с существующими конструкциями или ранее возведенными. Монтаж вести по узлам от производителя.
При бетонировании в деформационный шов между пилонами установить ППС-25. На вертикальных конструкциях и плите покрытия после снятия опалубки, выполнить замену горючего материала со стороны возможного огневого воздействия, в соответствии с узлами АР.
Выполнить согласно альбомов:
- КР.КЖ-У;
- КР.Ф-У.</t>
    </r>
  </si>
  <si>
    <t>5.1.16</t>
  </si>
  <si>
    <r>
      <rPr>
        <sz val="8"/>
        <rFont val="Arial"/>
      </rPr>
      <t xml:space="preserve">Выполнить отсечение деформационным швом паркинг от секций квартала.
Ширину деформационного шва выполнить не менее 50 мм. В деформационных швах установить пенополистирол ППС25 на всю ширину шва. 
При высоком УГВ перед установкой утеплителя запозиционировать гидрошпонку Технониколь FM-140/50.
Конфигурация стыка, а также дополнительные слои под швами между паркингом и секциями зависят от УГВ, выполнить по стандарту </t>
    </r>
    <r>
      <rPr>
        <u/>
        <sz val="8"/>
        <color rgb="FF1155CC"/>
        <rFont val="Arial"/>
      </rPr>
      <t>Гидроизоляция фундамента</t>
    </r>
    <r>
      <rPr>
        <sz val="8"/>
        <rFont val="Arial"/>
      </rPr>
      <t xml:space="preserve"> .
Выполнить деформационной шов по всему периметру внутреннего паркинга квартала от нижнего этажа секций. Деформационный шов выполнить по всей высоте. 
Допустимо применение гидрошпонки FMR-140/50 при сопряжении с существующими конструкциями или ранее возведенными. Монтаж вести по узлам от производителя.
При бетонировании в деформационный шов между пилонами установить ППС-25. После снятия опалубки, выполнить замену горючего материала минватой со стороны возможного огневого воздействия на вертикальных конструкциях и плите покрытия, в соответствии с узлами.
Выполнить согласно альбомов:
- КР.КЖ-У;
- КР.Ф-У.</t>
    </r>
  </si>
  <si>
    <t>5.1.17</t>
  </si>
  <si>
    <r>
      <rPr>
        <sz val="8"/>
        <rFont val="Arial"/>
      </rPr>
      <t xml:space="preserve">Перепад выполнить в монолитной плите первого этажа. Возможные перепады: +600, -600, +1200, -1200.
Перепад выполнить в форме стенового элемента толщиной 250 мм. Армировать перепад отдельными стержнями из арматуры класса А240 и А500С с шагом по расчету, но не более 400 мм.
Марку бетона подобрать по требованиям к каркасам С28, С50, Б50.
Перепад выполнить по материалам концепции и после посадки сооружения. 
Отметка 0,000 принимается во внутреннем контуре квартала, единая отметка с уровнем двора. Перепад выполнить по внешнему контуру.
Привязки перепада выполнить в соответствии с графической документацией. 
Расположение зон, возможного местоположения перепада, уточнить по Стандарту </t>
    </r>
    <r>
      <rPr>
        <u/>
        <sz val="8"/>
        <color rgb="FF1155CC"/>
        <rFont val="Arial"/>
      </rPr>
      <t>Излом плит первого этажа</t>
    </r>
    <r>
      <rPr>
        <sz val="8"/>
        <rFont val="Arial"/>
      </rPr>
      <t xml:space="preserve"> </t>
    </r>
  </si>
  <si>
    <t>5.2 Каркас</t>
  </si>
  <si>
    <t>5.2.1</t>
  </si>
  <si>
    <r>
      <rPr>
        <sz val="8"/>
        <rFont val="Arial"/>
      </rPr>
      <t xml:space="preserve">Отметку 0.000 принять по заданию от генплана.
- Плита фундаментная монолитная - по расчету, но не более 500 мм;
- Стена монолитная 250 мм - Наружная стена нижнего этажа, Стены арки и Стены рампы;
- Пилон монолитный 250х1200 мм - Пилон основной;
- Плита перекрытия монолитная 180 мм - (между нижним и первым этажом, перекрытие рампы (въездная полоса).
Материал конструкций см. Стандарт на </t>
    </r>
    <r>
      <rPr>
        <u/>
        <sz val="8"/>
        <color rgb="FF1155CC"/>
        <rFont val="Arial"/>
      </rPr>
      <t>Каркас С28</t>
    </r>
    <r>
      <rPr>
        <sz val="8"/>
        <rFont val="Arial"/>
      </rPr>
      <t xml:space="preserve"> .
Монолитные конструкции армировать в соответствии с требованиями в разделе Армирование по каждой конструкции.
Каркас расположен в подземной части секции.
Привязки конструкций см. графические материалы. Глубина секции класса С - 14050 мм, данный габарит замерять по минимальному вылету внешних граней плиты перекрытия.</t>
    </r>
  </si>
  <si>
    <t>5.2.2</t>
  </si>
  <si>
    <t>Отметку 0.000 принять по заданию от генплана.
- Плита фундаментная монолитная - по расчету, но не более 500 мм;
- Стена приямка лифтового монолитная 300 мм;
- Плита приямка лифтового монолитная 300 мм;
- Стена лестнично - лифтового узла монолитная 160 мм;
- Плита перекрытия монолитная 180 мм - (между нижним и первым этажом);
- Префаб марши и площадки ЛЛУ. 
Предусмотреть разделение эвакуации из подвала от основной лестницы.
Материал конструкций см. Стандарт на каркас С28 (ссылка).
Монолитные конструкции армировать в соответствии с требованиями в разделе Армирование по каждой конструкции.
Каркас расположен в подземной части секции. Габариты лифтовой шахты и глубину приямка выполнить в соответствии с заданием от производителя на подъемного оборудования.
Привязки конструкций см. графические материалы.</t>
  </si>
  <si>
    <t>5.2.3</t>
  </si>
  <si>
    <r>
      <rPr>
        <sz val="8"/>
        <rFont val="Arial"/>
      </rPr>
      <t xml:space="preserve">Отметку 0.000 принять по заданию от генплана.
- Плита фундаментная монолитная - по расчету, но не более 800 мм;
- Стена монолитная 250 мм - Наружная стена подвала;
- Пилон монолитный габаритами:
- 250х1200 мм - Пилон основной;
- 250х900 мм - Для решения торцов;
- Плита перекрытия монолитная 180 мм - (между нижним и первым этажом).
Материал конструкций см. Стандарт на </t>
    </r>
    <r>
      <rPr>
        <u/>
        <sz val="8"/>
        <color rgb="FF1155CC"/>
        <rFont val="Arial"/>
      </rPr>
      <t>Каркас С50</t>
    </r>
    <r>
      <rPr>
        <sz val="8"/>
        <rFont val="Arial"/>
      </rPr>
      <t xml:space="preserve"> .
Монолитные конструкции армировать в соответствии с требованиями в разделе Армирование по каждой конструкции.
Каркас расположен в подземной части секции. 
Привязки конструкций см. графические материалы. Глубина секции класса С - 17500 мм, данный габарит замерять по минимальному вылету внешних граней плиты перекрытия.</t>
    </r>
  </si>
  <si>
    <t>5.2.4</t>
  </si>
  <si>
    <t>Отметку 0.000 принять по заданию от генплана.
- Плита фундаментная монолитная - по расчету, но не более 800 мм;
- Стена приямка лифтового монолитная 300 мм;
- Плита приямка лифтового монолитная 400 мм;
- Стена лестнично - лифтового узла монолитная 160 мм;
- Плита перекрытия монолитная 180 мм - (между нижним и первым этажом);
- Префаб марши и площадки ЛЛУ. 
Материал конструкций см. Стандарт на каркас С50 (ссылка).
Монолитные конструкции армировать в соответствии с требованиями в разделе Армирование по каждой конструкции.
Каркас расположен в подземной части секции. Габариты лифтовой шахты и глубину приямка выполнить в соответствии с заданием от производителя на подъемного оборудования.
Привязки конструкций см. графические материалы.</t>
  </si>
  <si>
    <t>5.2.5</t>
  </si>
  <si>
    <t>Отметку 0.000 принять по заданию от генплана.
- Стена монолитная 250 мм - Стена арки, Стена рампы;
- Пилон монолитный основной - 250х1200 мм;
- Плита перекрытия монолитная 180 мм - (между 1 и 2 этажом).
Материал конструкций см. Стандарт на каркас С28 (ссылка).
Монолитные конструкции армировать в соответствии с требованиями в разделе Армирование по каждой конструкции.
Каркас расположен в уровне планировочных отметок земли. 
Привязки конструкций см. графические материалы. Глубина секции класса С - 14050, данный габарит замерять по минимальному вылету внешних граней плиты перекрытия.</t>
  </si>
  <si>
    <t>5.2.6</t>
  </si>
  <si>
    <t>Отметку 0.000 принять по заданию от генплана.
- Стена лестнично - лифтового узла монолитная 160 мм;
- Плита перекрытия монолитная 180 мм - (между 1 и 2 этажом);
- Префаб марши и площадки ЛЛУ. 
Материал конструкций см. Стандарт на каркас С28 (ссылка).
Монолитные конструкции армировать в соответствии с требованиями в разделе Армирование по каждой конструкции.
Предусмотреть разделение эвакуации из подвала от основной лестницы, перегородка должна быть до одного из маршей 1-го этажа.
Каркас расположен в уровне планировочных отметок земли.
Привязки конструкций см. графические материалы. Габариты лифтовой шахты выполнить в соответствии с заданием от производителя на подъемного оборудования.
Монтаж префаб элементов вести по стандарту префаб марши первого этажа (ссылка).</t>
  </si>
  <si>
    <t>5.2.7</t>
  </si>
  <si>
    <t>Отметку 0.000 принять по заданию от генплана.
- Пилоны монолитные: 
- пилон основной - 250х1200 мм; 
- пилон для решения торцов - 250х900 мм;
- Плита перекрытия монолитная 180 мм - (между 1 и 2 этажом).
Материал конструкций см. Стандарт на каркас С50 (ссылка).
Монолитные конструкции армировать в соответствии с требованиями в разделе Армирование по каждой конструкции.
Каркас расположен в уровне планировочных отметок земли. 
Привязки конструкций см. графические материалы. Глубина секции класса С - 17500, данный габарит замерять по минимальному вылету внешних граней плиты перекрытия.</t>
  </si>
  <si>
    <t>5.2.8</t>
  </si>
  <si>
    <t>Отметку 0.000 принять по заданию от генплана.
- Стена лестнично - лифтового узла монолитная 160 мм;
- Плита перекрытия монолитная 180 мм - (между 1 и 2 этажом);
- Префаб марши и площадки ЛЛУ. 
Материал конструкций см. Стандарт на каркас С50 (ссылка).
Монолитные конструкции армировать в соответствии с требованиями в разделе Армирование по каждой конструкции.
Каркас расположен в уровне планировочных отметок земли. 
Привязки конструкций см. графические материалы. Габариты лифтовой шахты выполнить в соответствии с заданием от производителя на подъемного оборудования.
Монтаж префаб элементов вести по стандарту префаб марши первого этажа (ссылка).</t>
  </si>
  <si>
    <t>5.2.9</t>
  </si>
  <si>
    <t>- Пилоны монолитные: 
- пилон основной - 250х1200 мм; 
- пилон переходной- 250х1800 мм;
- пилон сечением 250х600 мм в случае подрезки на 2 последних этажах (в том числе верхний этаж);
- пилон сечением 250х900 мм в случае подрезки на 3 последних этажах (в том числе верхний этаж), для решения массинга углов.
- Плита перекрытия монолитная 180 мм;
- Префаб балкон толщиной 280 мм, тип балкона выбрать в соответствии с концепцией см. стандарт на префаб балкон (ссылка).
Материал конструкций см. Стандарт на каркас С28 (ссылка).
Монолитные конструкции армировать в соответствии с требованиями в разделе Армирование по каждой конструкции.
Каркас располагать на типовом этаже.
Привязки конструкций см. графические материалы. Глубина секции класса С - 14050, данный габарит замерять по минимальному вылету внешних граней плиты перекрытия. 
Пилон 250х1800 мм выполнить в соответствии с требованиями Стандарт массинга (ссылка).</t>
  </si>
  <si>
    <t>5.2.10</t>
  </si>
  <si>
    <t>- Стена лестнично - лифтового узла монолитная 160 мм;
- Плита перекрытия монолитная 180 мм;
- Префаб марши и площадки ЛЛУ.
Материал конструкций см. Стандарт на каркас С28 (ссылка).
Монолитные конструкции армировать в соответствии с требованиями в разделе Армирование по каждой конструкции.
Каркас располагать на типовом этаже.
Привязки конструкций см. графические материалы. Габариты лифтовой шахты выполнить в соответствии с заданием от производителя на подъемного оборудования.
Монтаж префаб элементов вести по стандарту префаб марши типового этажа (ссылка).</t>
  </si>
  <si>
    <t>5.2.11</t>
  </si>
  <si>
    <t>- Пилоны монолитные: 
- пилон основной - 250х1200 мм; 
- пилон переходной- 250х1800 мм;
- пилон сечением 250х600 мм в случае подрезки на 2 последних этажах (в том числе верхний этаж);
- пилон сечением 250х900 мм в случае подрезки на 3 последних этажах (в том числе верхний этаж), для решения массинга углов - 250х900 мм;
- Плита перекрытия монолитная 180 мм;
- Префаб балкон толщиной 280 мм, тип балкона выбрать в соответствии с концепцией см. стандарт на префаб балкон (ссылка).
Материал конструкций см. Стандарт на каркас С50 (ссылка).
Монолитные конструкции армировать в соответствии с требованиями в разделе Армирование по каждой конструкции.
Каркас располагать на типовом этаже.
Привязки конструкций см. графические материалы. Глубина секции класса С - 17500, данный габарит замерять по минимальному вылету внешних габаритов плиты перекрытия. 
Пилон 250х1800 мм выполнить в соответствии с требованиями Стандарт массинга (ссылка).</t>
  </si>
  <si>
    <t>5.2.12</t>
  </si>
  <si>
    <t>- Стена лестнично - лифтового узла монолитная 160 мм;
- Плита перекрытия монолитная 180 мм;
- Префаб марши и площадки ЛЛУ. 
Материал конструкций см. Стандарт на каркас С50 (ссылка).
Монолитные конструкции армировать в соответствии с требованиями в разделе Армирование по каждой конструкции.
Каркас располагать на типовом этаже.
Привязки конструкций см. графические материалы. Габариты лифтовой шахты выполнить в соответствии с заданием от производителя на подъемного оборудования.
Монтаж префаб элементов вести по стандарту префаб марши типового этажа (ссылка).</t>
  </si>
  <si>
    <t>5.2.13</t>
  </si>
  <si>
    <r>
      <rPr>
        <sz val="8"/>
        <rFont val="Arial"/>
      </rPr>
      <t xml:space="preserve">Расположение особенных этажей принять в соответствии с Концепцией. 
Пилоны применять в соответствии со </t>
    </r>
    <r>
      <rPr>
        <u/>
        <sz val="8"/>
        <color rgb="FF1155CC"/>
        <rFont val="Arial"/>
      </rPr>
      <t>Вертикальные несущие элементы массинга</t>
    </r>
    <r>
      <rPr>
        <sz val="8"/>
        <rFont val="Arial"/>
      </rPr>
      <t xml:space="preserve">  :
 - сечением 250х600 мм в случае подрезки на 2 последних этажах (в том числе верхний этаж);
 - сечением 250х900 мм в случае подрезки на 3 последних этажах (в том числе верхний этаж), для решения массинга углов.
- Пилоны монолитные: 
- пилон основной - 250х1200 мм;
- пилон особенного этажа - 250х900 мм;
- пилон особенного этажа - 250х600 мм;
- Плита перекрытия монолитная 180 мм;
- Префаб балкон толщиной 280 мм, тип балкона выбрать в соответствии с концепцией см. стандарт на </t>
    </r>
    <r>
      <rPr>
        <u/>
        <sz val="8"/>
        <color rgb="FF1155CC"/>
        <rFont val="Arial"/>
      </rPr>
      <t>Префаб балконы</t>
    </r>
    <r>
      <rPr>
        <sz val="8"/>
        <rFont val="Arial"/>
      </rPr>
      <t xml:space="preserve"> .
Материал конструкций см. Стандарт на </t>
    </r>
    <r>
      <rPr>
        <u/>
        <sz val="8"/>
        <color rgb="FF1155CC"/>
        <rFont val="Arial"/>
      </rPr>
      <t>Каркас С28</t>
    </r>
    <r>
      <rPr>
        <sz val="8"/>
        <rFont val="Arial"/>
      </rPr>
      <t xml:space="preserve"> .
Монолитные конструкции армировать в соответствии с требованиями в разделе Армирование по каждой конструкции.
Каркас расположен над типовыми этажами.
Привязки конструкций см. графические материалы. Глубина секции на особенном этаже зависит от подрезки принятой по массингу концепцией. Пилоны 250х600 мм и 250х900 мм выполнить с привязками в соответствии с требованиями </t>
    </r>
    <r>
      <rPr>
        <u/>
        <sz val="8"/>
        <color rgb="FF1155CC"/>
        <rFont val="Arial"/>
      </rPr>
      <t>Стандарт массинга</t>
    </r>
    <r>
      <rPr>
        <sz val="8"/>
        <rFont val="Arial"/>
      </rPr>
      <t xml:space="preserve"> .</t>
    </r>
  </si>
  <si>
    <t>5.2.14</t>
  </si>
  <si>
    <t>- Стена лестнично - лифтового узла монолитная 160 мм;
- Плита перекрытия монолитная 180 мм;
- Префаб марши и площадки ЛЛУ.
Материал конструкций см. Стандарт на каркас С28 (ссылка).
Монолитные конструкции армировать в соответствии с требованиями в разделе Армирование по каждой конструкции.
Каркас расположен над типовым этажом.
Привязки конструкций см. графические материалы. Габариты лифтовой шахты выполнить в соответствии с заданием от производителя на подъемного оборудования.
Монтаж префаб элементов вести по стандарту префаб марши особенного этажа (ссылка).</t>
  </si>
  <si>
    <t>5.2.15</t>
  </si>
  <si>
    <t>Расположение особенных этажей в соответствии с Концепцией. 
Пилоны применять в соответствии со стандартом массинга (ссылка):
 - сечением 250х600 мм в случае подрезки на 2 последних этажах (в том числе верхний этаж);
 - сечением 250х900 мм в случае подрезки на 3 последних этажах (в том числе верхний этаж), для решения массинга углов.
- Пилоны монолитные: 
- пилон основной - 250х1200 мм; 
- пилон особенного этажа - 250х900 мм;
- пилон особенного этажа - 250х600 мм;
- Плита перекрытия монолитная 180 мм;
- Префаб балкон толщиной 280 мм, тип балкона выбрать в соответствии с концепцией см. стандарт на префаб балкон (ссылка).
Материал конструкций см. Стандарт на каркас С50 (ссылка).
Монолитные конструкции армировать в соответствии с требованиями в разделе Армирование по каждой конструкции.
Каркас расположен над типовыми этажами.
Привязки конструкций см. графические материалы. Глубина секции на особенном этаже зависит от подрезки принятой по массингу концепцией. Пилоны 250х600 мм и 250х900 мм выполнить с привязками в соответствии с требованиями Стандарт массинга (ссылка).</t>
  </si>
  <si>
    <t>5.2.16</t>
  </si>
  <si>
    <t>- Стена лестнично - лифтового узла монолитная 160 мм;
- Плита перекрытия монолитная 180 мм;
- Префаб марши и площадки ЛЛУ.
Материал конструкций см. Стандарт на каркас С50 (ссылка).
Монолитные конструкции армировать в соответствии с требованиями в разделе Армирование по каждой конструкции.
Каркас расположен над типовым этажом. 
Привязки конструкций см. графические материалы. Монтаж префаб элементов вести по стандарту префаб марши особенного этажа (ссылка). 
Габариты лифтовой шахты выполнить в соответствии с заданием от производителя на подъемного оборудования.</t>
  </si>
  <si>
    <t>5.2.17</t>
  </si>
  <si>
    <t>- Пилон монолитный верхнего этажа 250х600 мм;
- Плита покрытия монолитная 200 мм.
Материал конструкций см. Стандарт на каркас С28 (ссылка).
Монолитные конструкции армировать в соответствии с требованиями в разделе Армирование по каждой конструкции.
Каркас расположен на последнем этаже.
Привязки конструкций см. графические материалы. Высота зависит от наличия надстроек на этаже.</t>
  </si>
  <si>
    <t>5.2.18</t>
  </si>
  <si>
    <t>- Пилон монолитный верхнего этажа 250х600 мм;
- Плита покрытия монолитная 200 мм.
Материал конструкций см. Стандарт на каркас С28 (ссылка).
Монолитные конструкции армировать в соответствии с требованиями в разделе Армирование по каждой конструкции.
Каркас расположен на последнем этаже.
Привязки конструкций см. графические материалы.</t>
  </si>
  <si>
    <t>5.2.19</t>
  </si>
  <si>
    <t>- Стена лестнично - лифтового узла монолитная 160 мм;
- Плита перекрытия монолитная 200 мм.
Материал конструкций см. Стандарт на каркас С28 (ссылка).
Монолитные конструкции армировать в соответствии с требованиями в разделе Армирование по каждой конструкции.
Каркас расположен на последнем этаже.
Привязки конструкций см. графические материалы. Габариты лифтовой шахты выполнить в соответствии с заданием от производителя на подъемного оборудования.</t>
  </si>
  <si>
    <t>5.2.20</t>
  </si>
  <si>
    <r>
      <rPr>
        <sz val="8"/>
        <rFont val="Arial"/>
      </rPr>
      <t xml:space="preserve">- Пилон монолитный верхнего этажа 250х600 мм;
- Плита покрытия монолитная 200 мм.
Материал конструкций см. Стандарт на </t>
    </r>
    <r>
      <rPr>
        <u/>
        <sz val="8"/>
        <color rgb="FF1155CC"/>
        <rFont val="Arial"/>
      </rPr>
      <t>Каркас С50</t>
    </r>
    <r>
      <rPr>
        <sz val="8"/>
        <rFont val="Arial"/>
      </rPr>
      <t xml:space="preserve"> .
Монолитные конструкции армировать в соответствии с требованиями в разделе Армирование по каждой конструкции.
Каркас расположен на последнем этаже.
Привязки конструкций см. графические материалы. Высота зависит от наличия надстроек на этаже.</t>
    </r>
  </si>
  <si>
    <t>5.2.21</t>
  </si>
  <si>
    <t>- Стена лестнично - лифтового узла монолитная 160 мм;
- Плита перекрытия монолитная 200 мм.
Материал конструкций см. Стандарт на каркас С50 (ссылка).
Монолитные конструкции армировать в соответствии с требованиями в разделе Армирование по каждой конструкции.
Каркас расположен на последнем этаже.
Привязки конструкций см. графические материалы. Габариты лифтовой шахты выполнить в соответствии с заданием от производителя на подъемного оборудования.</t>
  </si>
  <si>
    <t>5.2.22</t>
  </si>
  <si>
    <t>- Пилон монолитный верхнего этажа 250х600 мм;
- Плита покрытия монолитная 200 мм.
Материал конструкций см. Стандарт на каркас С50 (ссылка).
Монолитные конструкции армировать в соответствии с требованиями в разделе Армирование по каждой конструкции.
Каркас расположен на последнем этаже.
Привязки конструкций см. графические материалы.</t>
  </si>
  <si>
    <t>5.2.23</t>
  </si>
  <si>
    <t>Каркас подземного паркинга в один уровень</t>
  </si>
  <si>
    <t xml:space="preserve">Высоту паркинга принять в соответствии требованиями о возможности въезда грузовой машины. 
Бетон для конструкций:
- фундамент принять B25 W8 F150 (F200 - для Сургута).
- монолитные стены или пилоны, соприкасающиеся с грунтом принять B30 W8 F150 (F200 - для Сургута).
- плиты, капители принять В25 W4 F150 (F200 - для Сургута).
Паркинг подземный располагать во внутридворовом пространстве.
</t>
  </si>
  <si>
    <t>5.2.24</t>
  </si>
  <si>
    <t>Каркас рампы класса В</t>
  </si>
  <si>
    <r>
      <rPr>
        <sz val="8"/>
        <color rgb="FF000000"/>
        <rFont val="Arial"/>
      </rPr>
      <t xml:space="preserve">В каркасе класса С секции С28 выполнить рампу длиной проекции 14050 мм, соответствующего каркаса. Крепление рампы выполнить через шпоночное соединение. 
Использовать:
- монолитные стены толщиной 250 мм по </t>
    </r>
    <r>
      <rPr>
        <b/>
        <sz val="8"/>
        <color rgb="FF000000"/>
        <rFont val="Arial"/>
      </rPr>
      <t>Стандарту вертикальные несущие конструкции рампы (ссылка</t>
    </r>
    <r>
      <rPr>
        <sz val="8"/>
        <color rgb="FF000000"/>
        <rFont val="Arial"/>
      </rPr>
      <t xml:space="preserve">);
- плиту перекрытия проезда (рампу) толщиной 200 мм; 
- плиту перекрытия над рампой толщиной 180 мм, совмещенную с балками высотой 500 (h) по </t>
    </r>
    <r>
      <rPr>
        <b/>
        <sz val="8"/>
        <color rgb="FF000000"/>
        <rFont val="Arial"/>
      </rPr>
      <t>Стандарту горизонтальные несущие конструкции рампы (ссылка</t>
    </r>
    <r>
      <rPr>
        <sz val="8"/>
        <color rgb="FF000000"/>
        <rFont val="Arial"/>
      </rPr>
      <t>).
Местоположение каркаса рампы выполнять в соответветствии с концепцией, один элемент на квартал. Конструкции рампы занимают объем 2 этажей, располагать в конце или в начале секции С28.
Ширина рампы в чистоте между внутренними гранями монолитных стен 3900 мм. Плиту рампы выполнить в уровне нижнего этажа. 
Обеспечить высоту проезда по всей длине рампы:
- 2200 мм - без въезда грузовой машины; 
- 3200 мм - с возможностью въезда грузовой машины.
Плиту перекрытия выполнить над рампой в уровне над первым этажом. В центральной части предусмотрен проход инженерных сетей в плите перекрытия, поэтому расположение балок над рампой уточнить в графической документации.</t>
    </r>
  </si>
  <si>
    <t>5.2.25</t>
  </si>
  <si>
    <t>Каркас арки класса С</t>
  </si>
  <si>
    <t>В каркасе класса С секции С28 выполнить арку длиной 14050 мм
Использовать:
- монолитные стены толщиной 250 мм и монолитные пилоны сечением 250х1200 мм по Стандарту вертикальные несущие конструкции арки (ссылка);
- плиту перекрытия проезда толщиной 180 мм;
- плиту перекрытия над аркой толщиной 180 мм, совмещенную с балками высотой 500 (h) по Стандарту горизонтальные несущие конструкции арки (ссылка).
Местоположение каркаса арки выполнять в соответветствии с концепцией, два элемента на квартал. Конструкции арки занимают объем 3 этажей, располагать в конце или в начале секции С28.
Плиту перекрытия арки выполнить в уровне нижнего этажа с понижением для устройства пирога благоустройства. Плиту перекрытия над аркой выполнить над вторым этажом. В центральной части предусмотрен проход инженерных сетей в плите перекрытия, поэтому расположение балок над аркой уточнить в графической документации.</t>
  </si>
  <si>
    <t>5.2.26</t>
  </si>
  <si>
    <t>Монолитные марши выполнять, если невозможно подобрать префаб марш для данной высоты (см. Стандарт на префаб марши и площадки нижнего этажа (ссылка).
Ширину маршей согласовать с требованиями чертежей АР, так как необходимо выполнить разделение эвакуационного выхода из нижнего этажа и предусмотреть выход наружу обособленным от общих лестничных клеток здания (учесть нагрузку на марш).
Монолитные марши выполнять с нижнего до первого этажа:
Опирание межэтажной площадки выполнить через шпонки в стенах.
Соединение нижнего марша с фундаментной плитой предусмотреть шарнирное, выпуски из фундаментной плиты не выполнять. 
Армирование выполнять отдельными стержнями, армирование ступеней не делать.
Диаметр основной продольной рабочей арматуры - 10, 12 (принять по расчету). 
Класс рабочей арматуры А500С.
Класс нижней поверхности железобетонных элементов брать по описанию каркаса на данном этаже.</t>
  </si>
  <si>
    <t>5.2.27</t>
  </si>
  <si>
    <t>Префаб марши нижнего этажа, выполнять при высоте от верха фундаментной плиты до верха плиты перекрытия 3670 мм - для паркингов без въезда грузовой машины.
Конструкции подбираются из альбома на префаб изделия. Подбор необходимых маршей и площадок выполнить в зависимости от схемы подъема (левый, правый). 
Марши выполнить с нижнего до первого этажа. 
Привязки и размеры выполнять в соответствии с планами АР. Опирание маршей выполнять на префаб площадки, которые устанавливаются на опорный элемент стен ЛЛУ.
Отделку по данным изделиям выполнять не нужно, поэтому верх элементов должен совпадать с отметкой чистого пола лифтового холла.</t>
  </si>
  <si>
    <t>5.2.28</t>
  </si>
  <si>
    <t>Монолитные марши выполнять, если невозможно подобрать префаб марш для данной высоты (см. Стандарт на префаб марши и площадки первого этажа (ссылка)).
Ширину маршей согласовать с требованиями чертежей АР.
Монолитные марши выполнять с 1 до 2 этажа:
Опирание межэтажной площадки выполнить через шпонки в стенах. Соединение маршей с плитой перекрытия выполнять через выпуски.
Армирование выполнять отдельными стержнями, армирование ступеней не предусматривать.
Диаметр основной продольной рабочей арматуры - 10, 12 (принять по расчету). 
Класс рабочей арматуры А500С, А240.
Класс нижней поверхности железобетонных элементов брать по описанию каркаса на данном этаже.</t>
  </si>
  <si>
    <t>5.2.29</t>
  </si>
  <si>
    <t>Префаб марши первого этажа, выполнять при высоте 4200 мм
Конструкции подбираются из альбома на префаб изделия. Для каждой секции индивидуально подобрать необходимые марши и площадки в зависимости от схемы подъема (левый, правый). 
Марши выполняются с 1 до 2 этажа. 
Привязки и размеры выполнять в соответствии с планами АР. Опирание маршей выполнять на префаб площадки, которые устанавливаются на опорный элемент стен ЛЛУ.
Отделку по данным изделиям выполнять не нужно, поэтому верх элементов должен совпадать с отметкой чистого пола лифтового холла.</t>
  </si>
  <si>
    <t>5.2.30</t>
  </si>
  <si>
    <t>Монолитные марши выполнять, если невозможно подобрать префаб марш для данной высоты (см. Стандарт на префаб марши и площадки типового этажа (ссылка)).
Ширину маршей согласовать с требованиями чертежей АР.
Монолитные марши выполнять на типовых этажа:
Опирание межэтажной площадки выполнить через шпонки в стенах. Соединение маршей с плитой перекрытия выполнять через выпуски.
Армирование выполнять отдельными стержнями, армирование ступеней не предусматривать.
Диаметр основной продольной рабочей арматуры - 10, 12 (принять по расчету). 
Класс рабочей арматуры А500С, А240.
Класс нижней поверхности железобетонных элементов брать по описанию каркаса на данном этаже.</t>
  </si>
  <si>
    <t>5.2.31</t>
  </si>
  <si>
    <t>Префаб марши типового этажа, выполнять при высоте 3000 мм.
Конструкции подбираются из альбома на префаб изделия. Для каждой секции индивидуально подобрать необходимые марши и площадки в зависимости от схемы подъема (левый, правый). 
Марши выполняются с 1 до 2 этажа. 
Привязки и размеры выполнять в соответствии с планами АР. Опирание маршей выполнять на префаб площадки, которые устанавливаются на опорный элемент стен ЛЛУ.
Отделку по данным изделиям выполнять не нужно, поэтому верх элементов должен совпадать с отметкой чистого пола лифтового холла.</t>
  </si>
  <si>
    <t>5.2.32</t>
  </si>
  <si>
    <t>Монолитные марши выполнять, если невозможно подобрать префаб марш для данной высоты (см. Стандарт на префаб марши и площадки особенного этажа (ссылка))
Ширину маршей согласовать с требованиями чертежей АР.
Монолитные марши выполнять на особенном этаже.
Опирание межэтажной площадки выполнить через шпонки в стенах. Соединение маршей с плитой перекрытия выполнять через выпуски.
Армирование выполнять отдельными стержнями, армирование ступеней не предусматривать.
Диаметр основной продольной рабочей арматуры - 10, 12 (принять по расчету). 
Класс рабочей арматуры А500С, А240.
Класс нижней поверхности железобетонных элементов брать по описанию каркаса на данном этаже.</t>
  </si>
  <si>
    <t>5.2.33</t>
  </si>
  <si>
    <t>Префаб марши особенного этажа, выполнять при высоте 3000 мм для класса С и В.
Конструкции подбираются из альбома на префаб изделия. Для каждой секции индивидуально подобрать необходимые марши и площадки в зависимости от схемы подъема (левый, правый). 
Марши выполняются на на особенном этаже:
Привязки и размеры выполнять в соответствии с планами АР. Опирание маршей выполнять на префаб площадки (кроме последнего жилого этажа), которые устанавливаются опорный элемент стен ЛЛУ.
Отделку по данным изделиям выполнять не нужно, поэтому верх элементов должен совпадать с отметкой чистого пола лифтового холла.</t>
  </si>
  <si>
    <t>5.2.34</t>
  </si>
  <si>
    <t>На типовых этажах применять префаб балконы по всех случаях, кроме случая, если на балконах по концепции необходимо устройство глухого парапета. 
Тип балкона выбирать по альбому префаб изделий. Тип префаб балкона зависит от конфигурации: одинарные, сдвоенные, без заглубления и с заглублением. В соответсвии с концепцией предусмотреть соответствующий тип крепления ограждения (ограждение сверху, на торце или стеклянное ограждение).
Типы и привязки балконов необходимо подбирать в соответствии с планами АР и концепцией.
Нижняя грань балконов совмещать с нижней гранью плиты перекрытия. Крепление и позиционирование балкона в проектное положение выполнить в соответствии с требованиями стандартных операционных карт на префаб балконы.</t>
  </si>
  <si>
    <t>5.2.35</t>
  </si>
  <si>
    <t>Для плит покрытия вентшахт выполнить префаб крышки. 
Размеры принять в соответствии с планами АР.
Установить над вентиляционными шахтами на кровле чердака. 
При позиционировании обеспечить свес крышки над вентшахтой, не менее 50 мм со всех сторон. Опирание выполнить на цементно-песчаный раствор М150. Высотную отметку уточнить в разделе АР.</t>
  </si>
  <si>
    <t>5.2.36</t>
  </si>
  <si>
    <t>Монолитные балконы выполнить в тех случаях, когда невозможно подобрать префаб балкон по требованиям Стандарт на префаб балконы (ссылка), данное решение согласовать с Заказчиком.
Стык монолитных балконов с плитой перекрытия производить с помощью термовкладышей с установкой ППС-25 толщиной равной 150 мм (для Сургута толщиной 200 мм) равное толщине наружного утепления фасадов. Термовкладыши выполнять в плите перекрытия, если не предусмотрено контурное утепление в разделе АР. 
Балконы выполняются в уровне плиты перекрытия, толщина балкона аналогичная толщине плиты перекрытия. 
Размеры и местоположение балконов выполнить в соответствии с планами АР и концепции.
Оптимальные габариты перфорации в плите для термовкладышей выполнять в диапазоне 1:1-1:3 (ширина перешейка : длина термовкладыша). За длину перешейка принимать размер равный 200 мм.
Армирование выполнять отдельными стержнями. Класс рабочей арматуры класса А240, А500С.
Диаметр основной продольной рабочей арматуры - 8, 10 (принять по расчету). Армирование между термовкладышами выполнить по расчету. При армировании соблюдать основные требования по защитным слоям.</t>
  </si>
  <si>
    <t>5.2.37</t>
  </si>
  <si>
    <t>Вертикальные несущие конструкции арки выполнять сплошными монолитными стенами и пилонами см. Стандарт на каркас арки (ссылка).
Использовать:
- монолитные стены - толщиной 250 мм;
- пилоны монолитные - 250х1200 мм.
Конструкции ниже нуля выполнить из бетон B30 W8 F150, выше нуля бетон В25 W4 F100. Армирование выполнять отдельными стержнями арматурой класса А240 и А500С.
Конструкции арки занимают объем 3 этажей, располагать в конце или в начале секции С28.
Вертикальные стены располагать на подземном, первом и втором этажах. Пилоны располагать только на подземном этаже под плитой перекрытия проезжей части (по центру арки). Вертикальные конструкции располагать в диапазоне 3 осей с центральной привязкой.
Ширина в чистоте, между внутренними гранями монолитных стен на первом этаже 6650 мм. В стенах нижнего этажа выполнить проем для коридора сетей. В стенах первого этажа, возможно, размещение витража в соответствии с концепцией.</t>
  </si>
  <si>
    <t>5.2.38</t>
  </si>
  <si>
    <t>Горизонтальные несущие конструкции арки выполнить с помощью монолитных плит и балок см. Стандарт на каркас арки (ссылка).
Использовать:
- монолитные плиты перекрытия - толщиной 180 мм - Бетон В25 W4 F100;
- балки монолитные сечением 950х500 (h) от верха плиты до низа балки - Бетон В25 W4 F100.
Армирование балок и плиты перекрытия выполнять отдельными стержнями арматурой класса А240 и А500С. Плиту перекрытия над подвалом выполнять сетками из арматуры класса А500С.
Конструкции арки занимают объем 3 этажей, располагать в конце или в начале секции С28.
Плиту перекрытия для проезжей части выполнить над подземным этажом. Плиту покрытия выполнить совместно с балками над вторым этажом. Плиту перекрытия над подземной частью располагать с учетом пирога покрытия благоустройства
Горизонтальные конструкции арки выполнить в диапазоне 3 осей.
Привязки балок в уровне второго этажа выполнить по графической документацией в соответствии с:
- Стандарт на каркас арки класса С (ссылка); 
- Стандарт на каркас арки класса В (ссылка);
- Стандарт на каркас арки класса А (ссылка).
Для восстановления шага пилонов над аркой выполнить выпуски из балочных конструций.</t>
  </si>
  <si>
    <t>5.2.39</t>
  </si>
  <si>
    <t>Вертикальные несущие конструкции рампы выполнять сплошными стенами см. Стандарт на каркас рампы (ссылка).
Монолитные стены выполнить толщиной 250 мм - ниже нуля из бетона B30 W8 F150, выше нуля бетона В25 W4 F100.
Армирование выполнить отдельными стержнями арматурой класса А240, А500С.
Конструкции рампы выполнять в объеме 2 этажей, располагать в конце или в начале секции С28. 
Вертикальные стены располагать на подземном и первом этажах. 
Вертикальные конструкции располагать в диапазоне 1 шага осей, с смещением одной стены на 700 мм. Ширина в чистоте, между внутренними гранями монолитных стен на первом этаже 3900 мм. По решению конценции выполнить проем для коридора сетей в стенах нижнего этажа.</t>
  </si>
  <si>
    <t>5.2.40</t>
  </si>
  <si>
    <t>Горизонтальные несущие конструкции рампы выполнять с помощью монолитных плит см. Стандарт на каркас рампу (ссылка).
Использовать:
- плиту перекрытия над рампой - толщиной 180 мм - Бетон В25 W4 F100;
- балки монолитные сечением 950х500 (h), высота балки от верха плиты перекрытия вниз - Бетон В25 W4 F100; 
- монолитную плиту рампы выполнить толщиной 200 мм - Бетон В25 W4 F100. 
Опиранием плиты перекрытия (проезда) на вертикальные конструкции выполнить через шпонки. Габариты перешейка выполнять шириной 300 мм с шагом каждые 600 мм. В рампе выполнить термовкладыши, с установкой термовкладышей из ППС-25 толщиной равной 200 мм. 
Армирование плиты рампы выполнять сетками из арматуры класса А500С, армирование между термовкладышами выполнить отдельными стержнями по расчету. 
Армирование балок и плиты перекрытия (над конструкцией), выполнить отдельными стержнями арматурой класса А240, А500С.
При армировании соблюдать основные требования по нормативным актам.
Конструкции рампы располагать в конце или в начале секции С28.
Монолитную плиту рампы для проезжей части выполнять над подземным этажом по уклону в соответствии с требованиями концепции. 
Плиту перекрытия выполнять совместно с балками над первым этажом. 
Плиту перекрытия над подземной частью располагать с учетом пирога покрытия. Опирание плиты рампы выполнять через шпонки с термовкладышами. Отношение перфорации 1:1, ширину перешейка выполнить равной 300 мм. 
Привязки балок в уровне первого этажа выполнить в соответствии с Стандарт на каркас рампы (ссылка) и графической документацией.</t>
  </si>
  <si>
    <t>8 Отопление, вентиляция, кондиционирование и тепловые сети</t>
  </si>
  <si>
    <t>8.4 Кондиционирование</t>
  </si>
  <si>
    <t>8.4.1</t>
  </si>
  <si>
    <t>Для жилой части предусмотреть систему кондиционирования, система устанавливается силами собственника.
В студиях и квартирах с одной спальней предусмотреть кондиционирование только одного помещения - гостиной.
В квартирах с двумя спальнями и более предусмотреть кондиционирование двух помещений - гостиной и мастер-спальни.
Для первых этажей предусмотреть установку наружных блоков на летних помещениях (террасах), для типовых и последних этажей - на летних помещениях (балконах, лоджиях, террасах). При отсутствии возможности расположения блоков на летн помещении, располагать в корзинах под окном.
Габариты принять:
-в студиях и квартирах с одной спальней - один наружный блок  (Ш*В*Г) 700х530х250 (монтажный зазор принять 100 мм), длина фреонопровода от наружного блока до места установки внутреннего блока не длиннее 15 м. Перепад высоты между блоками не более 15 м;
-в квартирах с двумя спальнями и более - два наружных блока (Ш*В*Г) 700х530х250 (монтажный зазор принять 100 мм), суммарная длина фреонопроводов от наружного блока до места установки внутренних блоков не более 80 м. Перепад высоты между блоками не более 15 м.
Количество наружных блоков принять равным количеству внутренних.
Показать трассировку фреонопровода от внутреннего до наружного блока.</t>
  </si>
  <si>
    <t>8.4.2</t>
  </si>
  <si>
    <r>
      <rPr>
        <sz val="8"/>
        <rFont val="Arial"/>
      </rPr>
      <t>Для коммерческой части предусмотреть систему кондиционирования, установка наружных и внутренних блоков предусматривается силами собственника.
Наружный блок разместить в типовой раме кондиционирования над входной группой коммерческого помещения согласно стандарту "</t>
    </r>
    <r>
      <rPr>
        <u/>
        <sz val="8"/>
        <color rgb="FF1155CC"/>
        <rFont val="Arial"/>
      </rPr>
      <t>Кондиционирование коммерческих помещений</t>
    </r>
    <r>
      <rPr>
        <sz val="8"/>
        <rFont val="Arial"/>
      </rPr>
      <t xml:space="preserve"> ".
Также предусмотреть нишу в фасаде с выбросом на улицу через решетку в витраже для размещения конденсатора от ЦХМ и дополнительные наружные блоки для помещений с площадью более 250 м² и назначением:
- супермаркет;
- минимаркет;
- ресторан;
- кафе (с кухней).
Отвод предусмотреть:
- при расположении блока кондиционирования в раме над входной группой - силами застройщиками в утеплителе по фасаду;
- при размещении ЦХМ в нише - силами собственника в систему канализации через "разрыв струи" и установкой гидрозатвора.
Обозначить места установки кондиционеров на планах АР в рабочей документации.</t>
    </r>
  </si>
  <si>
    <t>10 Технология (подъемно-транспортное оборудование)</t>
  </si>
  <si>
    <t>10.1 Общее</t>
  </si>
  <si>
    <t>10.1.1</t>
  </si>
  <si>
    <t>Для всех зданий предусмотреть лифт грузоподьемность 1600 кг с внутренними размерами кабины 1700х2100х3000, с открыванием по узкой стороне.
Для зданий свыше 28 метров предусмотреть лифт с режимом перевозки пожарных подразделений.
Скорость лифта и наличие машинного помещения предусмотреть согласно высоты здания: 
 - до 28 метров скорость лифта 1,75 м/сек, без машинного помещения
 - до 50 метров скорость лифта 1,75 м/сек, без машинного помещения
 - до 75 метров скорость лифта 2,5 м/сек, без машинного помещения
 - до 100 метров скорость лифта 2,5 м/сек, без машинного помещения
 - до 150 метров скорость лифта 4.0 м/сек, с машинным помещением
Лифт раположить в лифтовой шахте в зону ЛЛУ в соответствии с зонированием этажей.
Расположение и конкретные привязки зон см. графические материалы.</t>
  </si>
  <si>
    <t>10.2 Подъемно транспортное оборудование</t>
  </si>
  <si>
    <t>10.2.1</t>
  </si>
  <si>
    <t>Для зданий до 50 м предусмотреть лифтовую шахту с габаритами 2,4х2,5м.
Шахту раположить в зону ЛЛУ в соответствии с зонированием этажей.
Расположение и конкретные привязки зон см. графические материалы.</t>
  </si>
  <si>
    <t>ТРЕБОВАНИЯ К ЭЛЕКТРОННЫМ ФАЙЛАМ</t>
  </si>
  <si>
    <t>1. Для обмена файлами используются облачные сервисы Autodesk BIM360 или передается Проектировщиком Заказчику посредством загрузки на сервер Заказчика. По согласованию сторон возможны иные способы передачи Документации Проектировщиком Заказчику в электронном виде (на цифровом носителе и т.д.).
2. Для обмена файлами в процессе работы используются форматы RVT, DWG и PDF.
3. DWG и PDF формат сохраняется и объединяются в единый альбом по каждому разделу.
4. Планы этажей выполнять с учетом геодезических координат секций объекта. Не допускается выполнение планов различных секций с одними координатами. Геодезический 0 принять в месте пересечения осей 1, А.
5. Все файлы, включая семейства и библиотеки BIM модели, выработанные в процессе разработки проекта передаются Заказчику в полном объеме, как в оригинальном формате.</t>
  </si>
  <si>
    <t>ТРЕБОВАНИЯ К ОФОРМЛЕНИЮ ДОКУМЕНТАЦИИ</t>
  </si>
  <si>
    <t>1. Документация передается заказчику в печатном виде в количестве 2 экземпляра и в цифровом формате на электронном носителе (flash-накопитель/CD-диск). 
2. Для оформления чертежей стадии П и этапа Рабочей документации следует руководствоваться
ГОСТ Р 21.101-2020 «Система проектной документации для строительства (СПДС). Основные требования к проектной и рабочей документации». Допускается использовать отличные от ГОСТ системные шрифты в оформлении чертежей. Допускается использование европейский условных обозначений и выносок
3. Нумерацию секций квартала принять против часовой стрелки. За секцию 1 принять верхнюю левую секцию.
4. Разбивку осей выполнять сквозной по всему комплексу, а не посекционно. Не допускается устройство промежуточных осей с нумерацией идентичной основным осям.</t>
  </si>
  <si>
    <t>5. Толщины линий:
- Вспомогательные линии (не печатаемый слой)  
- Штриховка  
- Тонкая  
- Таблицы (кроме текста)  
- Толстая  
- Армирование и т.п. (то, что требуется выделить)   
- Обозначение земли и т.п. 
- Здание на Генплане</t>
  </si>
  <si>
    <t xml:space="preserve">
0
0,09
0,13
0,3
0,3
0,4-0,6
0,8
1-1,2</t>
  </si>
  <si>
    <t xml:space="preserve">6. На чертежах над штампом, в зависимости от информационной нагрузки листа следует размещать дополнительную информацию:
- Диаграмма расположения относительно сторон света
- Диаграмма блок-секций
- Диаграмма уровня
- Масштабная линейка
- Условные обозначения 
- Примечания 
- Экспликация, спецификация и прочие табличные данные
- Логотип и информация о заказчике
- Логотип и информация о исполнителе, в т.ч. контактная информация исполнителей
- Наименование электронного документа
- Информация о внесении изменений
7. Требования к компоновке чертежей:
- Планы. Компоновать каждую секцию на отдельный лист, за исключением планов автостоянки. 
- Планы автостоянки компоновать на один лист совместно с секциями, прилегающими к автостоянке.
- Аксонометрические схемы инженерных систем. Компоновать схему каждой секции на отдельном листе, за исключением магистральных сетей технического подвала. 
- Схемы магистральных сетей технического подвала компоновать на отдельный лист. </t>
  </si>
  <si>
    <t xml:space="preserve">7. Требования к формлению генпланов:
1) Контуры проектируемого здания должны быть нанесены на чертежи генерального плана по архитектурно-строительным чертежам с разбивкой на секции, указанием проемов ворот и дверей, обозначением подземных и нависающих частей здания, этажности секций, планом первого этажа(серым цветом), ноля здания, экспликационных номеров
2) Чертежи раздела ГП должны выполняться на топографической съемке (кроме чертежа «План земляных масс»)  с отображением крестов координатной сетки.
3) На чертежах генерального плана (кроме чертежа «План земляных масс») должны быть отображены: 
— прилегающая застройка с обозначением мест размещения существующих и проектируемых объектов строительства; 
— подъезды и подходы к прилегающей застройке;
— наименования улиц и проездов; 
— экспликационные номера зданий и сооружений прилегающей застройки; 
— экспликация зданий и сооружений с учетом прилегающей застройки/ведомость жилых и общественных зданий и сооружений. 
— «красные» линии прилегающих улиц; 
— границы землепользования; 
— границы благоустройства; 
— границы зон санитарной охраны (при наличии), санитарных разрывов; 
— ограждение с воротами и калитками; 
— элементы генерального плана, подлежащие разборке или сносу (закрестить); 
— элементы благоустройства (тротуары, площадки); 
— элементы и сооружения планировочного рельефа (откосы, подпорные стенки, пандусы), водоотводные сооружения..  
4) Вокруг контура здания должен быть показан контур отмостки, въездные пандусы, наружные лестницы и площадки у входов. 
5) Все индивидуальные решения необходимо сопровождать конструктивными узлами и чертежами; 
</t>
  </si>
  <si>
    <t>8. Требования к оформлению ведомости покрытий: 
Ведомость объемов покрытий должна содержать следующую информацию: наименование типа покрытия, размер и форма плитки (ДхШхВ), цвет плитки, цвет цемента плитки (при наличии разного - белого/серого цемента), площадь покрытия, поставщик плитки/покрытия (в столбец Примечание), артикул, тип раскладки (паттерн).</t>
  </si>
  <si>
    <t>Заказчик</t>
  </si>
  <si>
    <t>Проектировщик</t>
  </si>
  <si>
    <t>Брусника</t>
  </si>
  <si>
    <t>КУБ</t>
  </si>
  <si>
    <t>Директор</t>
  </si>
  <si>
    <t>МП</t>
  </si>
  <si>
    <r>
      <rPr>
        <b/>
        <sz val="10"/>
        <color theme="1"/>
        <rFont val="Arial"/>
      </rPr>
      <t>Приложение № 1</t>
    </r>
    <r>
      <rPr>
        <sz val="10"/>
        <color theme="1"/>
        <rFont val="Arial"/>
      </rPr>
      <t xml:space="preserve">
к Договору подряда на выполнение проектных работ 
</t>
    </r>
    <r>
      <rPr>
        <sz val="10"/>
        <color rgb="FFFF0000"/>
        <rFont val="Arial"/>
      </rPr>
      <t>№ ________ от __.__.202_г.</t>
    </r>
  </si>
  <si>
    <t>Объект: «Наименование объекта»</t>
  </si>
  <si>
    <t>ЗАДАНИЕ НА ПРОЕКТИРОВАНИЕ</t>
  </si>
  <si>
    <t>№
п.п.</t>
  </si>
  <si>
    <t>Перечень основных данных и требований</t>
  </si>
  <si>
    <t>Основные данные и требования</t>
  </si>
  <si>
    <t>Общие данные</t>
  </si>
  <si>
    <t>Основание для проектирования</t>
  </si>
  <si>
    <r>
      <rPr>
        <sz val="8"/>
        <color rgb="FF000000"/>
        <rFont val="Arial"/>
      </rPr>
      <t xml:space="preserve">Договор </t>
    </r>
    <r>
      <rPr>
        <sz val="8"/>
        <color rgb="FFFF0000"/>
        <rFont val="Arial"/>
      </rPr>
      <t>№ ________ от __.__.202_г.</t>
    </r>
  </si>
  <si>
    <t>ООО «Наименование»</t>
  </si>
  <si>
    <t>Вид работ</t>
  </si>
  <si>
    <t>Новое строительство</t>
  </si>
  <si>
    <t>Источник финансирования</t>
  </si>
  <si>
    <t>Внебюджетные средства</t>
  </si>
  <si>
    <t>Стадия проектирования</t>
  </si>
  <si>
    <t>Проектная документация (Стадия ПД)</t>
  </si>
  <si>
    <t>Требования к выделению этапов строительства объекта</t>
  </si>
  <si>
    <t>(этапность не предусмотрена)</t>
  </si>
  <si>
    <t>Основное требование к разрабатываемой технической документации</t>
  </si>
  <si>
    <t>Выполнить разработку Проектной документации по объекту строительства в соответствии с обязательными к применению регламентами и нормами проектирования, применяя проектные решения позволяющие добиться минимальной себестоимости строительства.</t>
  </si>
  <si>
    <t>Требования к основным технико-экономическим показателям объекта</t>
  </si>
  <si>
    <r>
      <rPr>
        <sz val="8"/>
        <color rgb="FF000000"/>
        <rFont val="Arial"/>
      </rPr>
      <t xml:space="preserve">Площадь участка ___ га
</t>
    </r>
    <r>
      <rPr>
        <b/>
        <sz val="8"/>
        <color rgb="FF000000"/>
        <rFont val="Arial"/>
      </rPr>
      <t xml:space="preserve">Этажность: </t>
    </r>
    <r>
      <rPr>
        <sz val="8"/>
        <color rgb="FF000000"/>
        <rFont val="Arial"/>
      </rPr>
      <t xml:space="preserve">
надземная часть 2, 9, 17 и 24 эт.;
подземная часть 2 эт.;
Площадь жилого здания (дома) _______ м²;
Общая продаваемая площадь _______ м²;
</t>
    </r>
    <r>
      <rPr>
        <b/>
        <sz val="8"/>
        <color rgb="FF000000"/>
        <rFont val="Arial"/>
      </rPr>
      <t>Продаваемая площадь:</t>
    </r>
    <r>
      <rPr>
        <sz val="8"/>
        <color rgb="FF000000"/>
        <rFont val="Arial"/>
      </rPr>
      <t xml:space="preserve">
Жилая часть _______ м²;
Коммерческие помещения _______ м²;
Автостоянка _______ м²;
Кладовые _______ м²;
</t>
    </r>
    <r>
      <rPr>
        <b/>
        <sz val="8"/>
        <color rgb="FF000000"/>
        <rFont val="Arial"/>
      </rPr>
      <t>Общая площадь:</t>
    </r>
    <r>
      <rPr>
        <sz val="8"/>
        <color rgb="FF000000"/>
        <rFont val="Arial"/>
      </rPr>
      <t xml:space="preserve">
Жилая часть 28 309 м²;
Коммерческие помещения 1 600 м²;
Автостоянка 2 730 м²;
Кладовые 772 м²;
Технические и вспомогательные помещения ________ м²;
</t>
    </r>
    <r>
      <rPr>
        <b/>
        <sz val="8"/>
        <color rgb="FF000000"/>
        <rFont val="Arial"/>
      </rPr>
      <t>Количество:</t>
    </r>
    <r>
      <rPr>
        <sz val="8"/>
        <color rgb="FF000000"/>
        <rFont val="Arial"/>
      </rPr>
      <t xml:space="preserve">
Квартир 429 шт.;
Парковочных мест 206 шт.;
Кладовых 214 шт.;
</t>
    </r>
    <r>
      <rPr>
        <i/>
        <sz val="8"/>
        <color rgb="FF000000"/>
        <rFont val="Arial"/>
      </rPr>
      <t>* Площадь указана ориентировочно и должна быть дополнительно согласована с Заказчиком в процессе проектирования.</t>
    </r>
  </si>
  <si>
    <t>Функциональное назначение объекта капитального строительства.</t>
  </si>
  <si>
    <t>Многосекционный жилой дом со встроенными нежилыми помещениями и подземной автостоянкой</t>
  </si>
  <si>
    <t>Категория пожарной опасности зданий и помещений</t>
  </si>
  <si>
    <t xml:space="preserve">Определить проектом </t>
  </si>
  <si>
    <t xml:space="preserve">Уровень ответственности в соответствии с Федеральным законом № 384-ФЗ </t>
  </si>
  <si>
    <t>Перечень исходных данных для проектирования</t>
  </si>
  <si>
    <r>
      <rPr>
        <sz val="8"/>
        <color theme="1"/>
        <rFont val="Arial"/>
      </rPr>
      <t xml:space="preserve">- Детальный проект (эскизный проект);
- ГПЗУ;
- Технические отчеты по выполненным инженерным изысканиям;
- Технические условия на присоединение к сетям инженерно-технического обеспечения;
- Задание на проектирование;
- Строительное задание на лифты;
</t>
    </r>
    <r>
      <rPr>
        <i/>
        <sz val="8"/>
        <color theme="1"/>
        <rFont val="Arial"/>
      </rPr>
      <t>Примечание: исходно-разрешительная документация для проектирования предоставляется Заказчиком в объеме необходимом для проектирования, установленном ст. 44-51 Градостроительного кодекса РФ.</t>
    </r>
  </si>
  <si>
    <t>1. Общие требования</t>
  </si>
  <si>
    <t>Общие требования к составу и содержанию проектной документации</t>
  </si>
  <si>
    <t xml:space="preserve">Проектные решения принять в соответствии с утвержденной Заказчиком архитектурной концепцией (Детальный проект), любые изменения должны быть дополнительно согласованы с Заказчиком и авторами архитектурной концепции.
Проектную документацию разработать в соответствии со ст. 48 Градостроительного кодекса РФ и Постановлением Правительства РФ от 16.02.2008 № 87. 
Проектная документация должна быть выполнена в объеме, необходимом для получения положительного Заключения экспертизы и Разрешения на строительство.
Текстовая часть должна содержать технические характеристики (существенные потребительские качества) оборудования и материалов без указания марки, модели и фирмы-изготовителя. 
Разводка инженерных систем (хоз-питьевой водопровод, горячее водоснабжение, канализацию, внутренние воздуховоды вентиляции) в квартирах и во встроенных и встроенно-пристроенных нежилых помещениях общественного назначения выполняться после ввода объекта в эксплуатацию силами арендаторов либо собственников помещений по рабочим проектам, разработанным на основании настоящей проектной документации. 
Установка сантехнического оборудования (санфаянс, смесители, раковины и т.д.) в помещениях квартир и встроенных нежилых помещениях общественного назначения выполняется после ввода объекта в эксплуатацию силами и за счет средств собственников помещений. </t>
  </si>
  <si>
    <t>2. Схема планировочной организации земельного участка</t>
  </si>
  <si>
    <t>Схема планировочной организации земельного участка</t>
  </si>
  <si>
    <t>Разработать в объеме достаточном для получения положительного заключения Экспертизы</t>
  </si>
  <si>
    <t>3. Объемно-планировочные и архитектурные решения</t>
  </si>
  <si>
    <t xml:space="preserve">Требования к объемно- планировочным решениям </t>
  </si>
  <si>
    <r>
      <rPr>
        <b/>
        <sz val="8"/>
        <color rgb="FF000000"/>
        <rFont val="Arial"/>
      </rPr>
      <t xml:space="preserve">Требования к объемно- планировочным решениям:
</t>
    </r>
    <r>
      <rPr>
        <sz val="8"/>
        <color rgb="FF000000"/>
        <rFont val="Arial"/>
      </rPr>
      <t xml:space="preserve">
</t>
    </r>
    <r>
      <rPr>
        <b/>
        <sz val="8"/>
        <color rgb="FF000000"/>
        <rFont val="Arial"/>
      </rPr>
      <t>Жилая часть</t>
    </r>
    <r>
      <rPr>
        <sz val="8"/>
        <color rgb="FF000000"/>
        <rFont val="Arial"/>
      </rPr>
      <t xml:space="preserve">
Количество и типология квартир – согласно утвержденной Заказчиком квартирографии (Детальный проект).
Высота подвала - 3,67 от уровня фундаментной плиты пола до верха вышерасположенного перекрытия;
Высота первого этажа - 4,2 м от верха перекрытия до верха вышерасположенного перекрытия;
Высота типового этажа - 3,0 м от верха перекрытия до верха вышерасположенного перекрытия;
Высота последнего жилого  этажа - 3,02 м от верха перекрытия до верха вышерасположенного перекрытия;
Высота технического помещения с неэкспуалитуемой кровлей - 2,55 м от верха плиты перекрытия до верха плиты покрытия;
Высота технического этажа с эксплуатируемой кровлей - 3,02 м от верха перекрытия до верха вышерасположенного перекрытия.
</t>
    </r>
    <r>
      <rPr>
        <b/>
        <sz val="8"/>
        <color rgb="FF000000"/>
        <rFont val="Arial"/>
      </rPr>
      <t>Технический этаж</t>
    </r>
    <r>
      <rPr>
        <sz val="8"/>
        <color rgb="FF000000"/>
        <rFont val="Arial"/>
      </rPr>
      <t xml:space="preserve">
Предусмотреть технический этаж для прокладки инженерных коммуникаций и расположения малошумного оборудования. 
</t>
    </r>
    <r>
      <rPr>
        <b/>
        <sz val="8"/>
        <color rgb="FF000000"/>
        <rFont val="Arial"/>
      </rPr>
      <t>Техподполье</t>
    </r>
    <r>
      <rPr>
        <sz val="8"/>
        <color rgb="FF000000"/>
        <rFont val="Arial"/>
      </rPr>
      <t xml:space="preserve">
При входе/выходе в жилую часть домов с уровня паркинга, в местах не пригодных для размещения м/мест, выделить зоны для устройства помещения кладовых. 
</t>
    </r>
    <r>
      <rPr>
        <b/>
        <sz val="8"/>
        <color rgb="FF000000"/>
        <rFont val="Arial"/>
      </rPr>
      <t>Автостоянка</t>
    </r>
    <r>
      <rPr>
        <sz val="8"/>
        <color rgb="FF000000"/>
        <rFont val="Arial"/>
      </rPr>
      <t xml:space="preserve">
Под двором жилого дома разместить закрытую, не отапливаемую автостоянку.
Предусмотреть открытое хранение машин. 
Высота автостоянки 1 этаж - 3,32 м от верха пола до низа вышележащего перекрытия.
Высота автостоянки - 1 этаж - 3,8 м от уровня фундаментной плиты пола до верха вышележащего перекрытия.
Минимальный размер парковочных мест принять 2,5 х 5,3м в соответствии с приказом Федеральной службы государственной регистрации, кадастра и карторографии РФ от 23 июля 2021 г. N п/0316 "Об установлении минимально допустимых размеров машино-места". 
</t>
    </r>
    <r>
      <rPr>
        <b/>
        <sz val="8"/>
        <color rgb="FF000000"/>
        <rFont val="Arial"/>
      </rPr>
      <t>Встроенные помещения</t>
    </r>
    <r>
      <rPr>
        <sz val="8"/>
        <color rgb="FF000000"/>
        <rFont val="Arial"/>
      </rPr>
      <t xml:space="preserve">
Состав и площади коммерческих помещений принять в соответствии с альбомом концепции (детальный проект), функциональное назначение -  офисные помещения.</t>
    </r>
  </si>
  <si>
    <r>
      <rPr>
        <b/>
        <sz val="8"/>
        <color rgb="FF000000"/>
        <rFont val="Arial"/>
      </rPr>
      <t xml:space="preserve">Отделка фасадов: </t>
    </r>
    <r>
      <rPr>
        <sz val="8"/>
        <color rgb="FF000000"/>
        <rFont val="Arial"/>
      </rPr>
      <t xml:space="preserve">принять по концепции архитектуры.
</t>
    </r>
    <r>
      <rPr>
        <b/>
        <sz val="8"/>
        <color rgb="FF000000"/>
        <rFont val="Arial"/>
      </rPr>
      <t>Наружные стены</t>
    </r>
    <r>
      <rPr>
        <sz val="8"/>
        <color rgb="FF000000"/>
        <rFont val="Arial"/>
      </rPr>
      <t xml:space="preserve">: Керамический блок с утеплителем из минераловатных плит.
</t>
    </r>
    <r>
      <rPr>
        <b/>
        <sz val="8"/>
        <color rgb="FF000000"/>
        <rFont val="Arial"/>
      </rPr>
      <t>Внутренние стены:</t>
    </r>
    <r>
      <rPr>
        <sz val="8"/>
        <color rgb="FF000000"/>
        <rFont val="Arial"/>
      </rPr>
      <t xml:space="preserve"> Керамический блок. 
</t>
    </r>
    <r>
      <rPr>
        <b/>
        <sz val="8"/>
        <color rgb="FF000000"/>
        <rFont val="Arial"/>
      </rPr>
      <t xml:space="preserve">Перегородки: </t>
    </r>
    <r>
      <rPr>
        <sz val="8"/>
        <color rgb="FF000000"/>
        <rFont val="Arial"/>
      </rPr>
      <t xml:space="preserve">Керамический блок, ГКЛ, ГКЛВ.
</t>
    </r>
    <r>
      <rPr>
        <b/>
        <sz val="8"/>
        <color rgb="FF000000"/>
        <rFont val="Arial"/>
      </rPr>
      <t>Отделка:</t>
    </r>
    <r>
      <rPr>
        <sz val="8"/>
        <color rgb="FF000000"/>
        <rFont val="Arial"/>
      </rPr>
      <t xml:space="preserve"> В квартирах отделка стен - гипсовая штукатурка, цементно-песчаная (в мокрых помещениях)
В уникальных квартирах и коммерческих помещениях стены - без отделки. 
В МОП и автостоянке -  согласно концепции интерьеров.
</t>
    </r>
    <r>
      <rPr>
        <b/>
        <sz val="8"/>
        <color rgb="FF000000"/>
        <rFont val="Arial"/>
      </rPr>
      <t xml:space="preserve">Окна: </t>
    </r>
    <r>
      <rPr>
        <sz val="8"/>
        <color rgb="FF000000"/>
        <rFont val="Arial"/>
      </rPr>
      <t xml:space="preserve">ПВХ и </t>
    </r>
    <r>
      <rPr>
        <sz val="8"/>
        <color rgb="FF000000"/>
        <rFont val="Arial"/>
      </rPr>
      <t>дерево-алюминиевый</t>
    </r>
    <r>
      <rPr>
        <sz val="8"/>
        <color rgb="FF000000"/>
        <rFont val="Arial"/>
      </rPr>
      <t xml:space="preserve"> профиль с двухкамерным стеклопакетом.
</t>
    </r>
    <r>
      <rPr>
        <b/>
        <sz val="8"/>
        <color rgb="FF000000"/>
        <rFont val="Arial"/>
      </rPr>
      <t>Витражи:</t>
    </r>
    <r>
      <rPr>
        <sz val="8"/>
        <color rgb="FF000000"/>
        <rFont val="Arial"/>
      </rPr>
      <t xml:space="preserve"> Витражи алюминиевый профиль.
</t>
    </r>
    <r>
      <rPr>
        <b/>
        <sz val="8"/>
        <color rgb="FF000000"/>
        <rFont val="Arial"/>
      </rPr>
      <t xml:space="preserve">Двери: </t>
    </r>
    <r>
      <rPr>
        <sz val="8"/>
        <color rgb="FF000000"/>
        <rFont val="Arial"/>
      </rPr>
      <t xml:space="preserve">МОП - алюминиевые, стальные (по концепции планировок);
технические помещения - стальные сертифицированные;
квартиры (входные) - стальные, внутриквартирные отсутствуют. 
</t>
    </r>
    <r>
      <rPr>
        <b/>
        <sz val="8"/>
        <color rgb="FF000000"/>
        <rFont val="Arial"/>
      </rPr>
      <t>Полы:</t>
    </r>
    <r>
      <rPr>
        <sz val="8"/>
        <color rgb="FF000000"/>
        <rFont val="Arial"/>
      </rPr>
      <t xml:space="preserve"> квартиры, коммерческие помещения - ц/п стяжка; 
МОП, инженерные помещения - керамогранит, 
автостоянка - промышленный пол.
</t>
    </r>
    <r>
      <rPr>
        <b/>
        <sz val="8"/>
        <color rgb="FF000000"/>
        <rFont val="Arial"/>
      </rPr>
      <t>Кровля:</t>
    </r>
    <r>
      <rPr>
        <sz val="8"/>
        <color rgb="FF000000"/>
        <rFont val="Arial"/>
      </rPr>
      <t xml:space="preserve"> наплавляемая плоская.
</t>
    </r>
    <r>
      <rPr>
        <b/>
        <sz val="8"/>
        <color rgb="FF000000"/>
        <rFont val="Arial"/>
      </rPr>
      <t>Вентиляционные каналы:</t>
    </r>
    <r>
      <rPr>
        <sz val="8"/>
        <color rgb="FF000000"/>
        <rFont val="Arial"/>
      </rPr>
      <t xml:space="preserve"> Листовая сталь.
</t>
    </r>
    <r>
      <rPr>
        <b/>
        <sz val="8"/>
        <color rgb="FF000000"/>
        <rFont val="Arial"/>
      </rPr>
      <t xml:space="preserve">Лифт: </t>
    </r>
    <r>
      <rPr>
        <sz val="8"/>
        <color rgb="FF000000"/>
        <rFont val="Arial"/>
      </rPr>
      <t>Грузоподъемностью 1600 кг.</t>
    </r>
  </si>
  <si>
    <t>4. Конструктивные решения</t>
  </si>
  <si>
    <t>Конструктивные решения</t>
  </si>
  <si>
    <r>
      <rPr>
        <b/>
        <sz val="8"/>
        <color rgb="FF000000"/>
        <rFont val="Arial"/>
      </rPr>
      <t>Фундаменты:</t>
    </r>
    <r>
      <rPr>
        <sz val="8"/>
        <color rgb="FF000000"/>
        <rFont val="Arial"/>
      </rPr>
      <t xml:space="preserve"> 
Разработать оптимальный по экономичности фундамент с учетом результатов инженерных изысканий, а также технико-экономического сравнения вариантов. 
Тип фундамента для жилого дома – фундаментная плита, 
Тип фундамента для подземной автостоянки – столбчатые (отдельно согласовать с заказчиком) 
Конструктивные решения должны обеспечивать минимальную стоимость производства СМР (в т.ч. оптимальную бетоноемкость и коэффициент армирования).
</t>
    </r>
    <r>
      <rPr>
        <b/>
        <sz val="8"/>
        <color rgb="FF000000"/>
        <rFont val="Arial"/>
      </rPr>
      <t>Каркас:</t>
    </r>
    <r>
      <rPr>
        <sz val="8"/>
        <color rgb="FF000000"/>
        <rFont val="Arial"/>
      </rPr>
      <t xml:space="preserve"> 
Жилая часть: Каркасно - стеновая (смешанная) с ядром жесткости, с монолитными железобетонными плитами перекрытия и покрытия.
</t>
    </r>
    <r>
      <rPr>
        <sz val="8"/>
        <color rgb="FF000000"/>
        <rFont val="Arial"/>
      </rPr>
      <t>Автостоянка: Каркас из монолитных стен, пилонов с монолитными железобетонными плитами перекрытия и покрытия.</t>
    </r>
    <r>
      <rPr>
        <sz val="8"/>
        <color rgb="FF000000"/>
        <rFont val="Arial"/>
      </rPr>
      <t xml:space="preserve">
</t>
    </r>
    <r>
      <rPr>
        <b/>
        <sz val="8"/>
        <color rgb="FF000000"/>
        <rFont val="Arial"/>
      </rPr>
      <t>Стены подземной части</t>
    </r>
    <r>
      <rPr>
        <sz val="8"/>
        <color rgb="FF000000"/>
        <rFont val="Arial"/>
      </rPr>
      <t xml:space="preserve">: 
Монолитные стены с утеплением и гидроизоляцией.
</t>
    </r>
    <r>
      <rPr>
        <b/>
        <sz val="8"/>
        <color rgb="FF000000"/>
        <rFont val="Arial"/>
      </rPr>
      <t>Плиты перекрытия, покрытия:</t>
    </r>
    <r>
      <rPr>
        <sz val="8"/>
        <color rgb="FF000000"/>
        <rFont val="Arial"/>
      </rPr>
      <t xml:space="preserve"> 
Монолитные железобетонные плиты.
</t>
    </r>
    <r>
      <rPr>
        <b/>
        <sz val="8"/>
        <color rgb="FF000000"/>
        <rFont val="Arial"/>
      </rPr>
      <t>Лестничные марши:</t>
    </r>
    <r>
      <rPr>
        <sz val="8"/>
        <color rgb="FF000000"/>
        <rFont val="Arial"/>
      </rPr>
      <t xml:space="preserve"> 
Монолитный железобетон или сборные заводского изготовления</t>
    </r>
  </si>
  <si>
    <t>5. Система электроснабжения</t>
  </si>
  <si>
    <t>Система электроснабжения</t>
  </si>
  <si>
    <r>
      <rPr>
        <sz val="8"/>
        <color rgb="FF000000"/>
        <rFont val="Arial"/>
      </rPr>
      <t xml:space="preserve">Электроснабжение проектируемого Объекта осуществить в соответствии с Техническими условиями энергоснабжающей организации.
</t>
    </r>
    <r>
      <rPr>
        <b/>
        <sz val="8"/>
        <color rgb="FF000000"/>
        <rFont val="Arial"/>
      </rPr>
      <t>Учёт электроэнергии:</t>
    </r>
    <r>
      <rPr>
        <sz val="8"/>
        <color rgb="FF000000"/>
        <rFont val="Arial"/>
      </rPr>
      <t xml:space="preserve">
Предусмотреть: на каждое: ВРУ, коммерческое помещение, МОП, квартиру, общий учёт на кладовые.
</t>
    </r>
    <r>
      <rPr>
        <b/>
        <sz val="8"/>
        <color rgb="FF000000"/>
        <rFont val="Arial"/>
      </rPr>
      <t>Распределительные и групповые щиты:</t>
    </r>
    <r>
      <rPr>
        <sz val="8"/>
        <color rgb="FF000000"/>
        <rFont val="Arial"/>
      </rPr>
      <t xml:space="preserve">
На каждом этаже предусмотреть этажные распределительные щиты встраиваемого исполнения. 
Квартирные щиты предусмотреть навесного исполнения.
Для каждого коммерческого помещения, автостоянки свой отдельный щит.
</t>
    </r>
    <r>
      <rPr>
        <b/>
        <sz val="8"/>
        <color rgb="FF000000"/>
        <rFont val="Arial"/>
      </rPr>
      <t>Кабельные линии:</t>
    </r>
    <r>
      <rPr>
        <sz val="8"/>
        <color rgb="FF000000"/>
        <rFont val="Arial"/>
      </rPr>
      <t xml:space="preserve">
Питающие линии от РУ-0,4 кВ ТП до ВРУ: кабельные линии с алюминиевыми жилами. 
Распределительные сети от ВРУ к этажным щитам: 
магистрали по подвалу - </t>
    </r>
    <r>
      <rPr>
        <sz val="8"/>
        <color rgb="FF000000"/>
        <rFont val="Arial"/>
      </rPr>
      <t>кабельные линии с алюминиевыми жилами.</t>
    </r>
    <r>
      <rPr>
        <sz val="8"/>
        <color rgb="FF000000"/>
        <rFont val="Arial"/>
      </rPr>
      <t xml:space="preserve">
стояки -  кабели с алюминиевыми жилами. 
Распределительные сети от ЩЭ до ЩК, разводка по жилым помещениям, коммерческим помещениям: кабели с медными жилами. 
Для электроснабжения оборудования СПЗ (в том числе аварийного освещения) - кабели с медными жилами.
</t>
    </r>
    <r>
      <rPr>
        <b/>
        <sz val="8"/>
        <color rgb="FF000000"/>
        <rFont val="Arial"/>
      </rPr>
      <t>Внутреннее освещение:</t>
    </r>
    <r>
      <rPr>
        <sz val="8"/>
        <color rgb="FF000000"/>
        <rFont val="Arial"/>
      </rPr>
      <t xml:space="preserve">
Предусмотреть: рабочее, эвакуационное, аварийное, ремонтное.
Освещение принять согласно действующих норм и правил.
</t>
    </r>
    <r>
      <rPr>
        <b/>
        <sz val="8"/>
        <color rgb="FF000000"/>
        <rFont val="Arial"/>
      </rPr>
      <t>Система заземления и уравнивания потенциалов:</t>
    </r>
    <r>
      <rPr>
        <sz val="8"/>
        <color rgb="FF000000"/>
        <rFont val="Arial"/>
      </rPr>
      <t xml:space="preserve">
Предусмотреть систему защитного заземления объекта по типу TN-C-S.
</t>
    </r>
    <r>
      <rPr>
        <b/>
        <sz val="8"/>
        <color rgb="FF000000"/>
        <rFont val="Arial"/>
      </rPr>
      <t>Молниезащита:</t>
    </r>
    <r>
      <rPr>
        <sz val="8"/>
        <color rgb="FF000000"/>
        <rFont val="Arial"/>
      </rPr>
      <t xml:space="preserve">
Предусмотреть пассивную систему молниезащиты.</t>
    </r>
  </si>
  <si>
    <t>6. Система водоснабжения и водоотведения</t>
  </si>
  <si>
    <t>Система водоснабжения и водоотведения</t>
  </si>
  <si>
    <r>
      <rPr>
        <sz val="8"/>
        <color rgb="FF000000"/>
        <rFont val="Arial"/>
      </rPr>
      <t>Водоснабжение проектируемого объекта осуществить в соответствие с Техническими условиями ресурсоснабжающей компании.</t>
    </r>
    <r>
      <rPr>
        <b/>
        <sz val="8"/>
        <color rgb="FF000000"/>
        <rFont val="Arial"/>
      </rPr>
      <t xml:space="preserve">
Насосное оборудование: </t>
    </r>
    <r>
      <rPr>
        <sz val="8"/>
        <color rgb="FF000000"/>
        <rFont val="Arial"/>
      </rPr>
      <t xml:space="preserve">Комплексные автоматические насосные установки, характеристики определить проектом.
</t>
    </r>
    <r>
      <rPr>
        <b/>
        <sz val="8"/>
        <color rgb="FF000000"/>
        <rFont val="Arial"/>
      </rPr>
      <t xml:space="preserve">Водомерный узела и учёт расходов воды: </t>
    </r>
    <r>
      <rPr>
        <sz val="8"/>
        <color rgb="FF000000"/>
        <rFont val="Arial"/>
      </rPr>
      <t xml:space="preserve">на вводе в здание, на каждое коммерческое помещение, на каждую квартиру.
</t>
    </r>
    <r>
      <rPr>
        <b/>
        <sz val="8"/>
        <color rgb="FF000000"/>
        <rFont val="Arial"/>
      </rPr>
      <t xml:space="preserve">Схема: </t>
    </r>
    <r>
      <rPr>
        <sz val="8"/>
        <color rgb="FF000000"/>
        <rFont val="Arial"/>
      </rPr>
      <t xml:space="preserve">ХВС коллекторная, ГВС коллекторная с циркуляцией.
</t>
    </r>
    <r>
      <rPr>
        <b/>
        <sz val="8"/>
        <color rgb="FF000000"/>
        <rFont val="Arial"/>
      </rPr>
      <t>Трубопроводы:</t>
    </r>
    <r>
      <rPr>
        <sz val="8"/>
        <color rgb="FF000000"/>
        <rFont val="Arial"/>
      </rPr>
      <t xml:space="preserve"> Магистрали и стояки - полипропиленовые в изоляции (открытым способом) - на систему холодного водоснабжения. Стальные оцинкованные (открытым способом) - на систему горяечее водоснабжения и систему циркуляции горячего водоснабжения.
Квартирная разводка - Сшитый полиэтилен в защитной гофре (в стяжке пола).</t>
    </r>
  </si>
  <si>
    <r>
      <rPr>
        <b/>
        <sz val="8"/>
        <color rgb="FF000000"/>
        <rFont val="Arial"/>
      </rPr>
      <t>Противопожарный водопровод:</t>
    </r>
    <r>
      <rPr>
        <sz val="8"/>
        <color rgb="FF000000"/>
        <rFont val="Arial"/>
      </rPr>
      <t xml:space="preserve">
- Внутренний пожарный водопровод </t>
    </r>
    <r>
      <rPr>
        <sz val="8"/>
        <color rgb="FF000000"/>
        <rFont val="Arial"/>
      </rPr>
      <t>жилого дома</t>
    </r>
    <r>
      <rPr>
        <sz val="8"/>
        <color rgb="FF000000"/>
        <rFont val="Arial"/>
      </rPr>
      <t xml:space="preserve">, автостоянки.
- Автоматическое пожаротушение автостоянки.
</t>
    </r>
    <r>
      <rPr>
        <b/>
        <sz val="8"/>
        <color rgb="FF000000"/>
        <rFont val="Arial"/>
      </rPr>
      <t>Насосное оборудование:</t>
    </r>
    <r>
      <rPr>
        <sz val="8"/>
        <color rgb="FF000000"/>
        <rFont val="Arial"/>
      </rPr>
      <t xml:space="preserve"> Комплексные автоматические насосные установки, характеристики определить проектом.
</t>
    </r>
    <r>
      <rPr>
        <b/>
        <sz val="8"/>
        <color rgb="FF000000"/>
        <rFont val="Arial"/>
      </rPr>
      <t>Трубопроводы:</t>
    </r>
    <r>
      <rPr>
        <sz val="8"/>
        <color rgb="FF000000"/>
        <rFont val="Arial"/>
      </rPr>
      <t xml:space="preserve"> Стальные
</t>
    </r>
    <r>
      <rPr>
        <b/>
        <sz val="8"/>
        <color rgb="FF000000"/>
        <rFont val="Arial"/>
      </rPr>
      <t>Пожарное оборудование:</t>
    </r>
    <r>
      <rPr>
        <sz val="8"/>
        <color rgb="FF000000"/>
        <rFont val="Arial"/>
      </rPr>
      <t xml:space="preserve"> оросители, пожарные шкафы.</t>
    </r>
  </si>
  <si>
    <r>
      <rPr>
        <b/>
        <sz val="8"/>
        <color rgb="FF000000"/>
        <rFont val="Arial"/>
      </rPr>
      <t xml:space="preserve">Хозяйственно - бытовая канализация: 
</t>
    </r>
    <r>
      <rPr>
        <sz val="8"/>
        <color rgb="FF000000"/>
        <rFont val="Arial"/>
      </rPr>
      <t>Раздельные системы для жилой части здания и коммерческих помещений с выпуском в городскую сеть. 
Стояки предусмотреть с пониженным уровнем шума. Предусмотреть выпуск в городскую сеть</t>
    </r>
    <r>
      <rPr>
        <b/>
        <sz val="8"/>
        <color rgb="FF000000"/>
        <rFont val="Arial"/>
      </rPr>
      <t xml:space="preserve">. 
</t>
    </r>
    <r>
      <rPr>
        <sz val="8"/>
        <color rgb="FF000000"/>
        <rFont val="Arial"/>
      </rPr>
      <t>Трубопроводы</t>
    </r>
    <r>
      <rPr>
        <b/>
        <sz val="8"/>
        <color rgb="FF000000"/>
        <rFont val="Arial"/>
      </rPr>
      <t>:</t>
    </r>
    <r>
      <rPr>
        <sz val="8"/>
        <color rgb="FF000000"/>
        <rFont val="Arial"/>
      </rPr>
      <t xml:space="preserve"> Полипропиленовые трубы.
</t>
    </r>
    <r>
      <rPr>
        <b/>
        <sz val="8"/>
        <color rgb="FF000000"/>
        <rFont val="Arial"/>
      </rPr>
      <t>Ливневая канализация с кровли:</t>
    </r>
    <r>
      <rPr>
        <sz val="8"/>
        <color rgb="FF000000"/>
        <rFont val="Arial"/>
      </rPr>
      <t xml:space="preserve">
Трубопроводы (Жилая часть): Полиэтиленовые трубы.
Трубопроводы (Автостоянка): Стальные электросварные. 
Предусмотреть выпуск в городскую сеть.
</t>
    </r>
    <r>
      <rPr>
        <b/>
        <sz val="8"/>
        <color rgb="FF000000"/>
        <rFont val="Arial"/>
      </rPr>
      <t>Канализация аварийных и случайных стоков:</t>
    </r>
    <r>
      <rPr>
        <sz val="8"/>
        <color rgb="FF000000"/>
        <rFont val="Arial"/>
      </rPr>
      <t xml:space="preserve">
- из ИТП и насосных
- для отвода стоков от системы автоматического пожаротушения автостоянки
Трубопроводы: Стальные.
Предусмотреть дренажные насосы в приямках.
</t>
    </r>
    <r>
      <rPr>
        <b/>
        <sz val="8"/>
        <color rgb="FF000000"/>
        <rFont val="Arial"/>
      </rPr>
      <t xml:space="preserve">Дренажная канализация от кондиционеров:
</t>
    </r>
    <r>
      <rPr>
        <sz val="8"/>
        <color rgb="FF000000"/>
        <rFont val="Arial"/>
      </rPr>
      <t>Трубопроводы: Полипропилен.</t>
    </r>
  </si>
  <si>
    <t>7. Отопление, вентиляция, кондиционирование и тепловые сети</t>
  </si>
  <si>
    <t>Отопление, вентиляция, кондиционирование и тепловые сети</t>
  </si>
  <si>
    <r>
      <rPr>
        <b/>
        <sz val="8"/>
        <color theme="1"/>
        <rFont val="Arial"/>
      </rPr>
      <t>Отопление:</t>
    </r>
    <r>
      <rPr>
        <sz val="8"/>
        <color theme="1"/>
        <rFont val="Arial"/>
      </rPr>
      <t xml:space="preserve">
- Жилая часть, коммерческие помещения: Двухтрубная система отопления с индивидуальным учетом тепла для каждого собственника.
- МОП: Стальные панельные радиаторы.
- Автостоянка: Неотапливаемая.
- Технические помещения: от электрических калориферов (за исключением ИТП), помещение ИТП от теплоизбытков.
</t>
    </r>
    <r>
      <rPr>
        <b/>
        <sz val="8"/>
        <color theme="1"/>
        <rFont val="Arial"/>
      </rPr>
      <t>Трубопроводы:</t>
    </r>
    <r>
      <rPr>
        <sz val="8"/>
        <color theme="1"/>
        <rFont val="Arial"/>
      </rPr>
      <t xml:space="preserve">
Магистральные трубопроводы и стояки - стальные в теплоизоляции (прокладка открытым способом). 
В стяжке пола - Сшитый полиэтилен в изоляции МОП и гофре по квартирам (в стяжке пола).
</t>
    </r>
    <r>
      <rPr>
        <b/>
        <sz val="8"/>
        <color theme="1"/>
        <rFont val="Arial"/>
      </rPr>
      <t>Отопительные приборы:</t>
    </r>
    <r>
      <rPr>
        <sz val="8"/>
        <color theme="1"/>
        <rFont val="Arial"/>
      </rPr>
      <t xml:space="preserve"> Стальные панельные радиаторы, 
В квартирах верхних и первых этажей у остекления в пол внутрипольные конвекторы с механической конвекцией высотой 90мм.</t>
    </r>
  </si>
  <si>
    <r>
      <rPr>
        <b/>
        <sz val="8"/>
        <color rgb="FF000000"/>
        <rFont val="Arial"/>
      </rPr>
      <t xml:space="preserve">Вентиляция:
</t>
    </r>
    <r>
      <rPr>
        <sz val="8"/>
        <color rgb="FF000000"/>
        <rFont val="Arial"/>
      </rPr>
      <t xml:space="preserve">- Жилая часть - общеобменная естественная.
- МОП - общеобменная </t>
    </r>
    <r>
      <rPr>
        <sz val="8"/>
        <color rgb="FF000000"/>
        <rFont val="Arial"/>
      </rPr>
      <t>естественная или</t>
    </r>
    <r>
      <rPr>
        <sz val="8"/>
        <color rgb="FF000000"/>
        <rFont val="Arial"/>
      </rPr>
      <t xml:space="preserve"> </t>
    </r>
    <r>
      <rPr>
        <sz val="8"/>
        <color rgb="FF000000"/>
        <rFont val="Arial"/>
      </rPr>
      <t>механическая, противодымная с принудительным подпором воздуха и механическим дымоудалением</t>
    </r>
    <r>
      <rPr>
        <sz val="8"/>
        <color rgb="FF000000"/>
        <rFont val="Arial"/>
      </rPr>
      <t xml:space="preserve">.
- Коммерческие помещения - общеобменная вентиляция - естественная, предусмотреть возможность устройства механической вентиляции силами собственника помещения после ввода Здания в эксплуатацию по отдельно разработанным проектам.
- Автостоянка - общеобменная механическая от датчиков CO, противодымная с принудительным подпором воздуха и механическим дымоудалением.
- Технические помещения - общеобменная естественная.
</t>
    </r>
    <r>
      <rPr>
        <b/>
        <sz val="8"/>
        <color rgb="FF000000"/>
        <rFont val="Arial"/>
      </rPr>
      <t>Оборудование и противопожарные клапаны</t>
    </r>
    <r>
      <rPr>
        <sz val="8"/>
        <color rgb="FF000000"/>
        <rFont val="Arial"/>
      </rPr>
      <t xml:space="preserve">: Определить проектом
</t>
    </r>
    <r>
      <rPr>
        <b/>
        <sz val="8"/>
        <color rgb="FF000000"/>
        <rFont val="Arial"/>
      </rPr>
      <t xml:space="preserve">Воздуховоды: 
</t>
    </r>
    <r>
      <rPr>
        <sz val="8"/>
        <color rgb="FF000000"/>
        <rFont val="Arial"/>
      </rPr>
      <t xml:space="preserve">Жилая часть, МОП, Коммерческие помещения, Автостоянка - стальные. 
</t>
    </r>
    <r>
      <rPr>
        <b/>
        <sz val="8"/>
        <color rgb="FF000000"/>
        <rFont val="Arial"/>
      </rPr>
      <t>Огнезащитное покрытие:</t>
    </r>
    <r>
      <rPr>
        <sz val="8"/>
        <color rgb="FF000000"/>
        <rFont val="Arial"/>
      </rPr>
      <t xml:space="preserve"> Необходимость и предел огнестойкости определить согласно действующих нормативных документов</t>
    </r>
  </si>
  <si>
    <t>8. Сети связи</t>
  </si>
  <si>
    <t>Сети связи</t>
  </si>
  <si>
    <r>
      <rPr>
        <b/>
        <sz val="8"/>
        <color theme="1"/>
        <rFont val="Arial"/>
      </rPr>
      <t>Система пожарной сигнализации, оповещения и пожаротушения:</t>
    </r>
    <r>
      <rPr>
        <sz val="8"/>
        <color theme="1"/>
        <rFont val="Arial"/>
      </rPr>
      <t xml:space="preserve">
Пожарная система адресно-аналоговая.
</t>
    </r>
    <r>
      <rPr>
        <b/>
        <sz val="8"/>
        <color theme="1"/>
        <rFont val="Arial"/>
      </rPr>
      <t xml:space="preserve">Сеть передачи данных и телефонии:
</t>
    </r>
    <r>
      <rPr>
        <sz val="8"/>
        <color theme="1"/>
        <rFont val="Arial"/>
      </rPr>
      <t xml:space="preserve">Обеспечить подключение каждой квартиры и офиса к сети эфирного ТВ, к сети передачи данных, телефонии, к домофонной сети и телеметрии.  
Предусмотреть систему видеонаблюдения для контроля периметра здания и для наблюдения за основными входами. 
Предусмотреть систему IP-домофонии.
</t>
    </r>
    <r>
      <rPr>
        <b/>
        <sz val="8"/>
        <color theme="1"/>
        <rFont val="Arial"/>
      </rPr>
      <t xml:space="preserve">Автоматизация комплексная:
</t>
    </r>
    <r>
      <rPr>
        <sz val="8"/>
        <color theme="1"/>
        <rFont val="Arial"/>
      </rPr>
      <t xml:space="preserve">Обеспечить сбор показаний со всех приборов учета (ХВС, ГВС, теплоснабжение, электроснабжение) в единую сеть учета энергоресурсов.
</t>
    </r>
    <r>
      <rPr>
        <b/>
        <sz val="8"/>
        <color theme="1"/>
        <rFont val="Arial"/>
      </rPr>
      <t xml:space="preserve">Система диспетчеризации инженерного оборудования и лифтов:
</t>
    </r>
    <r>
      <rPr>
        <sz val="8"/>
        <color theme="1"/>
        <rFont val="Arial"/>
      </rPr>
      <t>Систему диспетчеризации предусмотреть для инженерного оборудования: 
- общеобменная вентиляция, 
- теплоснабжение (ИТП), 
- водоснабжение, 
- водоподготовка (насосные станции), 
- системы ПС, СОУЭ, ПТ, электроснабжения и электроосвещения, 
- лифтовое оборудование.  
Объединить лифты здания в систему диспетчеризации.</t>
    </r>
  </si>
  <si>
    <t>9. Проект организации строительства</t>
  </si>
  <si>
    <t>Проект организации строительства</t>
  </si>
  <si>
    <t>10. Технологические решения</t>
  </si>
  <si>
    <t>Технологические решения</t>
  </si>
  <si>
    <t>11. Мероприятия по охране окружающей среды</t>
  </si>
  <si>
    <t>Мероприятия по охране окружающей среды</t>
  </si>
  <si>
    <t>12. Мероприятия по обеспечению пожарной безопасности</t>
  </si>
  <si>
    <t>Мероприятия по обеспечению пожарной безопасности</t>
  </si>
  <si>
    <t>13. Требования к обеспечению безопасной эксплуатации объектов капитального строительства</t>
  </si>
  <si>
    <t>Требования к обеспечению безопасной эксплуатации объектов капитального строительства</t>
  </si>
  <si>
    <t>14. Мероприятия по обеспечению доступа инвалидов</t>
  </si>
  <si>
    <t>14.1</t>
  </si>
  <si>
    <t>Мероприятия по обеспечению доступа инвалидов</t>
  </si>
  <si>
    <t>Разработать мероприятия по обеспечению условий жизнедеятельности маломобильных групп населения согласно 
СП 59.13330 в части:
- в каждой секции жилого дома один из входов организовать с возможностью доступа МГН на посадочный этаж, до лифта, с уровня земли, без ступеней и максимальным порогом 14 мм, с размерами тамбура в соответствии 
с нормами СП 59.13330;
- безбарьерность среды на входных группах в торговые помещения;
- предусмотреть возможность устройства санузлов на 1 этаже, 
с соблюдением СП 59.13330, силами собственника помещений общественного назначения;
- приспособление прилегающей территории, включая организацию путей движения, мест отдыха и доступность малых архитектурных форм;
- машино-места, предназначенные для МГН, запроектировать снаружи, в профилях улиц
- Не предусматривать специализированные квартиры для проживания МГН.</t>
  </si>
  <si>
    <t>15. Мероприятия по обеспечению соблюдения требований энергетической эффективности и требований оснащенности зданий, строений и сооружений приборами учета используемых энергетических ресурсов</t>
  </si>
  <si>
    <t>15.1</t>
  </si>
  <si>
    <t>Мероприятия по обеспечению соблюдения требований энергетической эффективности и требований оснащенности зданий, строений и сооружений приборами учета используемых энергетических ресурсов</t>
  </si>
  <si>
    <t>16. Порядок выдачи проектной документации</t>
  </si>
  <si>
    <t>Порядок выдачи проектной документации.</t>
  </si>
  <si>
    <t>- Проектная документация передается Заказчику со всеми внесенными в процессе прохождения экспертизы изменениями и корректировками;
- Документация передается заказчику в цифровом формате. Для обмена файлами используются облачные сервисы Autodesk BIM360 или передается Проектировщиком Заказчику посредством загрузки на сервер Заказчика. По согласованию сторон возможны иные способы передачи Документации Проектировщиком Заказчику в электронном виде (на цифровом носителе и т.д.). 
- Для оформления чертежей стадии П следует руководствоваться требованиями ГОСТ Р 21.1101-2013 «Система проектной документации для строительства (СПДС). Основные требования к проектной и рабочей документации». Допускается использовать отличные от ГОСТ системные шрифты в оформлении чертежей. Допускается использование европейский условных обозначений и выносок
Нумерацию секций квартала принять  в соответствии с утвержденной Заказчиком архитектурной концепцией (Детальный проект).
- Разбивку осей выполнять сквозной по всему комплексу, а не посекционно. Не допускается устройство промежуточных осей с нумерацией идентичной основным осям.</t>
  </si>
  <si>
    <t>Заказчик:</t>
  </si>
  <si>
    <t>Проектировщик:</t>
  </si>
  <si>
    <t>Общество с ограниченной ответственостью «Брусника»</t>
  </si>
  <si>
    <t>Общество с ограниченной ответственостью «Проектировщик»</t>
  </si>
  <si>
    <t>(ООО «Брусника»)</t>
  </si>
  <si>
    <t>(ООО «Проектировщик»)</t>
  </si>
  <si>
    <t>Должность</t>
  </si>
  <si>
    <t>Подписант</t>
  </si>
  <si>
    <t>Техническое задание по релизу 2/2023 от 15.09.2023г.</t>
  </si>
  <si>
    <t>Техническое задание на концепцию архитектуры и планировок EBG50.1</t>
  </si>
  <si>
    <t>В</t>
  </si>
  <si>
    <r>
      <rPr>
        <b/>
        <sz val="10"/>
        <color theme="1"/>
        <rFont val="Arial"/>
      </rPr>
      <t>Приложение № 2</t>
    </r>
    <r>
      <rPr>
        <sz val="10"/>
        <color theme="1"/>
        <rFont val="Arial"/>
      </rPr>
      <t xml:space="preserve">
к Договору подряда на выполнение проектных работ 
</t>
    </r>
    <r>
      <rPr>
        <sz val="10"/>
        <color rgb="FFFF0000"/>
        <rFont val="Arial"/>
      </rPr>
      <t>№ ________ от __.__.202_г.</t>
    </r>
  </si>
  <si>
    <r>
      <rPr>
        <sz val="8"/>
        <color theme="1"/>
        <rFont val="Arial"/>
      </rPr>
      <t>Объект:</t>
    </r>
    <r>
      <rPr>
        <sz val="8"/>
        <color rgb="FFB6D7A8"/>
        <rFont val="Arial"/>
      </rPr>
      <t xml:space="preserve"> </t>
    </r>
    <r>
      <rPr>
        <sz val="8"/>
        <color rgb="FFFF0000"/>
        <rFont val="Arial"/>
      </rPr>
      <t>«Наименование объекта»</t>
    </r>
  </si>
  <si>
    <t xml:space="preserve">ЗАДАНИЕ НА ПРОЕКТИРОВАНИЕ </t>
  </si>
  <si>
    <t>Рабочая документация</t>
  </si>
  <si>
    <t>СВЕДЕНИЯ ОБ ОБЪЕКТЕ</t>
  </si>
  <si>
    <r>
      <rPr>
        <sz val="8"/>
        <color rgb="FF000000"/>
        <rFont val="Arial"/>
      </rPr>
      <t xml:space="preserve">Договор </t>
    </r>
    <r>
      <rPr>
        <sz val="8"/>
        <color rgb="FFFF0000"/>
        <rFont val="Arial"/>
      </rPr>
      <t>№ ________ от __.__.202_г.</t>
    </r>
  </si>
  <si>
    <t xml:space="preserve">Этапы выполнения работ
</t>
  </si>
  <si>
    <t>Этап 1 - Проектное сопровождение
Этап 2 - стадия "Проектная документация"
Этап 3 - стадия "Рабочая документация"</t>
  </si>
  <si>
    <t>Выполнить разработку Рабочей документации по объекту строительства в соответствии с обязательными к применению регламентами и нормами проектирования, применяя проектные решения позволяющие добиться минимальной себестоимости строительства.</t>
  </si>
  <si>
    <r>
      <rPr>
        <sz val="8"/>
        <color theme="1"/>
        <rFont val="Arial"/>
      </rPr>
      <t xml:space="preserve">Площадь участка ___ га
</t>
    </r>
    <r>
      <rPr>
        <b/>
        <sz val="8"/>
        <color theme="1"/>
        <rFont val="Arial"/>
      </rPr>
      <t>Этажность:</t>
    </r>
    <r>
      <rPr>
        <sz val="8"/>
        <color theme="1"/>
        <rFont val="Arial"/>
      </rPr>
      <t xml:space="preserve"> 
надземная часть 2, 9, 17 и 24 эт.;
подземная часть 2 эт.;
Площадь жилого здания (дома) _______ м²;
Общая продаваемая площадь _______ м²;
</t>
    </r>
    <r>
      <rPr>
        <b/>
        <sz val="8"/>
        <color theme="1"/>
        <rFont val="Arial"/>
      </rPr>
      <t xml:space="preserve">Продаваемая площадь:
</t>
    </r>
    <r>
      <rPr>
        <sz val="8"/>
        <color theme="1"/>
        <rFont val="Arial"/>
      </rPr>
      <t xml:space="preserve">Жилая часть _______ м²;
Коммерческие помещения _______ м²;
Автостоянка _______ м²;
Кладовые _______ м²;
</t>
    </r>
    <r>
      <rPr>
        <b/>
        <sz val="8"/>
        <color theme="1"/>
        <rFont val="Arial"/>
      </rPr>
      <t xml:space="preserve">Общая площадь:
</t>
    </r>
    <r>
      <rPr>
        <sz val="8"/>
        <color theme="1"/>
        <rFont val="Arial"/>
      </rPr>
      <t xml:space="preserve">Жилая часть 28 309 м²;
Коммерческие помещения 1 600 м²;
Автостоянка 2 730 м²;
Кладовые 772 м²;
Технические и вспомогательные помещения ________ м²;
</t>
    </r>
    <r>
      <rPr>
        <b/>
        <sz val="8"/>
        <color theme="1"/>
        <rFont val="Arial"/>
      </rPr>
      <t>Количество:</t>
    </r>
    <r>
      <rPr>
        <sz val="8"/>
        <color theme="1"/>
        <rFont val="Arial"/>
      </rPr>
      <t xml:space="preserve">
Квартир 429 шт.;
Парковочных мест 206 шт.;
Кладовых 214 шт.;
</t>
    </r>
    <r>
      <rPr>
        <i/>
        <sz val="8"/>
        <color theme="1"/>
        <rFont val="Arial"/>
      </rPr>
      <t>* Площадь указана ориентировочно и должна быть дополнительно согласована с Заказчиком в процессе проектирования.</t>
    </r>
  </si>
  <si>
    <r>
      <rPr>
        <sz val="8"/>
        <color rgb="FF000000"/>
        <rFont val="Arial"/>
      </rPr>
      <t xml:space="preserve">- Детальный проект (эскизный проект);
- ГПЗУ;
- Технические отчеты по выполненным инженерным изысканиям;
- Технические условия на присоединение к сетям инженерно-технического обеспечения;
- Задание на проектирование;
- Строительное задание на лифты;
</t>
    </r>
    <r>
      <rPr>
        <i/>
        <sz val="8"/>
        <color rgb="FF000000"/>
        <rFont val="Arial"/>
      </rPr>
      <t>Примечание: исходно-разрешительная документация для проектирования предоставляется Заказчиком в объеме необходимом для проектирования, установленном ст. 44-51 Градостроительного кодекса РФ.</t>
    </r>
  </si>
  <si>
    <t>СВЕДЕНИЯ О КОМАНДЕ</t>
  </si>
  <si>
    <t>Функционал</t>
  </si>
  <si>
    <t>Контактное лицо</t>
  </si>
  <si>
    <t>Исходные данные и ограничения
Утверждение ключевых решений
Контроль ТЭП и стоимости строительства.</t>
  </si>
  <si>
    <t>Дизайн менеджер
ФИО
Tel. +7 (ххх) ххххххх
email: ххххххх@brusnika.ru</t>
  </si>
  <si>
    <r>
      <rPr>
        <sz val="8"/>
        <color rgb="FF000000"/>
        <rFont val="Arial"/>
      </rPr>
      <t>Проектировщик</t>
    </r>
    <r>
      <rPr>
        <sz val="8"/>
        <color rgb="FFFF0000"/>
        <rFont val="Arial"/>
      </rPr>
      <t xml:space="preserve">
ООО «Наименование»</t>
    </r>
  </si>
  <si>
    <r>
      <rPr>
        <b/>
        <sz val="8"/>
        <color theme="1"/>
        <rFont val="Arial"/>
      </rPr>
      <t>Этап 1. Проектное сопровождение:</t>
    </r>
    <r>
      <rPr>
        <sz val="8"/>
        <color theme="1"/>
        <rFont val="Arial"/>
      </rPr>
      <t xml:space="preserve">
- Проверка Концепции, разрабатываемой Автором-архитектором, на соответствие федеральным и местным строительным и законодательным правилам, нормам, стандартам и техническим регламентам с передачей в письменной и устной форме аннотаций / комментариев на чертежах применительно к Объекту для их учета в Концепции проекта;
- Предоставление рекомендаций по конструктивным схемам, решениям;
- Консультирование по другим вопросам, связанным с реализацией Проекта, включая транспортно-логистическое обеспечение, вертикальный транспорт, мусороудаление, технологические, санитарные и иные требования; 
- Расчет необходимого количества машиномест на территории Объекта с учетом местных норм и расчетных показателей; 
- Подготовка заключения с обоснованием необходимости разработки Специальных технических условий (СТУ), Расчет по оценке пожарного риска (РПР), иных экспертных заключений; 
- Подготовка технических обоснований и расчетов, необходимые для подачи в соответствующие уполномоченные организации с целью получения технических условий (ТУ) на присоединение к инженерным сетям;
- Подготовка Технического задания на инженерные изыскания в объеме, необходимом для реализации проекта.</t>
    </r>
  </si>
  <si>
    <t>Главный инженер проекта
ФИО
Tel. +7 (ххх) ххххххх
email: ххххххх@brusnika.ru</t>
  </si>
  <si>
    <r>
      <rPr>
        <b/>
        <sz val="8"/>
        <color theme="1"/>
        <rFont val="Arial"/>
      </rPr>
      <t>Этап 2. Стадия "Проектная документация":</t>
    </r>
    <r>
      <rPr>
        <sz val="8"/>
        <color theme="1"/>
        <rFont val="Arial"/>
      </rPr>
      <t xml:space="preserve">
- Разработка Проектной документации осуществляется Проектировщиком на основании предоставленных Заказчиком: 
Перечня исходных данных и материалов (Приложение №6);
Задания на проектирование (Приложение №1, 2), с применением BIM-моделирования согласно BIM стандарт организации (Приложение №8).
- Утверждение BIM модели с BIM-менеджментом Заказчика
Экспертиза проекта:
- Проектная документация должна соответствовать требованиям Постановления Правительства РФ №87 от 16.02.2008г. «О составе разделов проектной документации и требованиях к их содержанию» с действующими на дату исполнения договора с экспертизой изменениями и дополнениями и требованиям, изложенным в Приложении №3 </t>
    </r>
  </si>
  <si>
    <r>
      <rPr>
        <b/>
        <sz val="8"/>
        <color theme="1"/>
        <rFont val="Arial"/>
      </rPr>
      <t>Этап 3. Стадия Рабочая документация:</t>
    </r>
    <r>
      <rPr>
        <sz val="8"/>
        <color theme="1"/>
        <rFont val="Arial"/>
      </rPr>
      <t xml:space="preserve">
- Разработка альбомов РД согласно Перечня основных разделов документации ПД/РД
(Приложение №7) и Календарного плана работ (Приложение №4);
Задания на проектирование (Приложение №1, 2), с применением BIM-моделирования согласно BIM стандарт организации (Приложение №8).
- Утверждение BIM модели с BIM-менеджментом Заказчика</t>
    </r>
  </si>
  <si>
    <t>ЗАДАЧА ПРОЕКТА</t>
  </si>
  <si>
    <t xml:space="preserve">Разработать:
Рабочую документацию в соответствии с утвержденным Заказчиком альбомом Концепции. Проектные работы выполнить в соответствии со ст. 48 Градостроительного кодекса РФ и Постановлением Правительства РФ 
от 16.02.2008 № 87. «О составе разделов проектной документации и требованиях к их содержанию». Проектная документация должна быть выполнена в объеме, необходимом для получения положительного заключения экспертизы и разрешения на строительство, в объеме не менее указанного в Приложение №3. Текстовая часть должна содержать технические характеристики (существенные потребительские качества) оборудования и материалов без указания марки, модели и фирмы-изготовителя.
Рабочая документация (РД) должна соответствовать:
- требованиям задания на проектирование; 
- выданным техническим условиям, требованиям действующих технических регламентов, стандартов, сводов правил и других документов содержащих установленные требования. 
- Рабочая документация должна быть выполнена в объеме, достаточном для выполнения строительно-монтажных работ (далее СМР) с детализацией до типовых узлов и решений поставщиков либо производителей оборудования и материалов, а также содержать подробные указания, чертежи и схемы необходимые для стороннего изготовления изделий либо выполнения СМР, в объеме не менее указанного в Перечне основных разделов документации ПД/РД (Приложение №7).
- Пространственную модель (BIM модель) здания в соответствии с BIM стандарт организации (Приложение 8). 
По мере наполнения для стадии П и РД.
- Расчетную записку 
- Расчетную модель (КР) </t>
  </si>
  <si>
    <t xml:space="preserve">Технические требования, перечень основных изделий, конструкций и материалов
</t>
  </si>
  <si>
    <t xml:space="preserve">N п/п
</t>
  </si>
  <si>
    <t>1.1.1.1</t>
  </si>
  <si>
    <t>Общие требования к объемно - планировочным решениям для регионов (паркинг в два уровня)</t>
  </si>
  <si>
    <r>
      <rPr>
        <b/>
        <sz val="8"/>
        <color theme="1"/>
        <rFont val="Arial"/>
      </rPr>
      <t xml:space="preserve">Жилая часть
</t>
    </r>
    <r>
      <rPr>
        <sz val="8"/>
        <color theme="1"/>
        <rFont val="Arial"/>
      </rPr>
      <t>Количество и типология квартир – согласно утвержденной Заказчиком квартирографии (Альбом Концепции, Детальный проект).
Высота подвала - 3,67 м от уровня фундаментной плиты пола до верха вышерасположенного перекрытия;
Высота первого этажа - 4,2 м от верха перекрытия до верха вышерасположенного перекрытия;
Высота типового этажа - 3,0 м от верха перекрытия до верха вышерасположенного перекрытия;
Высота последнего жилого этажа - 3,02 м от верха перекрытия до верха вышерасположенного перекрытия;</t>
    </r>
  </si>
  <si>
    <t>1.1.1.2</t>
  </si>
  <si>
    <t>Принципы организации технического этажа на кровле секций в Екатеринбурге, Тюмени, Омске, Кургане, Новосибирске, Сургуте</t>
  </si>
  <si>
    <r>
      <rPr>
        <b/>
        <sz val="8"/>
        <color theme="1"/>
        <rFont val="Arial"/>
      </rPr>
      <t xml:space="preserve">Технический этаж с неэксплуатируемой кровлей на Секциях до 28 метров, Урбан-виллах, Секциях до 50 метров, Башнях до 50 метров, Секциях до 75 метров, Башнях до 75 метров, Башнях до 100 метров включает в себя: </t>
    </r>
    <r>
      <rPr>
        <sz val="8"/>
        <color theme="1"/>
        <rFont val="Arial"/>
      </rPr>
      <t xml:space="preserve">
- техническое пространство (чердак, этаж), венткамеру;
- высоту этажа 2550 мм (от верха плиты перекрытия верхнего этажа до верха плиты покрытия тех.этажа);
- общую вытяжную шахту, высотой 1175 мм (от верха плиты покрытия тех.этажа до низа плиты покрытия общей вытяжной шахты);
- выходы на кровлю из технического пространства, лестничной клетки и венткамеры.
</t>
    </r>
    <r>
      <rPr>
        <b/>
        <sz val="8"/>
        <color theme="1"/>
        <rFont val="Arial"/>
      </rPr>
      <t xml:space="preserve">Технический этаж с эксплуатируемой кровлей на Секциях до 28 метров, Урбан-виллах, Секциях до 50 метров, Башнях до 50 метров, Секциях до 75 метров, Башнях до 75 метров включает в себя: </t>
    </r>
    <r>
      <rPr>
        <sz val="8"/>
        <color theme="1"/>
        <rFont val="Arial"/>
      </rPr>
      <t xml:space="preserve">
- техническое пространство (чердак, этаж), венткамеру, жилые надстройки с выходами на кровлю;
- высоту этажа 3020 мм (от верха плиты перекрытия верхнего этажа до верха плиты покрытия тех.этажа);
- общую вытяжную шахту, высотой 1175 мм (от верха плиты покрытия тех.этажа до низа плиты покрытия общей вытяжной шахты);
- выходы на кровлю из технического пространства и венткамеры.</t>
    </r>
  </si>
  <si>
    <t>1.1.2</t>
  </si>
  <si>
    <t>Коммерческие помещения</t>
  </si>
  <si>
    <t>Предусмотреть нежилые помещения и коммерческие помещения (по концепции планировок) со следующими параметрами:
- витражное остекление со стороны уличных фасадов;
- минимум инженерных сетей в центрах помещений;
- возможность объединения смежных помещений;
- Отделочные работы в т.ч. монтаж внутренних перегородок во встроенных и встроенно-пристроенных нежилых помещениях общественного назначения выполняются после ввода объекта в эксплуатацию силами арендаторов либо собственников помещений по рабочим проектам, разработанным на основании проектной документации. Перегородки функциональных помещений в нежилых помещениях общественного назначения не показывать, выделять только мокрые зоны. В случае необходимости разработки ТХ планировочные решения давать с примечанием «возможное объемно-планировочное решение»;
- Внутренние системы хозяйственно - питьевого водопровода и горячего водоснабжения (канализации) во встроенных и встроенно-пристроенных нежилых помещениях общественного назначения, а также установка сантехнического оборудования (санфаянс, смесители, раковины и т.д.) выполняются после ввода объекта в эксплуатацию силами арендаторов либо собственников помещений по отдельным рабочим проектам.</t>
  </si>
  <si>
    <t>1.1.2.1</t>
  </si>
  <si>
    <t>Нагрузки коммерческих помещений</t>
  </si>
  <si>
    <t>При проектировании применить нагрузки согласно площади коммерческого помещения</t>
  </si>
  <si>
    <t>1.1.3</t>
  </si>
  <si>
    <t>Техподполье (подвал)</t>
  </si>
  <si>
    <t xml:space="preserve">В техподполье(подвале) – все свободные зоны, не используемые для нужд инженерных помещений и коммуникаций, использовать под кладовые.
Доступ в Техподполье (подвал) к кладовым обеспечить из МОП жилой части в уровне парковки. Исключить транзиты общедомовых инженерных систем через индивидуальные зоны хранения (кладовые). 
Не допускать расположение выпусков систем канализации в кладовых, колясочных, велосипедных и встроенных помещениях жилого дома. </t>
  </si>
  <si>
    <t>1.1.4</t>
  </si>
  <si>
    <t>Автостоянка два уровня</t>
  </si>
  <si>
    <r>
      <rPr>
        <sz val="8"/>
        <color theme="1"/>
        <rFont val="Arial"/>
      </rPr>
      <t xml:space="preserve">Автостоянку двухуровневую разместить -1 этаж под двором жилого дома, 1 этаж во дворе жилого дома. Сделать закрытой, неотапливаемой. 
Не допускается включение въездной рампы, в площадь автостоянки. 
Минимальный размер парковочных мест принять 2,5 х 5,3м в соответствии с приказом Федеральной службы государственной регистрации, кадастра и картографии РФ от 23 июля 2021 г. N п/0316 "Об установлении минимально допустимых размеров машино-места". 
Предусмотреть частичное использование пространства под зданием для увеличения общей площади автостоянки, при условии отсутствия жилых помещений над автостоянкой. 
Выполнить монтаж инженерных сетей максимально близко к перекрытию автостоянки. 
Светильники разместить так, чтобы не было пересечений с другими сетями и выполнить их расстановку согласно дизайн проекту.
Высота автостоянки 1 этажа от верха перекрытия до верха плиты покрытия - 3.320 м.
Высота автостоянки -1 этаж от уровня фундаментной плиты пола до верха вышерасположенного перекрытия - 3.800 м.
Высота до капители 1 этажа - 3,35 метра
Высота до капители -1 этажа - 2,82 метра
Высота до трасс инженерных систем 1 этажа - не менее 3,1 метра
Высота до трасс инженерных систем - 1 этажа - не менее 2,57 метра
Высота от пола рампы до низа выступающих конструкций - не менее 3,1 метра
Высота от пола рампы до низа выступающих конструкций - не менее 2,57 метра
</t>
    </r>
    <r>
      <rPr>
        <b/>
        <sz val="8"/>
        <color theme="1"/>
        <rFont val="Arial"/>
      </rPr>
      <t xml:space="preserve">
</t>
    </r>
    <r>
      <rPr>
        <sz val="8"/>
        <color theme="1"/>
        <rFont val="Arial"/>
      </rPr>
      <t>Ширина проезда - 5,0 метров</t>
    </r>
  </si>
  <si>
    <t>1.2</t>
  </si>
  <si>
    <t>Площади и расположение инженерных помещений</t>
  </si>
  <si>
    <t xml:space="preserve">Предусмотреть помещения:
Квартал без башен - один блок инженерных помещений располагать в одной секции ближе к тепловым сетям.
Квартал с одной башней - один блок инженерных помещений в доминанте (башня).
Квартал с двумя башнями - менее 30 000 м2 продаваемой площади один блок инженерных помещений в доминанте (башне) к тепловым сетям.
Квартал с двумя башнями - более 30 000 м2 продаваемой площади, два блока инженерных помещений кроме помещений паркинга
1. ИТП: одно помещение на все секции, располагать у наружной стены здания (со стороны улицы). Площадью 60 м2 +/- 3 м2. 
2. Узел ввода/ Насосная: Одно помещение на все секции для узла ввода, насосной хозяйственно - питьевого водоснабжения, насосной пожаротушения жилой части и автостоянки, оборудования автополива - 5м2, располагать у наружной стены здания (со стороны улицы). Площадью 60 м2 +/- 3 м2. 
3.1 Электрощитовая (жилые и коммерческие помещения): Одно помещение на закрытый квартал расположить к наружной стены здания(со стороны улицы). Площадь 20м2 +/- 3 м2. 
3.2 Электрощитовая (автостоянки): Одно помещение, располагать у стены автостоянки. Площадь 15м2 +/- 3 м2. 
4.1 Вентиляционная камера (вытяжная общеобменная автостоянки), располагать во внутреннем контуре у стены автостоянки (за велосипедной или в углу). Одно помещение на каждый пожарный отсек автостоянки. Площадь 20м2 +/- 3 м2. 
4.2 Вентиляционная камера (вытяжная противодымная автостоянки), распологать во внутреннем контуре, около ЛЛУ. Одно помещение на каждый пожарный отсек автостоянки. Площадь 20м2 +/- 3 м2. 
4.3 Вентиляционная камера (приточная автостоянки), располагать во внутреннем контуре по диагонали (относительно вентиляционной камеры пункта 4.2). Одно помещение на каждый пожарный отсек автостоянки. Площадь 20м2 +/- 3 м2. 
4.4 Вентиляционная камера (приточно - вытяжная общеобменная МОП), располагать в техническом этаже (чердаке) над лифтовым холлом МОП. Одно помещение для каждой секции. Площадь 20м2 +/- 3 м2.
4.5 Вентиляционная камера (вытяжная противодымная МОП), располагать в техническом этаже (чердаке). Одно помещение для каждой секции. Только для зданий свыше 28 метров. Площадь 20м2 +/- 3 м2.
4.6 Вентиляционная камера (приточная противодымная МОП), располагать в техническом этаже (чердаке). Одно помещение для каждой секции. Только для зданий свыше 28 метров. Площадь 20м2 +/- 3 м2. 
5. Сети связи: Одно помещение на все секции, располагать у наружной стены здания, площадью 10 м2 +/-3 м2 и место у каждого лестнично - лифтового узла для шкафа слаботочных систем.
Инженерные помещения расположить в одной секции, за исключением помещений под пунктами 4.3-4.6. </t>
  </si>
  <si>
    <t>1.3</t>
  </si>
  <si>
    <t>Помещения управляющей компании</t>
  </si>
  <si>
    <r>
      <rPr>
        <sz val="8"/>
        <color rgb="FF000000"/>
        <rFont val="Arial"/>
      </rPr>
      <t xml:space="preserve">• </t>
    </r>
    <r>
      <rPr>
        <b/>
        <sz val="8"/>
        <color rgb="FF000000"/>
        <rFont val="Arial"/>
      </rPr>
      <t>Офис УК</t>
    </r>
    <r>
      <rPr>
        <sz val="8"/>
        <color rgb="FF000000"/>
        <rFont val="Arial"/>
      </rPr>
      <t xml:space="preserve"> - размещать в первом доме, I очереди строительства, на 1 этаже, вход с улицы, с организацией отдельного служебного входа со спуском на -1 этаж смежный с офисом УК.
Обслуживает 210 тыс.м2 жилой площади (в радиусе обслуживания до 3 км).
• </t>
    </r>
    <r>
      <rPr>
        <b/>
        <sz val="8"/>
        <color rgb="FF000000"/>
        <rFont val="Arial"/>
      </rPr>
      <t>Мастерская сантехников и электриков</t>
    </r>
    <r>
      <rPr>
        <sz val="8"/>
        <color rgb="FF000000"/>
        <rFont val="Arial"/>
      </rPr>
      <t xml:space="preserve"> - размещать на -1 этаже.
Обслуживает 210 тыс.м2 жилой площади (в радиусе обслуживания до 3 км).
• </t>
    </r>
    <r>
      <rPr>
        <b/>
        <sz val="8"/>
        <color rgb="FF000000"/>
        <rFont val="Arial"/>
      </rPr>
      <t>Служба безопасности</t>
    </r>
    <r>
      <rPr>
        <sz val="8"/>
        <color rgb="FF000000"/>
        <rFont val="Arial"/>
      </rPr>
      <t xml:space="preserve"> - предпочтительно размещать на -1 этаже (при невозможности на 1 этаже).
Обслуживает 210 тыс.м2 жилой площади (в радиусе обслуживания до 3 км).
</t>
    </r>
    <r>
      <rPr>
        <b/>
        <sz val="8"/>
        <color rgb="FF000000"/>
        <rFont val="Arial"/>
      </rPr>
      <t>Клининговая служба</t>
    </r>
    <r>
      <rPr>
        <sz val="8"/>
        <color rgb="FF000000"/>
        <rFont val="Arial"/>
      </rPr>
      <t xml:space="preserve"> (размещать в каждом доме на -1 этаже):
• Помещение дворника.
• Комната уборочного инвентаря общедомовое, основное.
• Комната уборочного инвентаря секционное, вспомогательное.
• Помещение обслуживание паркинга.
• Комната отдыха с гардеробом (в каждом доме, где нет зоны отдыха на -1 этаже, все дома кроме первого.</t>
    </r>
  </si>
  <si>
    <t>1.4</t>
  </si>
  <si>
    <t>Наименование помещений</t>
  </si>
  <si>
    <r>
      <rPr>
        <sz val="8"/>
        <color rgb="FF000000"/>
        <rFont val="Arial"/>
      </rPr>
      <t xml:space="preserve">Наименование помещений принять в соответствии с </t>
    </r>
    <r>
      <rPr>
        <sz val="8"/>
        <color rgb="FF000000"/>
        <rFont val="Arial"/>
      </rPr>
      <t>Приложением №8 BIM стандарт организации (категория, назначение помещений)</t>
    </r>
    <r>
      <rPr>
        <sz val="8"/>
        <color rgb="FF000000"/>
        <rFont val="Arial"/>
      </rPr>
      <t>.</t>
    </r>
  </si>
  <si>
    <t>1.5</t>
  </si>
  <si>
    <t>Шумоизоляция</t>
  </si>
  <si>
    <t>Обеспечить проектом нормативный или ниже уровень шума в помещениях, при необходимости компенсирующих мероприятий, предоставить Заказчику на согласование расчетное обоснование с учетом заложенного в проекте оборудования. 
Шумоизоляция во встроенных и встроенно-пристроенных нежилых помещениях общественного назначения выполняются силами и за счет собственников или арендаторов помещений после ввода Здания в эксплуатацию по отдельно разработанным проектам.
Виброразвязка инженерного оборудования предусматривается вне зависимости от типов помещения над/под которыми расположено данное оборудование(приточно - вытяжная вентиляция, автостоянки и коммерческих помещений; оборудование ИТП и насосных; демпферы на лифтовом оборудовании).
Фундамент под инженерное оборудование выполняется исходя из габаритов и массы оборудования. Установку фундамента на плиту или оборудования на фундамент (за исключением противопожарного инженерного оборудования) выполнить с применением соответствующих виброизоляторов</t>
  </si>
  <si>
    <t>1.6</t>
  </si>
  <si>
    <t xml:space="preserve">В документации назначение коммерческих помещений:
- Помещения свободного назначения
- Офис
- Магазин
- Общественное питание </t>
  </si>
  <si>
    <t>1.7</t>
  </si>
  <si>
    <t xml:space="preserve">Мусороудаление </t>
  </si>
  <si>
    <t xml:space="preserve">Не предусматривать в проекте устройство мусоропроводов в составе жилого дома. 
Сбор твердых коммунальных отходов (ТКО) и крупногабаритных отходов (КГО) предусмотреть на специализированных площадках с полузаглубенными контейнерами. Размещение площадок принять согласно Альбома Мастер-плана. </t>
  </si>
  <si>
    <t>1.8</t>
  </si>
  <si>
    <t>Система доступа МГН</t>
  </si>
  <si>
    <t xml:space="preserve">Разработать мероприятия по обеспечению условий жизнедеятельности маломобильных групп населения согласно СП 59.13330 в части:
- в каждой секции жилого дома один из входов организовать с возможностью доступа МГН на посадочный этаж, до лифта, с уровня земли, без ступеней и максимальным порогом 14 мм, с размерами тамбура в соответствии с нормами СП 59.13330;
- безбарьерность среды на входных группах в торговые помещения;
- предусмотреть возможность устройства санузлов на 1 этаже, с соблюдением СП 59.13330, силами собственника помещений общественного назначения;
- приспособление прилегающей территории, включая организацию путей движения, мест отдыха и доступность малых архитектурных форм;
- машино-места, предназначенные для МГН, запроектировать снаружи, в профилях улиц
- Не предусматривать специализированные квартиры для проживания МГН.
Предусмотреть пожаробезопасную зону для МГН:
- В лифтовом холле при лестничной клетке Н2,
- В лестничной клетке при лестничной клетке Л1. </t>
  </si>
  <si>
    <t>1.9</t>
  </si>
  <si>
    <t>Общие данные при проектировании</t>
  </si>
  <si>
    <t>Надбавку (запас) к общей проектной длине (объему) на трудноустранимые потери и отходы материалов (на изгибы, повороты, раскрой, расключение) в документации и спецификации не предусматривать.</t>
  </si>
  <si>
    <t>1.10 Техническое задание на Мокап</t>
  </si>
  <si>
    <t>1.1.10.1</t>
  </si>
  <si>
    <r>
      <rPr>
        <sz val="8"/>
        <color rgb="FF000000"/>
        <rFont val="Arial"/>
      </rPr>
      <t>Разработать техническое задание на выполнение мокапа - модель в натуральную величину.</t>
    </r>
    <r>
      <rPr>
        <sz val="8"/>
        <color rgb="FF000000"/>
        <rFont val="Arial"/>
      </rPr>
      <t xml:space="preserve">
</t>
    </r>
    <r>
      <rPr>
        <sz val="8"/>
        <color rgb="FF000000"/>
        <rFont val="Arial"/>
      </rPr>
      <t xml:space="preserve">Специально изготовленный полноразмерный образец элемента будущей конструкции (фасада, витража, ландшафта, интерьера) созданный чтобы непосредственно на строительной площадке оценить качество работ, эстетику и композицию различных материалов.
Разработать в объеме отдельного раздела рабочей документации, достаточном для ведения строительно монтажных работ и заказа материалов).
</t>
    </r>
    <r>
      <rPr>
        <sz val="8"/>
        <color rgb="FF000000"/>
        <rFont val="Arial"/>
      </rPr>
      <t xml:space="preserve">
</t>
    </r>
    <r>
      <rPr>
        <sz val="8"/>
        <color rgb="FF000000"/>
        <rFont val="Arial"/>
      </rPr>
      <t xml:space="preserve">Альбом, техническое задание на выполнение мокапа необходимо предоставить Заказчику, руководителю проекта до выдачи основного альбома рабочей документации, для определения Заказчиком на ранних стадиях разработки проекта необходимой информацию о техническом решении и, если потребуется, ― внести корректировки без значительных затрат. </t>
    </r>
    <r>
      <rPr>
        <sz val="8"/>
        <color rgb="FF000000"/>
        <rFont val="Arial"/>
      </rPr>
      <t xml:space="preserve">
</t>
    </r>
    <r>
      <rPr>
        <sz val="8"/>
        <color rgb="FF000000"/>
        <rFont val="Arial"/>
      </rPr>
      <t>Так, на основе полноразмерного образца можно подобрать тип</t>
    </r>
    <r>
      <rPr>
        <sz val="8"/>
        <color rgb="FF000000"/>
        <rFont val="Arial"/>
      </rPr>
      <t xml:space="preserve"> </t>
    </r>
    <r>
      <rPr>
        <sz val="8"/>
        <color rgb="FF000000"/>
        <rFont val="Arial"/>
      </rPr>
      <t>используемых материалов и узлов, сделать расчетные схемы</t>
    </r>
    <r>
      <rPr>
        <sz val="8"/>
        <color rgb="FF000000"/>
        <rFont val="Arial"/>
      </rPr>
      <t xml:space="preserve"> </t>
    </r>
    <r>
      <rPr>
        <sz val="8"/>
        <color rgb="FF000000"/>
        <rFont val="Arial"/>
      </rPr>
      <t>применения фасадной системы. 
Можно протестировать на мокапе сложные элементы и убедиться в том, что конкретные решения могут быть реализованы в реальном масштабе, в соответствии с техническими и эстетическими требованиями.</t>
    </r>
    <r>
      <rPr>
        <sz val="8"/>
        <color rgb="FF000000"/>
        <rFont val="Arial"/>
      </rPr>
      <t xml:space="preserve">
</t>
    </r>
    <r>
      <rPr>
        <sz val="8"/>
        <color rgb="FF000000"/>
        <rFont val="Arial"/>
      </rPr>
      <t>Таким образом тестируются разные подрядчики, разработчики: мы можем сравнить качество и внешний вид тех или иных материалов, сборку внутри системы, и выбираем в зависимости от экономики проекта и архитектуры.</t>
    </r>
  </si>
  <si>
    <t>1.1.10.2</t>
  </si>
  <si>
    <t>Архитектура</t>
  </si>
  <si>
    <r>
      <rPr>
        <b/>
        <sz val="8"/>
        <color rgb="FF000000"/>
        <rFont val="Arial"/>
      </rPr>
      <t xml:space="preserve">ТЗ на концепцию включает в себя:
</t>
    </r>
    <r>
      <rPr>
        <sz val="8"/>
        <color rgb="FF000000"/>
        <rFont val="Arial"/>
      </rPr>
      <t xml:space="preserve">Мокап отдельностоящий размер: 6,9х7,2hх2,5, выполнить четыри модуля фасада:
- на первом этаже входная группа коммерческие помещения
- на первом этаже с витражным остеклением
- на втором этаже типовой этаж с балконом
- на втором этаже с типовым окном объекта
На мокапе необходимо протестировать основные значимые узлы и необходимые варианты отделочных материалов, выкрасы штукатурки, кладки кирпича и других основных отделочных вариантов, по альбому коллекции.
С внутренней стороны мокапа предусмотреть лестницу для доступа на второй этаж.
Состав альбома Задания на Мокап:
1. Конструктивные чертежи несущих конструкций (перекрытие-пилоны-лестница на 2 ярус)
2. Аксонометрия
3. Фасад с раскладкой навесного материала и маркировкой узлов
4. Сечения
5. Необходимые узлы
</t>
    </r>
    <r>
      <rPr>
        <b/>
        <sz val="8"/>
        <color rgb="FF000000"/>
        <rFont val="Arial"/>
      </rPr>
      <t>ТЗ на РД дополнительно включает в себя данные узлы:</t>
    </r>
    <r>
      <rPr>
        <sz val="8"/>
        <color rgb="FF000000"/>
        <rFont val="Arial"/>
      </rPr>
      <t xml:space="preserve">
Узлы:
- Цокольный
- Префаб балкон
- Откосы 
- Отливы
- Ограждение префаб балкона
- Ограждение окон (при наличии)
- Приточная решетка вентиляции коммерческих помещений
- Дверная ручка
- Подсветка входной группы
- Навесной вентилируемый фасад первого этажа
- Маркизы (при наличии)
- Фактуры штукатурного фасада
- Корзина кондиционера</t>
    </r>
  </si>
  <si>
    <t>1.1.10.3</t>
  </si>
  <si>
    <t>Интерьеры</t>
  </si>
  <si>
    <t>Мокап по первому этажу со всеми основными элементами декора (почтовые ящики, зеркала и.т.д) и освещения. 
На мокапе необходимо протестировать основные значимые узлы и необходимые варианты отделочных материалов по альбому коллекции.
Макеты мокапов согласовать с Заказчиком (Дизайнером).</t>
  </si>
  <si>
    <t>1.1.10.4</t>
  </si>
  <si>
    <t>Ландшафт</t>
  </si>
  <si>
    <t>Мокап размерами 7145х3450 мм, выполнить с модулем фасада (входной группой).
В Мокап необходимо включить несколько вариантов покрытий, а различные малые архитектурные формы. 
На мокапе необходимо протестировать основные значимые узлы и необходимые варианты отделочных материалов, и элементов по альбому коллекции.
Макет мокапа согласовать с Заказчиком (архитектором Ландшафта)</t>
  </si>
  <si>
    <t>1.1 Градостроительство</t>
  </si>
  <si>
    <t xml:space="preserve"> Сосоедский центр (Градостроительство)</t>
  </si>
  <si>
    <t>Инструкция по размещению Соседского центра на этапе мастерплана:
1)  Формат S организовывать в проектах точечной застройки B и A классах жилья с общей продаваемой площадью до 30 000 м2 SFA;
2)  Формат М размещать в проектах C и B классах при достижении 40 000 м2 SFA и обслуживании до 250 000 м2 SFA;
3)  В проектах C и B классах, общая продаваемая площадь которых превышает 250 000 м2 SFA, организовывать два Соседских центра формата М.</t>
  </si>
  <si>
    <t xml:space="preserve">2. Благоустройство территории </t>
  </si>
  <si>
    <t>2.1 Покрытия</t>
  </si>
  <si>
    <t>2.1.0</t>
  </si>
  <si>
    <t>Общие требования подраздела покрытия</t>
  </si>
  <si>
    <t>Типы и расположение покрытий вне дворов (на внутридворовых, внешних пешеходных связях, пересечениях проездов с пешеходными связями) принять на основе мастер-плана благоустройства.</t>
  </si>
  <si>
    <t>2.1.1</t>
  </si>
  <si>
    <t>Покрытие Асфальтовое по грунту</t>
  </si>
  <si>
    <t>- Смесь асфальтобетонная мелкозернистая марка 2 - 40 мм
- Смесь асфальтобетонная крупнозернистая марка 2 - 40 мм
- Щебень фракции 20-40 мм М800 (по способу пропитки эмульсией битумной ЭБК-2, плотность 1050 кг/м3), ГОСТ 8267-93 - 50 мм
- Щебень фракции 40-70 мм М800 (80%) с расклинцовкой щебнем фракции 10-20 мм М800 (20%), ГОСТ 8267-93 - 250 мм
- Песок строительный фракции 1,5-3,0 мм с послойным трамбованием, ГОСТ 8736-2014 - 100 мм 
- Геотекстиль тканый 300 г/м2
- Грунт основания уплотненный 1,65 т/м3, с коэффициентом уплотнения 0,95</t>
  </si>
  <si>
    <t>2.1.2</t>
  </si>
  <si>
    <t xml:space="preserve">Покрытие Бетонное по грунту </t>
  </si>
  <si>
    <r>
      <rPr>
        <sz val="8"/>
        <color rgb="FF000000"/>
        <rFont val="Arial"/>
      </rPr>
      <t xml:space="preserve">- Плитка бетонная - 80 мм
</t>
    </r>
    <r>
      <rPr>
        <sz val="8"/>
        <color rgb="FF000000"/>
        <rFont val="Arial"/>
      </rPr>
      <t>Вид, размер, цвет, производитель согласно детального проекта ландшафта</t>
    </r>
    <r>
      <rPr>
        <sz val="8"/>
        <color rgb="FF000000"/>
        <rFont val="Arial"/>
      </rPr>
      <t xml:space="preserve">
- Песок строительный фракции 1,5-3,0 мм с послойным трамбованием, ГОСТ 8736-2014 - 50 мм
- Геотекстиль нетканый иглопробивной 300 г/м2
- Щебень фракции 40-70 мм М800 (80%)с расклинцовкой щебнем фракции 10-20 мм М800 (20%), ГОСТ 8267-93 - 300 мм
- Песок строительный фракции 1,5-3,0 мм с послойным трамбованием, ГОСТ 8736-2014 - 100 мм
- Геотекстиль нетканый иглопробивной 300 г/м2
- Грунт основания уплотненный 1,65 т/м3, с коэффициентом уплотнения 0,95</t>
    </r>
  </si>
  <si>
    <t>2.1.3</t>
  </si>
  <si>
    <t>Покрытие Асфальтовое велосипедное по грунту</t>
  </si>
  <si>
    <t>- Смесь асфальтобетонная мелкозернистая марка 2 - 50 мм
- Щебень фракции 20-40 мм М800 (по способу пропитки эмульсией битумной ЭБК-2, плотность 1050 кг/м3), ГОСТ 8267-93 - 50 мм
- Щебень фракции 40-70 мм М800 (80%) с расклинцовкой щебнем фракции 10-20 мм М800 (20%), ГОСТ 8267-93 - 150 мм
- Песок строительный фракции 1,5-3,0 мм с послойным трамбованием, ГОСТ 8736-2014 - 100 мм 
- Геотекстиль тканый 300 г/м2
- Грунт основания уплотненный 1,65 т/м3, с коэффициентом уплотнения 0,95</t>
  </si>
  <si>
    <t>2.1.4</t>
  </si>
  <si>
    <t>Покрытие Доска террасная по грунту</t>
  </si>
  <si>
    <t xml:space="preserve">- Доска террасная лиственница сорта Экстра 30х140 мм - 30 мм
- Кляймер оцинкованный Кобра КБЦ 41х28х16х2 мм
- Брус обрезной лиственница 3 сорта влажностью не более 22% 50х100 мм, ГОСТ 8486-86 - 100 мм
- Уголок крепежный оцинкованный 100х100х2 мм
- Прокладка деревянная антисептированная - 18 мм
- Щебень фракции 20-40 мм М800 засыпка - 130 мм
- Бетонная смесь тяжелая B15, F150, W6
- Пленка полиэтиленовая неармированная
- Щебень фракции 20-40 мм М800 с послойным трамбованием - 330 мм
- Песок строительный 1,5-3,0 мм с послойным трамбованием, ГОСТ 8736-2014 - 100 мм
- Геотекстиль нетканый иглопробивной 300 г/м2
- Грунт основания уплотненный 1,65 т/м3, с коэффициентом уплотнения </t>
  </si>
  <si>
    <t>2.1.5</t>
  </si>
  <si>
    <t>Покрытие Песчано-щебеночное по грунту</t>
  </si>
  <si>
    <t>1. Смесь песчано-щебеночная С2, ГОСТ 25607-2009, крошка гранитная фракции 5-10 мм, ГОСТ 8267-93, в пропорции 33/67% - 50 мм
2. Смесь песчано-щебеночная С5, ГОСТ 25607-2009 - 150 мм
3. Щебень фракции 20-40 мм М800 с послойным трамбованием, ГОСТ 8267-93 - 150 мм
4. Песок строительный 1,5-3,0 мм с послойным трамбованием, ГОСТ 8736-2014 - 100 мм
5. Геотекстиль нетканый иглопробивной 300 г/м2
6. Грунт основания уплотненный 1,65 т/м3, с коэффициентом уплотнения 0,95</t>
  </si>
  <si>
    <t>2.1.6</t>
  </si>
  <si>
    <t>Покрытие Песчаное игровое по грунту</t>
  </si>
  <si>
    <t>- Песок речной без примеси ила и глины фракции 1,0-2,0 мм, СанПиН 2.1.3684-21 - 400 мм
- Геотекстиль нетканый иглопробивной 300 г/м2
- Щебень фракции 20-40 мм М800 с послойным трамбованием, ГОСТ 8267-93 - 200 мм
- Песок строительный фракции 1,5-3,0 мм с послойным трамбованием, ГОСТ 8736-2014 - 100 мм
- Геотекстиль нетканый иглопробивной 300 г/м2
- Грунт основания уплотненный 1,65 т/м3, с коэффициентом уплотнения 0,95</t>
  </si>
  <si>
    <t>2.1.7</t>
  </si>
  <si>
    <t>Покрытие Гравийное игровое по грунту</t>
  </si>
  <si>
    <t>- Гравий округленный, промытый без примеси ила и глины фракции 2,0-8 мм, СанПиН 2.1.3684-21 - 400 мм
- Геотекстиль нетканый иглопробивной 300 г/м2
- Щебень фракции 20-40 мм М800 с послойным трамбованием, ГОСТ 8267-93 - 200 мм
- Песок строительный фракции 1,5-3,0 мм с послойным трамбованием, ГОСТ 8736-2014 - 100 мм
- Геотекстиль нетканый иглопробивной 300 г/м2
- Грунт основания уплотненный 1,65 т/м3, с коэффициентом уплотнения 0,95</t>
  </si>
  <si>
    <t>2.1.8</t>
  </si>
  <si>
    <t>Покрытие Резиновое спортивное по грунту</t>
  </si>
  <si>
    <r>
      <rPr>
        <sz val="8"/>
        <color rgb="FF000000"/>
        <rFont val="Arial"/>
      </rPr>
      <t xml:space="preserve">- Смесь резиновая финишная - 15 мм
</t>
    </r>
    <r>
      <rPr>
        <sz val="8"/>
        <color rgb="FF000000"/>
        <rFont val="Arial"/>
      </rPr>
      <t>Вид, размер, цвет, производитель согласно детального проекта ландшафта</t>
    </r>
    <r>
      <rPr>
        <sz val="8"/>
        <color rgb="FF000000"/>
        <rFont val="Arial"/>
      </rPr>
      <t xml:space="preserve">
- Смесь асфальтобетонная мелкозернистая марка 2 - 50 мм
- Щебень фракции 20-40 мм М800 (по способу пропитки эмульсией битумной ЭБК-2, плотность 1050 кг/м3), ГОСТ 8267-93 - 150 мм
- Песок строительный 1,5-3,0 мм с послойным трамбованием, ГОСТ 8736-2014 - 100 мм 
- Геотекстиль нетканый иглопробивной 300 г/м2
- Грунт основания уплотненный 1,65 т/м3, с коэффициентом уплотнения 0,95</t>
    </r>
  </si>
  <si>
    <t>2.1.9</t>
  </si>
  <si>
    <t>Покрытие Резиновое игровое по грунту</t>
  </si>
  <si>
    <r>
      <rPr>
        <sz val="8"/>
        <color rgb="FF000000"/>
        <rFont val="Arial"/>
      </rPr>
      <t xml:space="preserve">- Смесь резиновая финишная - 20 мм
</t>
    </r>
    <r>
      <rPr>
        <sz val="8"/>
        <color rgb="FF000000"/>
        <rFont val="Arial"/>
      </rPr>
      <t>Вид, размер, цвет, производитель согласно детального проекта ландшафта</t>
    </r>
    <r>
      <rPr>
        <sz val="8"/>
        <color rgb="FF000000"/>
        <rFont val="Arial"/>
      </rPr>
      <t xml:space="preserve">
- Смесь резиновая базовая - 20 мм
- Сетка армирующая базальтовая 50 кН/м ячейка 25х25 мм - 2 мм
- Мат из вспененного полиэтилена амортизирующий - 40 мм 
- Отсев гранитный фракции 2,0-5 мм с послойным трамбованием, ГОСТ 8267-93 - 100 мм 
- Щебень фракции 40-70 мм М800 (80%)с расклинцовкой щебнем фракции 10-20 мм М800 (20%), ГОСТ 8267-93 - 400 мм
- Песок строительный 1,5-3,0 мм с послойным трамбованием, ГОСТ 8736-2014 - 100 мм 
- Геотекстиль нетканый иглопробивной 300 г/м2
- Грунт основания уплотненный 1,65 т/м3, с коэффициентом уплотнения 0,95</t>
    </r>
  </si>
  <si>
    <t>2.1.10</t>
  </si>
  <si>
    <t>Покрытие Щепа игровое по грунту</t>
  </si>
  <si>
    <t>- Щепа древесная хвойных пород фракции 5-30 мм - 400 мм
- Геотекстиль нетканый иглопробивной 300 г/м2
- Щебень фракции 20-40 мм М800 с послойным трамбованием, ГОСТ 8267-93 - 200 мм
- Песок строительный 1,5-3,0 мм с послойным трамбованием, ГОСТ 8736-2014 - 100 мм 
- Геотекстиль нетканый иглопробивной 300 г/м2
- Грунт основания уплотненный 1,65 т/м3, с коэффициентом уплотнения 0,95</t>
  </si>
  <si>
    <t>2.1.11</t>
  </si>
  <si>
    <t>Покрытие Набивное по грунту</t>
  </si>
  <si>
    <t>- Отсев гранитный фракции 2,0-5 мм с послойным трамбованием, ГОСТ 8267-93 - 100 мм
- Крошка гранитная фракции 5-10 мм с послойным трамбованием, ГОСТ 8267-93 - 100 мм
- Щебень фракции 20-40 мм М800 с послойным трамбованием, ГОСТ 8267-93 - 100 мм
- Песок строительный фракции 1,5-3,0 мм с послойным трамбованием, ГОСТ 8736-2014 - 100 мм
- Геотекстиль нетканый иглопробивной 300 г/м2
- Грунт основания уплотненный 1,65 т/м3, с коэффициентом уплотнения 0,95</t>
  </si>
  <si>
    <t>2.1.12</t>
  </si>
  <si>
    <t>Покрытие Брусчатка деревянная по грунту</t>
  </si>
  <si>
    <t>- Брусчатка деревянная 100х100х150(h) - 150 мм
- Отсев гранитный фракции 2,0-5 мм на заполнение швов, ГОСТ 8267-93 - 130 мм
- Песок строительный 1,5-3,0 мм с послойным трамбованием, ГОСТ 8736-2014 - 50 мм
- Геотекстиль нетканый иглопробивной 300 г/м2
- Щебень фракции 20-40 мм М800 с послойным трамбованием, ГОСТ 8267-93 - 330 мм
- Песок строительный 1,5-3,0 мм с послойным трамбованием, ГОСТ 8736-2014 - 100 мм
- Геотекстиль нетканый иглопробивной 300 г/м2
- Грунт основания уплотненный 1,65 т/м3, с коэффициентом уплотнения 0,95</t>
  </si>
  <si>
    <t>2.1.13</t>
  </si>
  <si>
    <t>Покрытие Камень жидкий по грунту</t>
  </si>
  <si>
    <t>1. Камень жидкий из гранитного заполнителя фракции 3,0-10 мм - 50 мм
2. Сетка армирующая базальтовая 50кН/м ячейка 50х50 мм
3. Отсев гранитный фракции 2,0-5 мм с послойным трамбованием, ГОСТ 8267-93 - 50 мм
4. Щебень фракции 20-40 мм М800 с послойным трамбованием, ГОСТ 8267-93 - 430 мм 
5. Песок строительный фракции 1,5-3,0 мм с послойным трамбованием, ГОСТ 8736-2014  - 100 мм
6. Геотекстиль нетканый иглопробивной 300 г/м2
7. Грунт основания уплотненный 1,65 т/м3, с коэффициентом уплотнения 0,95</t>
  </si>
  <si>
    <t>2.1.14</t>
  </si>
  <si>
    <t>Сопряжения покрытий (по грунту)</t>
  </si>
  <si>
    <t>При отсутствии специальных технических условий на улицах и внутриквартальных проездах сопряжения покрытий выполнять с помощью бортовых элементов БР 100.30.15 и металлического L-образного борта, Данная информация должна быть указана в разделе "конструкции дорожных покрытий" в М 1:10
- Все сопряжения по типу газон/озеленение и озеленение/безопасное покрытие производить через деревянный борт пропитанный маслом 40х300х1000;
- Паттерны покрытий и типы раскладки должны учитывать оптимальный тип подрезки плитки (не менее 1/3 от её размера) и минимизировать количество подрезки в целом;
- Основные принципы и типы раскладки брусчатки должны быть отображены на фрагментах участков плана благоустройства в масштабе М1:50, М 1:100, в зависимости от размера фрагмента;
-Элементы мощения должны быть различимы и иметь привязки в виде размерных цепочек;
-На фрагментах должны указываться типы подрезки.
- В местах разделения парковочных мест островками озеленения и на сопряжениях проезжих частей использовать радиальные бортовые камни;
- На участках озеленения между в разрывах парковочных карманов, между машиноместами использовать радиальные бортовые элементы 
с R=1 м.</t>
  </si>
  <si>
    <t>2.1.15</t>
  </si>
  <si>
    <t>Покрытие Бетонное на зеленой кровле</t>
  </si>
  <si>
    <r>
      <rPr>
        <sz val="8"/>
        <color rgb="FF000000"/>
        <rFont val="Arial"/>
      </rPr>
      <t xml:space="preserve">- Плитка бетонная - 80 мм
</t>
    </r>
    <r>
      <rPr>
        <sz val="8"/>
        <color rgb="FF000000"/>
        <rFont val="Arial"/>
      </rPr>
      <t>Вид, размер, цвет, производитель согласно детального проекта ландшафта</t>
    </r>
    <r>
      <rPr>
        <sz val="8"/>
        <color rgb="FF000000"/>
        <rFont val="Arial"/>
      </rPr>
      <t xml:space="preserve">
- Песок строительный фракции 1,5-3,0 мм с послойным трамбованием, ГОСТ 8736-2014 - 50 мм
- Геотекстиль нетканый иглопробивной 300 г/м2
- Щебень фракции 20-40 мм М800 с послойным трамбованием, ГОСТ 8267-93 - 200-570 мм 
- Слои кровли АР</t>
    </r>
  </si>
  <si>
    <t>2.1.16</t>
  </si>
  <si>
    <t>Покрытие Доска террасная на зеленой кровле</t>
  </si>
  <si>
    <t>1. Доска террасная лиственница сорта Экстра 30х140 мм
2. Кляймер оцинкованный Кобра КБЦ 41х28х16х2 мм
3. Брус обрезной лиственница 3 сорта влажностью не более 22% 50х100 мм, ГОСТ 8486-86
4. Уголок крепежный оцинкованный 100х100х2 мм
5. Прокладка деревянная антисептированная 18 мм
6. Щебень фракции 20-40 мм М800 засыпка
7. Бетонная смесь тяжелая B15, F150, W6
8. Пленка полиэтиленовая неармированная 200 мкм
9. Прокат арматурный А500С Ø8 мм
10. Щебень фракции 20-40 мм М800 с послойным трамбованием
11. Слои кровли АР</t>
  </si>
  <si>
    <t>2.1.17</t>
  </si>
  <si>
    <t>Покрытие Песчано-щебеночное на зеленой кровле</t>
  </si>
  <si>
    <t>- Смесь песчано-щебеночная С2, ГОСТ 25607-2009, крошка гранитная фракции 5-10 мм, ГОСТ 8267-93, в пропорции 33/67% - 50 мм
- Смесь песчано-щебеночная С5, ГОСТ 25607-2009 - 150 мм
- Щебень фракции 20-40 мм М800 с послойным трамбованием, ГОСТ 8267-93 - 500 мм
- Слои кровли АР</t>
  </si>
  <si>
    <t>2.1.18</t>
  </si>
  <si>
    <t>Покрытие Песчаное игровое на зеленой кровле</t>
  </si>
  <si>
    <t>- Песок речной без примеси ила и глины фракции 1,0-2,0 мм, СанПиН 2.1.3684-21 - 400 мм
- Геотекстиль нетканый иглопробивной 300 г/м2
- Щебень фракции 20-40 мм М800 с послойным трамбованием, ГОСТ 8267-93 - 300 мм
- Слои кровли АР</t>
  </si>
  <si>
    <t>2.1.19</t>
  </si>
  <si>
    <t xml:space="preserve">Покрытие Гравийное игровое на зеленой кровле </t>
  </si>
  <si>
    <t>- Гравий округленный, промытый без примеси ила и глины фракции 2,0-8 мм, СанПиН 2.1.3684-21 - 400 мм
- Геотекстиль нетканый иглопробивной 300 г/м2
- Щебень фракции 20-40 мм М800 с послойным трамбованием, ГОСТ 8267-93 - 300 мм
- Слои кровли АР</t>
  </si>
  <si>
    <t>2.1.20</t>
  </si>
  <si>
    <t>Покрытие Резиновое спортивное на зеленой кровле</t>
  </si>
  <si>
    <r>
      <rPr>
        <sz val="8"/>
        <color rgb="FF000000"/>
        <rFont val="Arial"/>
      </rPr>
      <t xml:space="preserve">- Смесь резиновая финишная - 15 мм
</t>
    </r>
    <r>
      <rPr>
        <sz val="8"/>
        <color rgb="FF000000"/>
        <rFont val="Arial"/>
      </rPr>
      <t>Вид, размер, цвет, производитель согласно детального проекта ландшафта</t>
    </r>
    <r>
      <rPr>
        <sz val="8"/>
        <color rgb="FF000000"/>
        <rFont val="Arial"/>
      </rPr>
      <t xml:space="preserve">
- Смесь асфальтобетонная мелкозернистая марка 2 - 50 мм
- Щебень фракции 20-40 мм М800 (по способу пропитки эмульсией битумной ЭБК-2, плотность 1050 кг/м3), ГОСТ 8267-93 - 50 мм
- Щебень фракции 20-40 мм М800 с послойным трамбованием, ГОСТ 8267-93 - 585 мм
- Слои кровли АР</t>
    </r>
  </si>
  <si>
    <t>2.1.21</t>
  </si>
  <si>
    <t>Покрытие Камень жидкий на зеленой кровле</t>
  </si>
  <si>
    <r>
      <rPr>
        <sz val="8"/>
        <color rgb="FF000000"/>
        <rFont val="Arial"/>
      </rPr>
      <t xml:space="preserve">- Камень жидкий из гранитного заполнителя фракции 2,0-5 мм - 50 мм
</t>
    </r>
    <r>
      <rPr>
        <sz val="8"/>
        <color rgb="FF000000"/>
        <rFont val="Arial"/>
      </rPr>
      <t>Вид, размер, цвет, производитель согласно детального проекта ландшафта</t>
    </r>
    <r>
      <rPr>
        <sz val="8"/>
        <color rgb="FF000000"/>
        <rFont val="Arial"/>
      </rPr>
      <t xml:space="preserve">
- Сетка армирующая базальтовая 50 кН/м ячейка 50х50 мм - 2 мм
- Отсев гранитный фракции 2,0-5 мм с послойным трамбованием, ГОСТ 8267-93 - 50 мм
- Щебень фракции 20-40 мм М800 с послойным трамбованием, ГОСТ 8267-93 - 600 мм 
- Слои кровли АР</t>
    </r>
  </si>
  <si>
    <t>2.1.22</t>
  </si>
  <si>
    <t>Покрытие Бетонное наливное на зеленой кровле</t>
  </si>
  <si>
    <t>- Бетонная смесь тяжелая В30 F150 W6 - 100 мм
- Сетка арматурная сварная из стали Вр-I, диаметр стержня 5 мм, ячейка 100х100 мм 
- Пленка полиэтиленовая неармированная 200 мкм
- Щебень фракции 20-40 мм М800 с послойным трамбованием, ГОСТ 8267-93 - 600 мм
- Слои кровли АР</t>
  </si>
  <si>
    <t>2.1.23</t>
  </si>
  <si>
    <t>Покрытие Дорожка шаговая на зеленой кровле</t>
  </si>
  <si>
    <t>- Дорожка шаговая из плит 1000х400 мм с шагом укладки 60 мм - 150 мм
- Отсев гранитный фракции 2,0-5 мм с послойным трамбованием, ГОСТ 8267-93 - 130 мм
- Песок строительный фракции 1,5-3,0 мм с послойным трамбованием, ГОСТ 8736-2014 - 50 мм
- Геотекстиль нетканый иглопробивной 300 г/м2
- Отсев гранитный фракции 2,0-5 мм с послойным трамбованием, ГОСТ 8267-93 - 50 мм
- Щебень фракции 20-40 мм М800 с послойным трамбованием, ГОСТ 8267-93 - 450 мм 
- Слой кровли АР</t>
  </si>
  <si>
    <t>2.1.24</t>
  </si>
  <si>
    <t>Покрытие Резиновое игровое на зеленой кровле</t>
  </si>
  <si>
    <r>
      <rPr>
        <sz val="8"/>
        <color rgb="FF000000"/>
        <rFont val="Arial"/>
      </rPr>
      <t xml:space="preserve">- Смесь резиновая финишная - 20 мм
</t>
    </r>
    <r>
      <rPr>
        <sz val="8"/>
        <color rgb="FF000000"/>
        <rFont val="Arial"/>
      </rPr>
      <t>Вид, размер, цвет, производитель согласно детального проекта ландшафта</t>
    </r>
    <r>
      <rPr>
        <sz val="8"/>
        <color rgb="FF000000"/>
        <rFont val="Arial"/>
      </rPr>
      <t xml:space="preserve">
- Смесь резиновая базовая - 20 мм
- Сетка армирующая базальтовая 50 кН/м ячейка 25х25 мм - 2 мм
- Мат из вспененного полиэтилена амортизирующий - 40 мм
- Отсев гранитный фракции 2,0-5 мм с послойным трамбованием, ГОСТ 8267-93 - 100 мм
- Щебень фракции 20-40 мм М800 с послойным трамбованием, ГОСТ 8267-93 - 520 мм
- Слои кровли АР</t>
    </r>
  </si>
  <si>
    <t>2.1.25</t>
  </si>
  <si>
    <t>Покрытие Брусчатка деревянная на зеленой кровле</t>
  </si>
  <si>
    <t>- Брусчатка деревянная 100х100х150(h) мм - 150 мм
- Отсев гранитный фракции 2,0-5 мм на заполнение швов, ГОСТ 8267-93 - 130 мм
- Песок строительный 1,5-3,0 мм с послойным трамбованием, ГОСТ 8736-2014 - 50 мм
- Геотекстиль нетканый иглопробивной 300 г/м2
- Щебень фракции 20-40 мм М800 с послойным трамбованием, ГОСТ 8267-93 - 500 мм
- Слои кровли АР</t>
  </si>
  <si>
    <t>2.1.26</t>
  </si>
  <si>
    <t>Покрытие Плитняк на зеленой кровле</t>
  </si>
  <si>
    <t>- Плитняк гранитный галтованный - 80 мм
- Песок строительный фракции 1,5-3,0 мм с послойным трамбованием, ГОСТ 8736-2014 - 50 мм
- Геотекстиль нетканый иглопробивной 300г/м2
- Щебень фракции 20-40 мм М800 с послойным трамбованием, ГОСТ 8267-93 - 570 мм
- Слои кровли АР</t>
  </si>
  <si>
    <t>2.1.27</t>
  </si>
  <si>
    <t>Покрытие Бетонное модульное на зеленой кровле</t>
  </si>
  <si>
    <t>- Решетка газонная бетонная 500х500 мм - 80 мм
- Отсев гранитный фракция 2,0-5 мм заполнение швов - 60 мм
- Песок строительный фракции 1,5-3,0 мм - 70 мм
- Геотекстиль нетканый иглопробивной 300г/м2
- Щебень фракции 20-40 мм М800 с послойным трамбованием, ГОСТ 8267-93 - 550 мм
- Слои кровли АР</t>
  </si>
  <si>
    <t>2.1.28</t>
  </si>
  <si>
    <t>Сопряжения покрытий (на кровле)</t>
  </si>
  <si>
    <t>- Во дворах сопряжения между покрытиями выполняются через:
 1. Борт металлический не оцинкованный толщиной 5 мм, лист 150х6000;
 2. Борт металлический L-образный оцинкованный;
 3. Борт деревянный из лиственных пород 50х150;
- Паттерны покрытий и типы раскладки должны учитывать оптимальный тип подрезки брусчатки и минимизировать количество подрезки в целом;
- Основные принципы и типы раскладки брусчатки должны быть отображены на фрагментах участков плана благоустройства в масштабе М1:50, М 1:100, в зависимости от размера фрагмента;
- Элементы мощения должны быть различимы и иметь привязки в виде размерных цепочек;
- На фрагментах должны указываться типы подрезки.</t>
  </si>
  <si>
    <t>2.1.29</t>
  </si>
  <si>
    <t>Парковочные места улично-дорожной сети</t>
  </si>
  <si>
    <t>- парковочные места должны быть размещены в соответствии с действующими нормативными требованиями; 
- на территории жилых кварталов, вблизи активного ритейла, по возможности, должны быть предусмотрены парковочные карманы для остановки такси и рассматриваться как места временной парковки легковых автомобилей
- парковочные места должны чередоваться с зелёными буферами с деревьями на штамбе каждые 5 м/м, между парковками и пешеходной зоной должен быть предусмотрен буфер с плотной посадкой кустарника шириной не менее 1,5 метров
- к каждому парковочному карману должен быть организован проход от пешеходной зоны шириной не менее 1 метра и спуск в уровень проезжей части в виде пандуса с уклоном приемлемым для МГН.
- парковочные карманы, по возможности, должны быть выложены брусчаткой в уровне асфальтового покрытия
- парковочные карманы, по возможности, могут быть приподнятыми в уровень пешеходной части для организации доступной безбарьерной среды</t>
  </si>
  <si>
    <t>2.1.30</t>
  </si>
  <si>
    <t>Паттерны мощения</t>
  </si>
  <si>
    <t>- Паттерны покрытий и типы раскладки должны учитывать оптимальный тип подрезки плитки (не менее 1/3 от её размера) и минимизировать количество подрезки в целом;
- Основные принципы и типы рскладки брусчатки должны быть отображены на фрагментах участков плана благоустройтсва в масштабе М1:50, М 1:100, в зависимости от размера фрагмента. Ширина дорожки может незначительно изменяться для соблюдения кратности целому числе плит. 
-Элементы мощения должны быть различимы и иметь привязки в виде размерных цепочек;
-На фрагментах должны указываться типы подрезки."</t>
  </si>
  <si>
    <t>2.2 Озеленение</t>
  </si>
  <si>
    <t>2.2.1</t>
  </si>
  <si>
    <t>Размеры посадочного материала</t>
  </si>
  <si>
    <t>Размеры посадочного материала варьирутся в зависимости от категории элементов озеленения, принимать согласно внутреннему стандарту компании. 
Многолетние растения : контейнер С2,
Кустарники лиственные : контейнер С2, 3-4 скелетных ветви,
Кустарники хвойные : контейнер С5
Кустарник акцентный : от 1,5 до 5 метров, ЗКС, мультиштамб / штамб 
Дерево стандартное лиственное: 5-7 метров, обхват ствола 30-35 / 35-40 см,
Дерево стандартное хвойное: 5-6 метров
Дерево акцентное лиственное: 7-9 метров, обхват ствола 40-45 см
Мега дерево (деревья второй величены) : от 12 метров, обхват 
Лианы: контейнер С7,5, длина плетей 3 метров</t>
  </si>
  <si>
    <t>2.2.2</t>
  </si>
  <si>
    <t>Дерево стандартное:</t>
  </si>
  <si>
    <t>- обхват ствола дерева (о-с) - 30-35 см (длина окружности ствола на высоте 1 м от корневой шейки дерева);
- высота - 5-7 м;
- высота штамба (для аллейных деревьев) - 2-2,2 м;
- размер многоствольных (мультиштамбы) деревьев из российских питомников может приниматься от 5, количество стволов - 3 шт.;
- для хвойных принимается высота 5-6 м;
- размер корневого кома не менее 90х60 см (ширина х высота).</t>
  </si>
  <si>
    <t>2.2.3</t>
  </si>
  <si>
    <t>Дерево акцентное:</t>
  </si>
  <si>
    <t xml:space="preserve"> - обхват ствола дерева - 40-45 см (длина окружности ствола на высоте 1 м от корневой шейки дерева);
- высота - 7-10 м;
- высота штамба (для аллейных деревьев) - от 2,2 м;
- размер корневого кома не менее 150х110 см (ширина х высота);
- высота деревьев акцентных типа мультиштамб из российских питомников может приниматься от 7 м, количество стволов от 3 шт;
- для хвойных деревьев принимается высота 7-8 м.</t>
  </si>
  <si>
    <t>2.2.4</t>
  </si>
  <si>
    <t>Кустарник акцентный:</t>
  </si>
  <si>
    <t>- высота 2,5-3,0 м;
- количество стволов 4-5 шт;
- размер корневого кома не менее 45х40 см (ширина х высота).</t>
  </si>
  <si>
    <t>2.2.5</t>
  </si>
  <si>
    <t>Кустарники, многолетники, формованные и вьющиеся растения:</t>
  </si>
  <si>
    <t>- посадка кустарников производится массивами исходя из заданных параметров плотности (кол-во/м2);
- размеры контейнеров и плотность посадки принимать в соответствии с внутренними стандартами компании (8 шт/м2 для многолетников в миксе, 6 шт/м2 для лиственных и 5 шт/м2 хвойных кустарников);
- посадку лиан производить 3 шт/м2, длина плети 3 м, контейнер С7,5;
- в зависимости от ассортимента необходимо использовать контейнер типа С2 для лиственных кустарников и С5 для хвойных; 
- в проекте указывается высота кустарника в зависимости от его типа роста: 20-40 см, 40-60 см, 60-80 см; 
- в проекте указывается количество пересадок 2-3xv;
- план посадки кустарников и многолетников должен содержать спецификацию с общим расчётом элементов озеленения исходя из формулы Sоз х P, где Sоз. - площадь посадки каждого типа элемента озеленения, P - плотность посадки;
- необходимо указывать % соотношения растений в миксе.</t>
  </si>
  <si>
    <t>2.2.6</t>
  </si>
  <si>
    <t>Общие требования к посадке деревьев и кустарников акцентных</t>
  </si>
  <si>
    <t>- Размер основания посадочной ямы акцентного кустарника на зеленой кровле и по грунту принимается не менее 0,8х0,8 м. Глубина посадочной ямы принимается не менее 0,65 м;
- Размер основания посадочной ямы дерева стандартного на зеленой кровле и по грунту принимается не менее 2х2 м. Глубина посадочной ямы принимается не менее 0,85 м. При наружном креплении дерева глубина посадочной ямы на зеленой кровле принимается не менее 0,95 м. На зеленой кровле недостаток глубины компенсируется устройством геопластики вокруг дерева с уклоном 1:0,3 и менее. 
- Размер основания посадочной ямы дерева акцентного на зеленой кровле и по грунту принимается не менее
2,5х2,5 м. Глубина посадочной ямы принимается не менее 1,3 м. На зеленой кровле недостаток глубины компенсируется устройством геопластики вокруг дерева с уклоном 1:0,3 и менее. 
- Узел посадки дерева стандартного на штамбе должен предусматривать возможность внешнего крепления с помощью треугольной опорной конструкции из трех кольев не менее 2,5 м высотой, к которой крепится обвязка дерева;
- При невозможности устройства внешнего крепления дерева стандартного предусмотреть внутреннее крепление;
- Узел посадки дерева стандартного и дерева акцентного должен предусматривать внутреннее крепление с помощью решетки арматурной, уложенной под слой щебня 50 мм на дне посадочной ямы. Крепление корневого кома к решетке производится стяжными ремнями с храповым механизмом затяжки после устройства первого слоя субстрата для установки корневого кома;
- Схема узла посадки дерева выполняется в М 1:25.</t>
  </si>
  <si>
    <t>2.2.7</t>
  </si>
  <si>
    <t>Посадка Многолетника по грунту</t>
  </si>
  <si>
    <t>- Многолетник
- Кора древесная сосновая дробленая фракции 20-40 мм - 50 мм
- Торфогрунт раскисленный, просеянный от бытового, строительного и растительного мусора - 400 мм
- Грунт основания уплотненный 1,65 т/м3, с коэффициентом уплотнения 0,95</t>
  </si>
  <si>
    <t>2.2.8</t>
  </si>
  <si>
    <t>Посадка Кустарника стандартного по грунту</t>
  </si>
  <si>
    <t>- Кустарник стандартный
- Кора древесная сосновая дробленая фракции 20-40 мм - 50 мм;
- Субстрат многокомпонентный - 400 мм;
- Вскопанная почва бороздами до 300 мм;
Состав субстрата для уличного озеленения:
- торфогрунт раскисленный просеянный прочищенный - 40%
- песок речной мытый фракции 2,5-3,0 мм - 40%
- перегной рН 7,0-7,5 - 19%
- зола древесная 2,5 кг на 1 м3 - 1%
- комплексные удобрения (NPK) 1 кг на м3
- В уличном озеленении субстрат применяется только под деревьями и кустарниками.</t>
  </si>
  <si>
    <t>2.2.9</t>
  </si>
  <si>
    <t>Посадка Изгороди БЖИ высокой по грунту</t>
  </si>
  <si>
    <t>- Изгородь БЖИ высокая
- Кора древесная сосновая дроблёная фракции 20-40 мм - 50 мм
- Субстрат многокомпонентный Улица состав: раскисленный торфогрунт (просеянный, прочищенный) - 40 %; речной песок (мытый) фракции 2,5-3,0 мм - 40 %; перегной рН 7,0-7,5 - 19 %; зола древесная 2,5 кг на 1 м3 - 1 %; комплексные удобрения (NPK) 1 кг на м3 - 750 мм</t>
  </si>
  <si>
    <t>2.2.10</t>
  </si>
  <si>
    <t>Посадка газона посевного по грунту</t>
  </si>
  <si>
    <t>- Газон посевной
- Торфогрунт раскисленный, просеянный от бытового, строительного и растительного мусора - 250 мм
- Грунт основания уплотненный 1,65 т/м3, с коэффициентом уплотнения 0,95</t>
  </si>
  <si>
    <t>2.2.11</t>
  </si>
  <si>
    <t>Посадка газона рулонного по грунту</t>
  </si>
  <si>
    <t>- Газон рулонный - 30 мм
- Торфогрунт раскисленный, просеянный от бытового, строительного и растительного мусора - 220 мм
- Грунт основания уплотненный 1,65 т/м3, с коэффициентом уплотнения 0,95</t>
  </si>
  <si>
    <t>2.2.12</t>
  </si>
  <si>
    <t>Посадка дерева стандартного по грунту с внутренним креплением</t>
  </si>
  <si>
    <t>- Дерево стандартное на штамбе
- Мат тростниковый 2000х500х5 мм
- Кора древесная сосновая дроблёная фракции 20-40 мм - 50 мм  
- Субстрат многокомпонентный Улица состав: раскисленный торфогрунт (просеянный, прочищенный) - 40 %; речной песок (мытый) фракции 2,5-3,0 мм - 40 %; перегной рН 7,0-7,5 - 19 %; зола древесная 2,5 кг на 1 м3 - 1 %; комплексные удобрения (NPK) 1 кг на м3 - 750 мм
- Щебень фракции 20-40 мм М800, ГОСТ 8267-93 - 50 мм
- Грунт основания уплотненный 1,65 т/м3, с коэффициентом уплотнения 0,95
- Сетка арматурная 2000х2000 мм / ø12 A500C с шагом 100 мм на проволоке по ГОСТ 3282-74
- Комплект стяжных ремней с крюками 3 т, 4 м, 35 мм с храповым механизмом, 2 шт.</t>
  </si>
  <si>
    <t>2.2.13</t>
  </si>
  <si>
    <t>Посадка дерева стандартного по грунту с наружным креплением</t>
  </si>
  <si>
    <t>- Дерево стандартное на штамбе
- Мат тростниковый однослойный толщиной 5 мм 2000х500 мм
- Кол березовый оцилиндрованный ∅80х2500(h), 3 шт
- Брусок строганый березовый 1 сорта влажностью не более 22% 70х70х1150 мм, ГОСТ 2695–83, 3 шт.
- Стропа текстильная 50 мм плотностью 25 гр/м черная
- Кора древесная сосновая дроблёная фракции 20-40 мм - 50 мм
- Субстрат многокомпонентный Улица состав: раскисленный торфогрунт (просеянный, прочищенный) - 40 %; речной песок (мытый) фракции 2,5-3,0 мм - 40 %; перегной рН 7,0-7,5 - 19 %; зола древесная 2,5 кг на 1 м3 - 1 %; комплексные удобрения (NPK) 1 кг на м3 - 750 мм
- Грунт основания уплотненный 1,65 т/м3, с коэффициентом уплотнения 0,95</t>
  </si>
  <si>
    <t>2.2.14</t>
  </si>
  <si>
    <t>Посадка дерева акцентного по грунту с внутренним креплением</t>
  </si>
  <si>
    <t>- Дерево акцентное без штамба / мультиштамб
- Кора древесная сосновая дроблёная фракции 20-40 мм  - 50 мм
- Субстрат многокомпонентный Улица состав: раскисленный торфогрунт (просеянный, прочищенный) - 40 %; речной песок (мытый) фракции 2,5-3,0 мм - 40 %; перегной рН 7,0-7,5 - 19 %; зола древесная 2,5 кг на 1 м3 - 1 %; комплексные удобрения (NPK) 1 кг на м3 - 1250 мм
- Щебень фракции 20-40 мм М800, ГОСТ 8267-93 - 50 мм
- Сетка арматурная 3000х3000 мм / ø12 A500C с шагом 100 мм на проволоке по ГОСТ 3282-74
- Грунт основания уплотненный 1,65 т/м3, с коэффициентом уплотнения 0,95
- Комплект стяжных ремней с крюками 3 т, 6 м, 35 мм с храповым механизмом, 2 шт.</t>
  </si>
  <si>
    <t>2.2.15</t>
  </si>
  <si>
    <t>Посадка кустарника акцентного по грунту</t>
  </si>
  <si>
    <t>- Кустарник акцентный
- Кора древесная сосновая дробленая фракции 20-40 мм - 50 мм
- Субстрат многокомпонентный Улица состав: торфогрунт раскисленный просеянный прочищенный - 40%; речной песок мытый фракции 2,5-3,0 мм - 40%; перегной рН 7,0-7,5 - 19%; зола древесная 2,5 кг на 1 м3 - 1%; комплексные удобрения (NPK) 1 кг на м3 - 600 мм
- Грунт основания уплотненный 1,65 т/м3, с коэффициентом уплотнения 0,95</t>
  </si>
  <si>
    <t>2.2.16</t>
  </si>
  <si>
    <t>Посадка многолетника на зеленой кровле</t>
  </si>
  <si>
    <t>- Многолетник
- Кора древесная сосновая дробленая фракции 20-40 мм - 50 мм
- Торфогрунт раскисленный просеянный от бытового строительного и растительного мусора - 400 мм
- Геотекстиль нетканный иглопробивной, плотность 300 г/м2;
- Щебень фракции 20-40 мм М800 с послойным трамбованием, ГОСТ 8267-93 - 250 мм;
- Слои кровли АР</t>
  </si>
  <si>
    <t>2.2.17</t>
  </si>
  <si>
    <t>Посадка кустарника стандартного на зеленой кровле</t>
  </si>
  <si>
    <t xml:space="preserve"> - Кустарник стандартный
- Кора древесная сосновая дроблёная фракции 20-40 мм - 50 мм
- Субстрат многокомпонентный Класс А состав: диатомитовая крошка фракции 2,0-4,0 мм - 5%; аргиллит фракции 2,0-4,0 мм - 5%; вермикулит фракции 2,0-4,0 мм - 5%; кирпич дробленый фракции 10-15 мм - 22%; речной песок мытый фракции 2,5-3,0 мм - 20%; торфогрунт раскисленный просеянный прочищенный - 43%; комплексные удобрения (NPK) 1 кг на м3 - 400мм
- Геотекстиль нетканный иглопробивной, плотность 300 г/м2;
- Щебень фракции 20-40 мм М800 с послойным трамбованием, ГОСТ 8267-93 - 250 мм;
- Слои кровли АР</t>
  </si>
  <si>
    <t>2.2.18</t>
  </si>
  <si>
    <t>Посадка газона посевного на зеленой кровле</t>
  </si>
  <si>
    <t>- Газон посевной
- Торфогрунт раскисленный просеянный от бытового строительного и растительного мусора - 250 мм
- Геотекстиль нетканный иглопробивной, плотность 300 г/м2;
- Щебень фракции 20-40 мм М800 с послойным трамбованием, ГОСТ 8267-93 - 450 мм;
- Слои кровли АР</t>
  </si>
  <si>
    <t>2.2.19</t>
  </si>
  <si>
    <t>Посадка газона рулонного на зеленой кровле</t>
  </si>
  <si>
    <t>- Газон рулонный - 30 мм
- Торфогрунт раскисленный просеянный от бытового строительного и растительного мусора - 220 мм
- Геотекстиль нетканный иглопробивной, плотность 300 г/м2;
- Щебень фракции 20-40 мм М800 с послойным трамбованием, ГОСТ 8267-93 - 450 мм;
- Слои кровли АР</t>
  </si>
  <si>
    <t>2.2.20</t>
  </si>
  <si>
    <t xml:space="preserve">Посадка кустарника акцентного на зеленой кровле </t>
  </si>
  <si>
    <t>- Кустарник акцентный
- Кора древесная сосновая дробленая фракции 20-40 мм - 50 мм
- Субстрат многокомпонентный Класс А состав: диатомитовая крошка фракции 2,0-4,0 мм - 5%; аргиллит фракции 2,0-4,0 мм - 5%; вермикулит фракции 2,0-4,0 мм - 5%; кирпич дробленый фракции 10-15 мм - 22%; речной песок мытый фракции 2,5-3,0 мм - 20%; торфогрунт раскисленный просеянный прочищенный - 43%; комплексные удобрения (NPK) 1 кг на м3 - 600 мм
- Геотекстиль нетканный иглопробивной, плотность 300 г/м2;
- Щебень фракции 20-40 мм М800 с послойным трамбованием, ГОСТ 8267-93 - 50 мм;
- Слои кровли АР</t>
  </si>
  <si>
    <t>2.2.21</t>
  </si>
  <si>
    <t>Посадка дерева стандартного на зеленой кровле с внутренним креплением</t>
  </si>
  <si>
    <t>- Дерево стандартное
- Кора древесная сосновая дробленая фракции 20-40 мм - 50 мм
- Субстрат многокомпонентный Класс А состав: диатомитовая крошка фракции 2,0-4,0 мм - 5%; аргиллит фракции 2,0-4,0 мм - 5%; вермикулит фракции 2,0-4,0 мм - 5%; кирпич дробленый фракции 10-15 мм - 22%; речной песок мытый фракции 2,5-3,0 мм - 20%; торфогрунт раскисленный просеянный прочищенный - 43%; комплексные удобрения (NPK) 1 кг на м3 - 750 мм
- Геотекстиль нетканный иглопробивной, плотность 300 г/м2
- Щебень фракции 20-40 мм М800 с послойным трамбованием, ГОСТ 8267-93 - 50 мм
- Решетка арматурная ∅12 мм, Lпр = 2000, шаг 100 мм на проволоке по ГОСТ 3282—74
- Слои кровли АР</t>
  </si>
  <si>
    <t>2.2.22</t>
  </si>
  <si>
    <t>Посадка Изгороди БЖИ средней на зеленой кровле</t>
  </si>
  <si>
    <t xml:space="preserve">- Изгородь БЖИ средняя
- Щит из доски обрезной 3 сорта сосновой 25 мм с шагом 125 мм
- Кора древесная сосновая дроблёная фракции 20-40 мм- 50 мм
- Субстрат многокомпонентный Класс А состав: диатомитовая крошка фракции 2,0-4,0 мм - 5 %; аргиллит фракции 2,0-4,0 мм - 5 %; вермикулит фракции 2,0-4,0 мм - 5 %; кирпич дробленый фракции 10-15 мм - 22 %; речной песок мытый фракции 2,5-3,0 мм - 20 %; торфогрунт раскисленный просеянный прочищенный - 43 %; комплексные удобрения (NPK) 1 кг на м3 - 550 мм
- Щебень фракции 20-40 мм М800, с послойным трамбованием ГОСТ 8267-93 - 150 мм
</t>
  </si>
  <si>
    <t>2.2.23</t>
  </si>
  <si>
    <t>Посадка дерева стандартного на зеленой кровле с наружным креплением</t>
  </si>
  <si>
    <t>- Дерево стандартное на штамбе
- Мат тростниковый однослойный толщиной 5 мм 2000х500 мм
- Кол березовый оцилиндрованный ∅80х2500(h), 3 шт
- Брусок строганый березовый 1 сорта влажностью не более 22% 70х70х1150 мм, ГОСТ 2695–83, 3 шт.
- Стропа текстильная 50 мм плотностью 25 гр/м черная
- Кора древесная сосновая дроблёная фракции 20-40 мм - 50 мм
- Субстрат многокомпонентный Класс А состав: диатомитовая крошка фракции 2,0-4,0 мм - 5%; аргиллит фракции 2,0-4,0 мм - 5%; вермикулит фракции 2,0-4,0 мм - 5%; кирпич дробленый фракции 10-15 мм - 22%; песок речной мытый фракции 2,5-3,0 мм - 20%; торфогрунт раскисленный просеянный прочищенный - 43%; комплексные удобрения (NPK) 1 кг на м3 - 850 мм
- Геотекстиль нетканый иглопробивной 300 г/м2
- Щебень фракции 20-40 мм М800, ГОСТ 8267-93 - 50 мм
- Слои кровли АР</t>
  </si>
  <si>
    <t>2.2.24</t>
  </si>
  <si>
    <t>Посадка дерева акцентного на зеленой кровле с внутренним креплением</t>
  </si>
  <si>
    <t>- Дерево акцентное на штамбе
- Мат тростниковый однослойный толщиной 5 мм 2000х500 мм
- Кора древесная сосновая дроблёная фракции 20-40 мм - 50 мм
- Субстрат многокомпонентный Класс А состав: диатомитовая крошка фракции 2,0-4,0 мм - 5%; аргиллит фракции 2,0-4,0 мм - 5%; вермикулит фракции 2,0-4,0 мм - 5%; кирпич дробленый фракции 10-15 мм - 22%; песок речной мытый фракции 2,5-3,0 мм - 20%; торфогрунт раскисленный просеянный прочищенный - 43%; комплексные удобрения (NPK) 1 кг на м3 - 1200 мм
- Геотекстиль нетканый иглопробивной 300 г/м2
- Щебень фракции 20-40 мм М800 с послойным трамбованием, ГОСТ 8267-93 - 50 мм
- Слои кровли АР
- Щебень фракции 20-40 мм М800, ГОСТ 8267-93
- Комплект стяжных ремней с крюками 3 т, 6 м, 35 мм с храповым механизмом, 2 шт.
- Сетка арматурная 3000х3000 мм / ø12 A500C с шагом 100 мм на проволоке по ГОСТ 3282-74</t>
  </si>
  <si>
    <t>2.2.25</t>
  </si>
  <si>
    <t xml:space="preserve">Посадка изгородей </t>
  </si>
  <si>
    <t xml:space="preserve">Посадка изгородей из БЖИ (блоков живых изгородей) происходит последовательно, из расчета 1.25 шт на м.п. Посадка осуществляется вплотную, между комами блоков необходимо отступать 30-60 см. 
Изгороди могут быть выполненты из единичных контейнеров, в таком случае посадка необходима в 1 или 2 ряда (в шахматном порядке). Расстояние зависит от размера выбранного контейнера. </t>
  </si>
  <si>
    <t>2.2.26</t>
  </si>
  <si>
    <t>Требования к субстрату</t>
  </si>
  <si>
    <t>- План озеленения должен сопровождаться планом почв и субстрата. План выполняется в том же масштабе, что и план озеленения. Лист должен содержать основную информацию об объемах используемого грунта исходя из слоя отсыпки.
Используемые типы многокомпонентного субстрата
Класс А:
- Диатомитовая крошка фракции 2-4 мм - 5%;
- Аргиллит фракции 2,0-4,0 мм - 5%;
- Вермикулит фракции 2,0-4,0 мм - 5%;
- Кирпич (дробленый) фракции 10-15 мм - 22%;
- Речной песок (мытый) фракции 2,5-3,0 мм - 20%;
- Раскисленный торфогрунт (просеянный, прочищенный) - 43%;
- Комплексные удобрения (NPK) 1 кг на м3.
Класс В:
- Вермикулит фракции 2,0-4,0 мм - 10%;
- Кирпич (дробленый) фракции 10-15 мм - 25%;
- Речной песок (мытый) фракции 2,5-3,0 мм - 25%;
- Раскисленный торфогрунт (просеянный, прочищенный) - 40%; 
- Комплексные удобрения (NPK) 1 кг на м3. 
Класс С:
- Керамзит, смесь фракций 10-15 и 15-20 мм - 30%;
- Речной песок (мытый) фракции 2,5-3,0 мм - 30%;
- Раскисленный торфогрунт (просеянный, прочищенный) - 50%; 
- Комплексные удобрения (NPK) 1 кг на м3. 
Улица:
- Раскисленный торфогрунт (просеянный, прочищенный) - 40%;
- Речной песок (мытый) фракции 2,5-3,0 мм - 40%;
- Перегной рН 7,0-7,5 - 19%;
- Зола древесная 2,5 кг на 1 м3 - 1%;
- Комплексные удобрения (NPK) 1 кг на м3.
Экстенсивная кровля:
- Керамзит, смесь фракций 10-15 и 15-20 мм - 30%;
- Речной песок (мытый) фракции 2,5-3,0 мм - 20%;
- Диатомитовая крошка смесь фракций 2,5-3,0 и 3,0-6 мм - 10%;
- Раскисленный торфогрунт (просеянный, прочищенный) - 15%; 
- Гумус рН 7,0-7,5 - 15%; 
- Перлит фракции 2,0-4,0 мм - 10%;
- Комплексные удобрения (NPK) 1 кг на м3. 
Субстрат для дождевого сада (слой №1):
- Речной песок мытый фракции 2,5-3,0 мм - 40%;
- Торфогрунт раскисленный просеянный прочищенный - 40%; 
- Щебень фракции 20-40 мм - 20%.
Субстрат для дождевого сада (слой №2): 
- Торфогрунт раскисленный просеянный прочищенный - 40%; 
- Речной песок мытый фракции 2,5-3,0 мм - 40%;
- Перегной рН 7,0-7,5 - 19%;
- Зола древесная 2,5 кг на 1 м3 - 1%; 
- Комплексные удобрения (NPK) 1 кг на м3.</t>
  </si>
  <si>
    <t>2.2.27</t>
  </si>
  <si>
    <t>Мобильное озеленение</t>
  </si>
  <si>
    <t>- Применяется в зонах входа в МОПы и прифасадных зонах, где иное озеленение невозможно. Объем кашпо должен быть минимум в два раза больше корневого кома растения (минимальный размер кашпо 600х600 мм). Кашпо должно иметь отверстия в дне для водоотведения, дренажный элемент отверстиями к стенкам 25 мм, геотекстиль, утеплитель 50 мм, субстрат для кровельного озеленения (объем зависит от плантера) и верхний слой мульчи 50 мм. Озеленение необходимо подбирать из ассортимента проекта, учитывая стороны света для размещения.</t>
  </si>
  <si>
    <t>2.2.28</t>
  </si>
  <si>
    <t>Вертикальное озеленение</t>
  </si>
  <si>
    <t>- Зоны высадки: все перголы в проекте, теневые навесы лаунж зон, реечные конструкции ТП, ограждения спортивных площадок, при проектировании лиан на гладкие поверхности предусмотреть элемент крепления направления будущего роста растения
- Проектировать по 3 лианы на метр, длина плети 3 метра</t>
  </si>
  <si>
    <t>2.3 Ограждение</t>
  </si>
  <si>
    <t>2.3.1</t>
  </si>
  <si>
    <t>Ограждение территории</t>
  </si>
  <si>
    <t>- В проекте должны быть детально разработаны все используемые виды ограждений: типовые секции, калитки, ворота въезда, ограждения террас 1 этажей;
- Ограждение должно предусматривать удобные функциональные ворота для проезда пожарной, снегоуборочной техники и загрузки в помещения МОП с минимальной шириной проезда через ворота равной 4,2 метра;
- Ворота распашные состоят из двух секций с размерами Ш2210хВ2000, высота может быть сокращена до 1200 мм, в зависимости от концепции проекта. Типовая секция ворот должна быть выполнена из стальной профильной трубы 25х25 мм;
- Опоры ограждения должны быть исполнены из стальной трубы сечением 80х80 мм, с бетонным основанием и заглублением в грунт не менее чем на глубину промерзания (в зависимости от региона). Также необходимо предусмотреть стойку шириной 400 мм для установки домофона;
- Минимальные размеры типовой секции ограждения Ш3000хВ2000, высота может быть сокращена до 1200 мм, в зависимости от решений концепции проекта;
- Типовая секция распашных ворот должна быть выполнена из стальной профильной трубы 25х25 мм;
- Минимальные размеры типовой секции калитки Ш1200хВ1720, с левой стороны предусмотреть модуль для монтажа в него устройства для обеспечения открывания дверей с общими размерами Ш400хВ1800 и . Модуль состоит из двух опор (должны быть исполнены из стальной трубы сечением 80х80 мм) с минимальными размерами 400х1800 мм и облицовки между опорами из металлического листа с размерами Ш400хВ1800. Расстояние между опорами должно быть 240 мм. Облицовку выполнить с внешней и внутренней стороны опор. Сверху модуля - металлический лист с размерами 400х80 мм.
- Типовая секция калитки должна быть выполнена из стальной профильной трубы 20х20 мм;
- Опоры ограждения должны быть исполнены из стальной трубы сечением 80х80 мм, с бетонированным основанием и заглублены на 1 метр в грунт;
- Опоры калитки должны быть устроены с учетом прокладки внутри них электрического кабеля электрозамка;
- Ограждения территории должны быть покрыты порошковой окраской по RAL 7021 с поверхностью типа муар;
- Внешний вид ограждений должен соответствовать типу, используемому на фасадах здания. Внутри одного жилого комплекса применяется единый дизайн ограждений, если в детальном проекте не указано иного.
- В конструкции ограждения террас предусмотреть поручень из лиственницы.</t>
  </si>
  <si>
    <t>2.4 Оборудование</t>
  </si>
  <si>
    <t>2.4.1</t>
  </si>
  <si>
    <t>Общие требования подраздела оборудование</t>
  </si>
  <si>
    <t>Оборудование принять на основе концепции, детального проекта или по каталогу коллекций в соответствии с классом квартала. При возникновении изменений используемого оборудования - согласовать с мастерской ландшафта БП.</t>
  </si>
  <si>
    <t>2.4.2</t>
  </si>
  <si>
    <t>Подпорная стенка тип 1</t>
  </si>
  <si>
    <t>За материал подпорных стенок принять монолитный шлифованный бетон категории А2, М350 (B27,5 W6); - Ширина подпорной стенки - 200 мм - В целях повышения эстетических и функциональных качеств подпорных стенок допускается устраивать деревянные настилы для сидения, материал доска лиственная, без покрытия; - Отметка фундамента подпорной стенки должна быть ниже примыкающих покрытий и обеспечивать устройства материалов покрытий вплотную к самой стенке; - При проектировании выполнить расчет нагрузок и уточнить толщину проектируемых подпорных стенок в соответствующих разделах рабочей документации</t>
  </si>
  <si>
    <t>2.4.3</t>
  </si>
  <si>
    <t>Подпорная стенка тип 2</t>
  </si>
  <si>
    <t>- За материал подпорных стенок принять ступени "Берит" 1С100.40.15;
- Размеры ступени "Берит" 400х1000х150;
- В целях повышения эстетических и функциональных качеств подпорных стенок допускается устраивать деревянные настилы для сидения - материал доска лиственная, без покрытия;
- Отметка фундамента подпорной стенки должна быть ниже примыкающих покрытий и обеспечивать устройства материалов покрытий вплотную к самой стенке;
- При проектировании выполнить расчет нагрузок и уточнить толщину проектируемых подпорных стенок в соответствующих разделах рабочей документации</t>
  </si>
  <si>
    <t>2.4.4</t>
  </si>
  <si>
    <t>Лестницы</t>
  </si>
  <si>
    <t>- Ширину ступеней лестниц принять кратную элементам блока "Берит"(120х400) для монтажа без подрезки;
- Дизайн ограждения лестниц принять в соответствии с фасадными ограждениями</t>
  </si>
  <si>
    <t>2.4.5</t>
  </si>
  <si>
    <t>Уличная мебель</t>
  </si>
  <si>
    <t>- Для элементов уличной мебели (болларды, скамьи, урны, теневые навесы) масштаб основных видов - М 1:50. Масштаб узлов крепления - М 1:10. Материал - доска обрезная, лиственница, без покрытия;
- В зависимости от расположения оборудования на территории (на зеленой кровле или по грунту) предусмотреть типы его фундаментов;
- Монтажные анкеры должны быть скрыты покрытиями или иными конструкциями в целях обеспечения эстетической привлекательности объекта и безопасности; 
- Основной план расстановки оборудования необходимо сопроводить фрагментами с разбивочной сеткой для точной привязки оборудования в масштабе М 1:100.</t>
  </si>
  <si>
    <t>2.4.6</t>
  </si>
  <si>
    <t>Детское игровое оборудование</t>
  </si>
  <si>
    <t>- Принципиальные сечения по площадкам в масштабе М 1:50, М 1:100 должны содержать информацию об общих габаритах фундаментов и их отметках заложения;
- Фундаменты игрового оборудования под сыпучими покрытиями должны быть выполнены в соответствии с ТР ЕАЭС 042/2017 "О безопасности оборудования для детских игровых площадок", ГОСТ-Р 59010—2020 и ГОСТ 34614.1-2019;
- Детальное отображение элементов крепления указать на фрагментах в М 1:10, М 1:50, в зависимости от типа элемента;
- Покрытие детских площадок под зоной безопасности игрового оборудования должно быть свободно от иного уличного оборудования, выполнено без применения твердых покрытий и соответствовать нормам безопасности;
- Основной план расстановки оборудования необходимо сопроводить фрагментами с разбивочной сеткой для точной привязки оборудования в масштабе М 1:100</t>
  </si>
  <si>
    <t>2.4.7</t>
  </si>
  <si>
    <t>Арочное пространство</t>
  </si>
  <si>
    <t xml:space="preserve">В арочных пространствах предусмотреть:
- Установку велопарковок с деревянной вставкой;
- Размещение грифельных досок;
- Точечную подсветку </t>
  </si>
  <si>
    <t>2.4.8</t>
  </si>
  <si>
    <t>Приствольные решетки</t>
  </si>
  <si>
    <t>Предусмотреть приствольные решетки:
- Минимальный размер приствольной решетки соответствует габаритам посадочной ямы для дерева (2х2м). Каркас жёсткий, сварной из уголков L75 мм, анкеруется в бетонное основание с последующим монтажом решетки к нему. Решётка представляет собой две сборные панели из наборных металлических параллельных профилей с отверстием для ствола;
- Поверхность решётки в одном уровне с примыкающим покрытием;
- На участках, примыкающих к озеленению, приствольная решетка не применяется.
- Детальный разрез с узлом посадки дерева с устройством приствольной решетки выполняется в М 1:50 с указанием всех типов покрытий, типов крепления дерева, а также конструкции решётки.</t>
  </si>
  <si>
    <t>2.4.9</t>
  </si>
  <si>
    <t>Оборудование для лаунж зон</t>
  </si>
  <si>
    <t xml:space="preserve">- Элементы садовой мебели интерьерного характера должны быть включены в зоны тихого отдыха и прифасадную зону у ритейла.
- Для зоны отдыха во дворе предусмотреть наличие: теневого навеса производства Диорит (ИО 0850Т-3), габариты определить в соответствии с ДП.
Материал - доска лиственная, без покрытия.
- Для прифасадной зоны у ритейла предусмотреть наличие: скамеек со спинкой, урн, скамеек без спинки. Материал - доска лиственная, без покрытия.
</t>
  </si>
  <si>
    <t>2.4.10</t>
  </si>
  <si>
    <t>Навигация</t>
  </si>
  <si>
    <t>- Система ландшафтной навигации разрабатывается для застройки с числом кварталов 6 и более;
- Схема навигационного обслуживания и паспорта навигационных носителей разрабатываются в соответствии с Принципиальным решением ландшафтной навигации.</t>
  </si>
  <si>
    <t>2.4.11</t>
  </si>
  <si>
    <t>Геопластика</t>
  </si>
  <si>
    <t>- Уклоны искусственных холмов для размещения элементов озеленения принимать не круче 1:3</t>
  </si>
  <si>
    <t>2.4.12</t>
  </si>
  <si>
    <t>I-ступень грязезащиты</t>
  </si>
  <si>
    <t>- Предусмотреть наличие грязезащиты у входов в МОП и ритейл;
- Ширина элементов грязезащиты не должна быть меньше ширины дверного проёма;
- Схема установки грязезащиты первой ступени указывается на детальном фрагменте с принципами раскладки и примыкания плитки к витражу входной группы в масштабе М 1:10, с соответствующим сечением и размерами;
- Используется перфорированный металлический поддон толщиной 82 мм с решеткой в сборе. Решетка состоит из алюминиевых и резиновых элементов.</t>
  </si>
  <si>
    <t>2.4.13</t>
  </si>
  <si>
    <t>Инфраструктура для собак</t>
  </si>
  <si>
    <t>Предусмотреть установку возле арочных пространств Диспенсер-контейнеров с бумажными пакетами для выгула собак.
- Диспенсер-контейнеры с пакетами производства Dog-пакет ;
- Конструкция диспенсера должна быть металлической (порошковое окрашивание по RAL 7021 цвет "Муар") на стойке размерами: 345.00 x 175.00 x 102.00 мм;
- Пакеты для уборки за собаками должны быть одноразовыми, биоразлагаемыми.</t>
  </si>
  <si>
    <t>2.4.14</t>
  </si>
  <si>
    <t>Зимний сценарий</t>
  </si>
  <si>
    <t>- Необходимо разработать план-схему мероприятий на зимний период, описывающий эксплуатацию и дополнительные событийные мероприятия на территории;
- Схема отображает зоны уборки снега и места его складирования до момента погрузки на самосвал и вывоза с территории. В местах уборки специализированной техникой обозначить зоны установки вешек для защиты зелёных насаждений от повреждений. Вешками фиксировать углы, проставлять вдоль дорог и тротуаров с шагом 1,5-3 м. Запрещается складирование снега в зоне кустарников и многолетников.
- На плане освещения предусмотреть выходы розеток для реализации праздничной подсветки ландшафта (деревья, кустарники). Розетьки могут быть встроены в болларды и опоры освещения. Конкретные места согласовать с заказчиком. Розетки должны иметь степень защиты IP 65. В спецификации указать тип гирлянд для деревьев с целью передачи УК для дальнейшей эксплуатации. Зафиксировать данный пункт в примечании в проекте;
- Предусмотреть закладную конструкцию для установки новогодней ели.</t>
  </si>
  <si>
    <t>2.4.15</t>
  </si>
  <si>
    <t>Типовая модульная пергола Тип 1</t>
  </si>
  <si>
    <t>Предусмотреть размещение теневого навеса согласно детальному проекту. 
Необходимо разработать ТЗ на производство данной перголы с чертежами и основными видами, в которые входят: вид сверху, вид сбоку, вид спереди.
- План с расстановкой опор, не затрудняющей доступ на прилегающие функциональные зоны и основные пешеходные транзиты;
- Габариты определить в соответствии с ДП.
- Теневой навес выполняется из металлического каркаса из квадратной профилированной трубы 100х100 мм (RAL 7021 муар) с деревянными наборными ламелями из досок (лиственница) с поперечным сечением 50х150 мм;
- Покрытие под теневым навесом - настил из террасной доски (лиственница класса экстра);
- Обработка деревянных элементов не должна изменять натуральный цвет деревянных элементов;
- Для улучшения микроклиматических качеств применяются системы вертикального озеленения с устройством конструкций для роста лиан.</t>
  </si>
  <si>
    <t>2.4.16</t>
  </si>
  <si>
    <t>Типовая модульная пергола Тип 2</t>
  </si>
  <si>
    <t>Предусмотреть размещение теневого навеса согласно детальному проекту. 
Необходимо разработать ТЗ на производство данной перголы с чертежами и основными видами, в которые входят: вид сверху, вид сбоку, вид спереди.
- План с расстановкой опор, не затрудняющей доступ на прилегающие функциональные зоны и основные пешеходные транзиты;
- Габариты определить в соответствии с ДП.
- Теневой навес выполняется из металлического каркаса из квадратной профилированной трубы 100х100 мм (RAL 7021 муар) с деревянными наборными ламелями из досок (лиственница) с поперечным сечением 50х150 мм;
- Покрытие под теневым навесом - настил из террасной доски (лиственница класса экстра);
- Обработка деревянных элементов не должна изменять натуральный цвет деревянных элементов;
- Для улучшения микроклиматических качеств применяются системы вертикального озеленения с устройством конструкций для роста лиан;</t>
  </si>
  <si>
    <t>2.4.17</t>
  </si>
  <si>
    <t>Объекты индивидуального изготовления</t>
  </si>
  <si>
    <t>- Для индивидуального оборудования необходимо в разделе рабочей документации составить ТЗ в виде чертежей с базовыми видами (спереди, сбоку, сверху). Принципиальные сечения с детализацией узлов с указанием принципов крепления, размеров, цвета материалов;
- Основные виды и проекции должны указываться в М 1:50, М 1:100 в зависимости от разрабатываемого объекта;
- Узлы и детали разрабатываются в масштабе М 1:10, М 1:20;
-Список индивидуального оборудования согласовать с заказчиком.</t>
  </si>
  <si>
    <t>2.5 Ландшафтная инженерия</t>
  </si>
  <si>
    <t>2.5.1</t>
  </si>
  <si>
    <t>Водоотводящие лотки</t>
  </si>
  <si>
    <t xml:space="preserve">- Предусмотреть только при невозможности достаточного водоотведения за счет элементов естественной инфильтрации дождевых стоков (участков озеленения, дождевых садов, иных элементов водного менеджмента);
- Подбор марок лотков должен быть осуществлен в соответствии с гидравлическим расчётом. Класс нагрузки лотка должен соответствовать предполагаемой нагрузке:
А15 (15 kN) - пешеходные тротуары, велодорожки
B125 (125kN) - парковки легковых автомобилей
С250 (250 kN) - зона проезда легкового транспорта, обочины дорог
Лотки и пескоуловители принимаются бетонные с чугунной решеткой, с щелевыми насадками Slim Drain тип 1, тип 2 с гидравлическими сечениями: DN100, DN200 </t>
  </si>
  <si>
    <t>2.5.2</t>
  </si>
  <si>
    <t>Водоотводные воронки</t>
  </si>
  <si>
    <t xml:space="preserve">- Предусмотреть размещение на озелененной кровле подземного паркинга водосточных кровельных воронок. Воронки выполняются открытого типа с крышкой или трапом для обеспечения возможности ревизии. 
- Воронки, попадающие на твердые покрытия, устраиваются с чугунным трапом 300х300 мм.
- Крышки воронок, попадающих в зоны озеленения,  устраиваются на 50 мм ниже отметки благоустройства
- Расстановка воронок на плане кровли осуществляется с учетом предпочтительного устройства прочистки воронки под потолком подземного паркинга в проездах, а не над парковочными местами.
- Материал изготовления воронок и трубопровода ливневой канализации К2 - чугун или металл. В составе конструкции воронки предусмотреть электроподогрев. Зачеканка отверстия под воронку в плите перекрытия выполняется с использованием противопожарного наполнителя.
- Площадь водосбора каждой воронки не более 225 м2 (15 х 15 м). </t>
  </si>
  <si>
    <t>2.5.3</t>
  </si>
  <si>
    <t>Элементы водного менеджмента</t>
  </si>
  <si>
    <t>Поверхностный сток делится на две категории: 
- Условно чистый К2уч (сток с зеленой кровли, эксплуатируемой кровли, сток с фасада здания, тротуарных дорожек и озеленения) 
- Грязный сток К2 (сток с дорог, парковок, проездов, складских территорий, сток с содержанием загрязнения по нефтепродуктам)
Условно чистый сток собирается в водоприемные воронки на кровле (кровля здания, кровля паркинга) поступает в баки автополива, которые находятся в техническом помещении (ИТП, ПВУ, помещение на уровне паркинга, кладовые). Баки могут иметь две точки питания:
-Дождевой сток с кровли (фиксированная, неотделимая)
-Подключение к сетям В1 (отделимая, заменяемая)
-Подключение к скважине (отделимая, заменяемая)
При заполнении баков устраивается перелив из подающей трубы в ближайший прифасадный дождевой сад, при этом на основном стояке К2 устанавливается обратный клапан, для избежания затопления трубы. Выпуск перелива условно чистых стоков, герметизируется через муфтовые фиксаторы. Вне контура дождевого сада труба требует утепления так, как находится выше УПГ. Система автополива должна находиться в прямой близости к чаше ближайшего дождевого сада. 
Прифасадный дождевой сад имеет систему распределяющих труб, в которую врезается труба перелива. Распределяющие трубы, гофрированные с полной перфорацией, располагаются в диапазоне от 0,4-1м от поверхности дождевого сада. 
При наполнении субстрата водой, образуется зеркало воды над поверхностью дождевого сада. Высота затопления не более 0,35м. В каждом дождевом саду устраивается система перелива, которая забирает воду сверху дождевого сада, не давая превысить отметку 0,35м. Дренажная система из перфорированных труб, которая укладывается на щебень в основании дождевого сада, так же подключается к системе перелива. 
Излишки общего стока отводятся:
-В систему условно чистого стока К2уч, на ФОС (Фито-очистные сооружения) если есть на объекте.
-В городскую систему К2, на ЛОС
Сеть К2уч поступает на ФОС и распределяется там по системе распределение стока, образуя зеркало воды. Перелива на ФОС в систему грязного стока К2 нет.
Общие требования к дождевым садам: 
1. 5-10% от площади водосбора.
2. Глубина субстрата вирируется: 
 - Max 1500-2000мм
 - Min 800мм ( кровля паркинга 550мм-650мм)
3. Глубина засыпки субстрата зависит от уровня грунтовых вод (УГВ). Минимальное расстояние от границы низа субстрата до УГВ составляет 500мм. 
4. Скорость инфильтрации:
 - Min 90-100 мм/час
 - Maх 350-450 мм/час
В дождевой сад запрещается складировать снег после уборки улиц и тротуаров. Исключить попадание глыб льда и замерзших комков снега.</t>
  </si>
  <si>
    <t>2.5.4</t>
  </si>
  <si>
    <t>Организация доступа для МГН</t>
  </si>
  <si>
    <t>- Обеспечить нормативные уклоны по всей территории с возможностью доступа для МГН;
-Тактильные указатели у лестничных маршей и пересечений с проезжей частью;
- В качестве тактильных указателей использовать брусчатку с грубой фактурой либо накладные металлические тактильные детали.</t>
  </si>
  <si>
    <t>2.5.5</t>
  </si>
  <si>
    <t>Мусороудаление</t>
  </si>
  <si>
    <t>- На территории необходимо предусмотреть раздельный сбор отходов с помощью контейнеров заглубленного типа для сортировки пищевых отходов, пластика, макулатуры, стекла и несортируемых отходов. Объем каждого бака определить по расчету;
- Количество контейнеров принять из расчёта в соответствии с нормативами накопления твердых бытовых отходов региона строительства.</t>
  </si>
  <si>
    <t>2.5.6</t>
  </si>
  <si>
    <t>Биоразнообразие</t>
  </si>
  <si>
    <r>
      <rPr>
        <sz val="8"/>
        <color rgb="FF000000"/>
        <rFont val="Arial"/>
      </rPr>
      <t>- Элементы поддержания биоразнообразия должны быть включены в проект.
- Проект должен предусматривать локальные мероприятия: 
 кормушки для птиц (EVA SOLO Арт. 571032)
 синичники 
 отели для насекомых (Megapolis Арт. 1345) 
и отдельную площадку под зону естественного биоразнообразия (ЗЕР) в парковой зоне;</t>
    </r>
    <r>
      <rPr>
        <b/>
        <sz val="8"/>
        <color rgb="FFFF0000"/>
        <rFont val="Arial"/>
      </rPr>
      <t xml:space="preserve">
</t>
    </r>
    <r>
      <rPr>
        <sz val="8"/>
        <color rgb="FF000000"/>
        <rFont val="Arial"/>
      </rPr>
      <t xml:space="preserve">
- Обустройство ремиз определяется видовым разнообразием животных, которое планируется охранять или поддерживать на территории парков;
- В пределах ЗЕР должен быть сведен к минимуму фактор беспокойства со стороны человека и домашних животных. Внутри ЗЕР не должно быть дорожек и тропинок;
- Лесные сообщества следует формировать с многоярусной структурой, рекомендуется включать древесные растения различной высоты, куртины кустарников, открытые луговые участки;
- Необходимо создать дополнительные укрытия. Укрытиями могут служить пни, камни, лежащие стволы деревьев, кучи веток, густая трава;
- Для расширения кормовой базы необходимо использовать ягодниковые растения: рябину, черемуху, шиповник и т.д. На открытых участках, следует предусмотреть возможность выращивания рудеральных растений (например, горец птичий);
- ЗЕР и ремизы должны обязательно иметь собственную буферную зону вокруг их границ и другими элементами благоустройства. Густая живая изгородь в буферной зоне препятствует свободному проходу людей и собак.</t>
    </r>
  </si>
  <si>
    <t>2.5.7</t>
  </si>
  <si>
    <t>Требования к прокладке наружных инженерных сетей</t>
  </si>
  <si>
    <t>- Трассировка инженерных сетей должна быть выполнена с отступами от элементов благоустройства согласно действующим нормативным документам, в том числе с устройством корнезащиты (при необходимости);
- В случае несоблюдения отступов от элементов благоустройства, необходимо откорректировать трассировку сетей;
- Расположение элементов благоустройства считается приоритетным и корректировку под трассировку сетей выполнять только при невозможности корректировки сетей;
- Расположение объектов благоустройства принять на основе стадии детального дизайна;
- В случае прокладки сетей в непосредственной близости от кома дерева (при отступе от оси дерева менее нормативного), предусмотреть противокорневую защиту в виде экрана из HDPE мембраны.</t>
  </si>
  <si>
    <t>2.5.8</t>
  </si>
  <si>
    <t>Освещение</t>
  </si>
  <si>
    <t>- Ассортимент осветительных прибором принять в соответствии с детальным проектом
- Необходимо предусмотреть скрытый тип крепления элементов освещения к фундаментам;
- Болларды, примыкают к тротуарам с отступом по оси 300 мм. Их необходимо устанавливать на ранее подготовленное единое основание с бортовым элементом (на бетонный замок);
- Необходимо предусмотреть розетки для возможности подключения элементов сезонного и сценарного освещения;
- Все элементы освещения имеют оттенок RAL 7021 муар.</t>
  </si>
  <si>
    <t>2.5.9</t>
  </si>
  <si>
    <t>Система автополива</t>
  </si>
  <si>
    <t>Предусмотреть систему автополива на террасах и придомовой территории в пределах ЗУ.
1. Систему автоматического полива предусмотреть от емкостей общим объемом 4 м3, установленных в отапливаемом техническом помещении (водомерном узле). Емкости из полиэтилена для пищевых жидкостей фирмы KSC или аналог, которые оборудованы датчиками уровня воды, поплавковым клапаном. Заполнение емкостей предусмотреть в ночное время. Полив из емкостей осуществляется с помощью повысительного насоса, перед насосом установить фильтр, кран с электроприводом. Свободный напор в капельном поливе террасы должен быть 30м. Объем емкостей рассчитать с запасом 1 день и максимальным расходом до 0,9 л/с, заполнение предусмотреть в ночное время с установкой поплавкового клапана, общим объемом не более 4м3. Помещение для хранения емкостей предусмотреть не более 6м2.
2. Автополив предусмотреть:
- Роторный или статический полив предусмотреть от дождевателей производителей Hunter, Rain Bird, Toro или K-Rain.
- Капельный полив предусмотреть для кустарниковых растений, вода подается к корням растений. Полив осуществляется капельным шлангом RAIN BIRD XFS, 16 мм/ 48 mil / шаг 33см / 2,3 л/ч или аналог (Hunter, Toro и K-Rain). Укладку капельной трубки осуществить после посадки растений по месту в земле или в мульче. Время полива по 1,0ч 2 раза в неделю.
- Для деревьев предусматривается капельный полив и аэрация.
Время полива по 0,5ч 2 раза в неделю.
- Ручной полив (5) предусмотреть от боксов с кранами Rain BIRD VBA или водяными розетками, установленными через каждые 25 м благоустройства.
3. В каждой зоне полива предусмотреть датчики влажность почвы. Датчик устанавливают вертикально на глубине 0,15м на участке с наибольшим солнечным освещением, при корневом поливе - в корневой зоне на глубине приблизительно 0,4см.
4. Автополив дворовой территории предусмотреть с помощью дождевателей, капельного и ручного полива. Полив внешней дворовой территории предусмотреть от боксов с кранами Rain BIRD VBA или водяными розетками, установленными через каждые 25 м благоустройства, и подключение предусмотреть от общей магистрали автополива.
5. Трубопроводы из ПНД-стабилизированного полиэтилена низкого давления ПЭ 80 SDR 17, устойчивого к перепадам температур от -50 до +50 градусов по Цельсию.
Рекомендуемое рабочее давление в трубопроводе до 8,0 бар. Диаметры труб определяются расчетом.
6. Опорожнение трубопровода летнего полива предусмотреть с помощью компрессора. Электрокабель от контроллера до клапанов, датчиков влажности почвы проложить в траншее в гофротрубе.
7. Установку контроллера управления автополивом предусмотреть в техническом помещении. Электромагнитные клапаны открывают подачу воды и регулируют поток. В период атмосферных осадков за счет использования датчика дождя происходит отключение системы автополива, либо координация кратности и литража. Датчик влажности почвы позволяет контролировать влажность и фиксировать показатели, при которых автополив автоматически выключается.</t>
  </si>
  <si>
    <t>2.5.10</t>
  </si>
  <si>
    <t>Колонка - водокачка</t>
  </si>
  <si>
    <t>- Способ подключения: к водопроводу с отводом воды в ливневую канализацию;
- Консервация перед зимним периодом проводится до установления отрицательных температур и предполагает слив воды, продувку труб, отключение водоснабжения;
- Запуск колонки можно производить с установлением ночных температур теплее - 5 градусов Цельсия);
- Подготовить задание на подключение с указанием привязки оборудования.</t>
  </si>
  <si>
    <t>2.5.11</t>
  </si>
  <si>
    <t>Фонтан</t>
  </si>
  <si>
    <t>- Предусмотреть работу по принципу подключения к ХВС с рециркуляцией воды и автоматикой для пополнения уровня воды в резервуаре (указать в примечании);
- Подготовить задание на подключение с указанием привязки оборудования, расположения гильз закладки и технологических отверстий;
- Предусмотреть резервуары для технического помещения в толще пирога паркинга размерами 1х1х1 м, в зависимости от размеров водного элемента;
- Предусмотреть возможность дополнительной системы очистки с принудительной циркуляцией воды.</t>
  </si>
  <si>
    <t>2.5.12</t>
  </si>
  <si>
    <t>Структура водных объектов по типу классификации пространств</t>
  </si>
  <si>
    <t>Разделение типов водных объектов происходит путем классификации пространства их размещения.
Антропогенные водные элементы - все элементы, которые появляются на объекте во время реализации проекта. К антропогенным относятся архитектурные, природные, комбинированные, фильтрационные и утилитарные типы водных объектов.
Естественные водные объекты - существующие водные объекты, которые были на площадке до момента начала проектирования и строительства.</t>
  </si>
  <si>
    <t>2.5.13</t>
  </si>
  <si>
    <t>Структура водных объектов, пространство двора</t>
  </si>
  <si>
    <t xml:space="preserve">Двор предусматривает размещение природного, архитектурного, утилитарного и комбинированного типа водных объектов.
1. Двор может включать разные комбинации водных объектов, соблюдая правила установки.
2. Размещение утилитарного типа является обязательным для каждого морфотипа и коллекции двора. 
3. Актуальный вид водного объекта будет зависеть от принятой коллекции. </t>
  </si>
  <si>
    <t>2.5.14</t>
  </si>
  <si>
    <t>Водные объекты архитектурного типа</t>
  </si>
  <si>
    <t xml:space="preserve">Особенности архитектурного типа:
1. Водный объект поставляется готовым изделием. На объекте происходит только монтаж и подключение к сетям.
2. Для точного подвода сетей к водному объекту необходимо формировать лист с техническим заданием на стадии детальной концепции.
3. Имеет архитектурный облик, может быть представлен разными формами, единичным объектом или группой связанных объектов. 
4. Актуальный вид водного объекта может отличаться в зависимости от коллекции ландшафта.
5. Устанавливать рядом с минеральным покрытием или под кроной дерева не рекомендуется. Данный тип имеет тонко настраиваемые насосные группы.
6. Для каждого вида пространства существуют свои правила подключения и инженерные особенности.
Примеры водных объектов архитектурного типа:
1. Открытая водная гладь
2. Фонтан
3. Система водяного тумана
4. Система разбрызгивания воды форсунками </t>
  </si>
  <si>
    <t>2.5.15</t>
  </si>
  <si>
    <t>Водные объекты природного типа</t>
  </si>
  <si>
    <t>Особенности природного типа:
1. Водный объект проектируется самостоятельно, с детальной проработкой оборудования, геопластики, подбором водных растений. Для точного подвода сетей к водному объекту необходимо формировать лист с техническим заданием на стадии детальной концепции.
2. Устройство водного объекта происходит на строительной площадке подрядной организацией.
3. На объекте происходит подключение к заранее подведенным сетям.
4. Водный объект имеет природный облик, может быть представлен разными формами и конфигурациями, единичным  объектом или группой связанных объектов. Актуальный вид водного объекта может отличаться зависимости от коллекции ландшафта.
5. Имеет оборудование, не требующие тонкой настройки. 
6. Может находиться рядом с минеральным покрытием, желательно частью объекта находиться под кронами деревьев, для создания теневой  зоны. Данный тип имеет свободно настраиваемые насосные группы, что позволяет иметь дополнительные зоны активности, так как поднятая взвесь не повлиять на работу системы. 
7. Для каждого вида пространства существуют свои правила подключения и инженерные особенности.
Примеры водных объектов природного типа:
1. Водная гладь
2. Ручей (перепады, водопады)
3. Пруд мелководный, пруд глубоководный
4. Система разбрызгивания воды форсунками</t>
  </si>
  <si>
    <t>2.5.16</t>
  </si>
  <si>
    <t>Водные объекты комбинированного типа</t>
  </si>
  <si>
    <t xml:space="preserve">Особенности комбинированного типа:
1. Водные объекты комбинированного типа включают в себя сочетание природного и архитектурного типов.
2. Комбинированным типом так же будет являться сочетание нескольких природных или архитектурных видов водных объектов.
3. Водный объект проектируется самостоятельно, с детальной проработкой оборудования, геопластики, подбором водных растений. Для точного подвода сетей к водному объекту необходимо формировать лист с техническим заданием на стадии детальной концепции.
4. Последовательность устройства водного объекта комбинированного типа начинать с природного типа с последующим монтажом оборудования архитектурного типа, и подключением к заранее подведенным сетям.
5. Актуальный вид водного объекта может отличаться в зависимости от коллекции ландшафта.
6. Имеет особенности по системе забора и подачи воды. Природный и архитектурный тип имеет собственные системы циркуляции воды.
7. Для каждого вида пространства существуют свои правила подключения и инженерные особенности.
Примеры водных объектов природного типа:
1. Водная гладь + система водяного тумана + система разбрызгивания воды форсунками 
2. Ручей + перепады + пруд с глубокой водой + система разбрызгивания воды форсунками
3. Ручей + перепад
4. Ручей + система водяного тумана
5. Ручей + пруд мелководный + система разбрызгивания воды форсунками
</t>
  </si>
  <si>
    <t>2.5.17</t>
  </si>
  <si>
    <t>Водные объекты фильтрационного типа</t>
  </si>
  <si>
    <t>Особенности фильтрационного типа:
1. Данный тип водного объекта применяется для снижения объема поступающего стока в магистральный коллектор ливневой канализации, может применяться как в профиле улиц, так и в общественных пространствах.
2. Водный объект проектируется самостоятельно, с детальной проработкой оборудования, геопластики, подбором водных растений. Для точного подвода сетей к водному объекту необходимо формировать лист с техническим заданием на стадии детальной концепции.
3. Имеет природный облик, может быть представлен разными формами и конфигурациями, единичным  объектом или группой связанных объектов.
4. Визуальный вид водного объекта может отличаться зависимости от применённого подхода по озеленению.
5. Устройство водного объекта происходить одновременно с монтажом выпусков внутренних сетей ливневой канализации.
Требует подключения к сети наружной ливневой канализации.
6. Для каждого вида пространства существуют свои правила подключения и инженерные особенности
Примеры водных объектов фильтрационного типа:
1. Биоинженерные сооружения («Дождевые сады», Каналы «Wadi»)</t>
  </si>
  <si>
    <t>2.5.18</t>
  </si>
  <si>
    <t>Водные объекты утилитарного типа</t>
  </si>
  <si>
    <t>Особенности утилитарного типа:
1. Оборудование, позволяющее закрыть базовые потребности людей.
2. Водный объект поставляется готовым изделием. На объекте происходит только монтаж и подключение к сетям (водоснабжение, канализация, электрика). Для точного подвода сетей к водному объекту необходимо формировать лист с техническим заданием на стадии детальной концепции. 
3. Актуальный вид водного объекта может отличаться в зависимости от коллекции ландшафта.
4. Не требует дополнительного инженерного оборудования, подключается сразу к водопроводу. 
5. Для каждого вида пространства существуют свои правила подключения и инженерные особенности.
Примеры водных объектов утилитарного типа:
1. Питьевой фонтан
2. Устройство для мойки рук и ног 
3. Поилка для птиц
4. Открытый душ
5. Устройство для набора воды</t>
  </si>
  <si>
    <t>2.5.19</t>
  </si>
  <si>
    <t>Правила размещения водных объектов, пространство двора</t>
  </si>
  <si>
    <t>Размещение водных объектов в пространстве двора происходит по поясам.
II пояс - Буферная зона
Предусматривает размещение водных объектов Архитектурного и Комбинированного типов вдоль основных и второстепенных транзитов. В данном поясе рекомендуется применение открытой водной глади с возможным добавлением систем форсунок для создания динамической картины восприятия ландшафта. Применяются отдельно стоящие чаши с водой, системы водяного тумана.
Размещение оборудования Утилитарного типа для прямого использования жителями. Предусматривает установку питьевых фонтанчиков по основным транзитам, рядом с выходами из МОП в объеме озеленения. Наличие устройства мойки рук и ног при площади игрового минерального покрытия более чем 15м2. 
IV пояс - Буферная зона
Предполагает установку водных объектов Комбинированного, Природного и Архитектурного типов. Предусматривает появление русла ручья, утопленного в озеленение, или открытого с прямым доступом к воде. Является началом единого водного объекта и имеет продолжение в пятом поясе, или может быть самостоятельной единицей. Комбинации с системами водяного тумана и подачи воды из форсунок создают разные сценарии пространства от более тихого и камерного до энергичного, динамического.
Единичные объекты архитектурного типа в четвертом поясе представлены системой водяного тумана. Данная система располагается в объеме озеленения, вдоль транзитов, создавая воздушность пространства.
V пояс - Функциональная зона
Формируется из Комбинированного и Природного типов водных объектов. Включает возможность появление пруда и ручья, с точкой максимальной глубины 500мм минимальные габариты пруда 3,0х3,0. Добавление системы распределения воды форсунками или системы водяного тумана позволят сформировать новое восприятие статического водного объекта. Данные системы так же служат для дополнительной аэрации, что в свою очередь предотвращает появление зеленых водорослей и зацветания водоема.
Идеальным сочетанием является ручей + пруд мелководный + система форсунок / система водяного тумана
При наличии сложной системы (пруд + ручей) и начинается в IV поясе, то необходимо предусмотреть каскады или перепады на русле ручья. Минимальное количество каскадов -  2 единицы.
Планировочно, пруд может находиться рядом с минеральным покрытием и иметь возможность прямого контакта с водой. Не рекомендуется размещать пруды рядом с игровой и спортивной зоной.
В границах водного объекта должно присутствовать подключение к системам водоснабжения и водоотведения, электросети
Вид оборудования определяется согласно каталогу выбранной коллекции.</t>
  </si>
  <si>
    <t>2.5.20</t>
  </si>
  <si>
    <t>Правила проектирования пруда, пространство двора</t>
  </si>
  <si>
    <t>При проектировании пруда во дворе необходимо соблюдать правила жизнеобеспечения пруда. 
1. Минимальные размеры пруда
При интеграции пруда на кровлю паркинга, необходимо учитывать минимальный размер сооружения - он равен одному модулю и занимает площадь в нем равную 10,3м2. При этом максимальная глубина пруда может достигать 0,5м.
2. Зоны с разной глубиной
Образование зон с разной глубиной необходимо для создания постоянного движения воды в водоеме, ввиду разности температурных зон.
В зоне "прогрева"- это зона с глубиной воды до 0,2м, происходит прогрев воды в летнее время, на этой глубине размножаются простейшие микроорганизм, необходимые для дальнейшего этапа поглощения органических соединённый.
Зона "глубокой воды" - это зона с глубиной воды от 0,2м-0,5м, происходит нахождение более прохладных вод необходимых для жизни простейших микроорганизмов.
3. Система аэрации
Насыщение всего объема воды в водоеме, необходимо устраивать систему аэрации. Это необходимо для исключения появления "зеленых" водорослей в воде. Может быть представлена принудительной аэрацией - установкой компрессора и/или естественной аэрацией - системой каскадов, в приводящей воду, ручье.
3.1 Принудительная аэрация - установка компрессора, ставиться рядом с водоемом, маскируется в фальшь-камне. Производительность аэратора принудительной 240л/ч, при объеме воды в пруду до 3-4м3. Вместо компрессора могут быть использованы системы разбрызгивания воды форсунками - не менее двух форсунок на 10,3м2 водоема, при этом площадь "глубокой воды" должна быть не менее 6м2.
3.2 Естественная аэрация - создание каскадов на русле ручья, количество каскадов не менее двух, высотой от 0,1м. Для естественной аэрации подходят элементы водопада, высота которого от 0,5м. Ручей или водопад должен заканчиваться прудом.
4. Точка подачи воды
Точкой подачи воды считают место, где начинается свободный излив воды. Это может быть исток ручья, источник под камнями у водопада или пруда. В эту самую точку вода подается насосом.
При площади пруда до 25м2, устанавливают погружной насос, который монтируется в специальный бокс фильтрации.
При площади пруда больше 25м2, устанавливают два погружных насоса, и равноудалены друг от друга. При этом образуется две точки подачи воды. В исключительных случаях, насосная станция может находиться в подвале здания, это может быть связано с наличием большого количества комбинации типов и значительной суммарной площади водных элементов.
5. Точка забора и фильтрации воды
Точкой забора воды находиться в самой глубокой точке водоема, она совмещена с системой улавливания крупного мусора (скимер).
При площади пруда до 25м2, устанавливают один скимер, при этом он может быть стационарным.
При площади пруда больше 25м2, устанавливают два скимера, в этом случае они оба стационарные.
6. Наличие элементов озеленения по периметру и внутри водоема.
Не малую роль играют растения, которые располагаются внутри водоема или рядом с ним. Это связано с тем, что происходящие процессы в корневой системе растений, позволяют дополнительно производить очистку водоема.</t>
  </si>
  <si>
    <t>2.5.21</t>
  </si>
  <si>
    <t>Правила проектирования ручья, пространство двора</t>
  </si>
  <si>
    <t>При проектировании ручья во дворе необходимо соблюдать правила функционирования ручья. 
1. Минимальная длина ручья
При интеграции ручья на кровлю паркинга, необходимо учитывать минимальный размер сооружения - он равен одному модулю и занимает площадь в нем, равную 8,3м2. При этом количество изгибов ручья не нормируется на всем протяжении модуля или мультимодуля.  
2. Точка подачи воды
Точкой подачи воды считают место, где начинается свободный излив воды. Это исток ручья, источник может находиться под камнями в уровне поверхности воды или поднят над ней и образовывать водопад. В эту самую точку вода подается насосом.
3. Перепады на русле 
При разработке русла ручья, необходимо учитывать как минимум два перепада по высоте, при этом перепад не должен быть больше 0,10м.
4. Точка забора и фильтрации воды
Точкой забора воды считается конечная точка ручья. Устанавливается специальный корпус-фильтр, в который монтируется погружной насос.
При длине ручья до 10 метров - насос производительностью 6500 л/ч
При длине ручья от 10 до 20 метров - насос производительностью 10000 л/ч
5. Наличие элементов озеленения по периметру и внутри ручья.
Не малую роль играют растения, которые располагаются внутри ручья или рядом с ним. Это связано с тем, что происходящие процессы в корневой системе растений, позволяют дополнительно производить очистку водоема.</t>
  </si>
  <si>
    <t>2.5.22</t>
  </si>
  <si>
    <t>Правила проектирования системы водяного тумана, пространство двора</t>
  </si>
  <si>
    <t>При проектировании системы водяного тумана во дворе необходимо соблюдать следующие правила.
1. В объеме пруда
Интеграция системы происходит путем установки магистральной напорной линией и подключением форсунок с шагом 0,5м по краю береговой линии пруда при этом уходя в объем озеленения. 
1.1 Рекомендуемый тип форсунок с широким углом распыления.
Рекомендуемый тип оборудования "форсуночный увлажнитель высокого давления Эконау ВД-50", рассчитан на подключение 20 форсунок.
2. В объеме ручья
Интеграция системы происходит путем установки магистральной напорной линией и подключением форсунок с шагом 0,5м по краю береговой ручья линии при этом уходя в объем озеленения. 
2.1 Рекомендуемый тип форсунок с широким углом распыления.
Рекомендуемый тип оборудования "форсуночный увлажнитель высокого давления Эконау ВД-50", рассчитан на подключение 20 форсунок.
3. Отдельно стоящий
Интеграция системы происходит путем установки магистральной напорной линией и подключением форсунок с шагом 0,5м в объем озеленения, вдоль транзитов, зон отдыха. 
3.1 Рекомендуемый тип форсунок с широким углом распыления.
Рекомендуемый тип оборудования "форсуночный увлажнитель высокого давления Эконау ВД-50", рассчитан на подключение 20 форсунок.</t>
  </si>
  <si>
    <t>2.5.23</t>
  </si>
  <si>
    <t>Правила проектирования системы разбрызгивания воды форсунками, пространство двора</t>
  </si>
  <si>
    <t>При проектировании системы форсунок во дворе необходимо соблюдать правила работы форсунок. 
1. В объеме пруда
Интеграция системы происходит путем установки блок-фильтра, в который интегрируется погружной насос. Сверху происходит декорирование таким же материалом как и дно пруда. 
1.1 Рекомендуемый тип форсунок "пенный".
Рекомендуемый тип насоса SYNCRA POND 2.5 с высотой струи 0,45м при типе форсунки "пенный".
Зона установки блок-фильтра - зона "прогрева" пруда, где глубина воды не более 0,2м.
2. В объеме ручья
Интеграция системы происходит путем установки блок-фильтра, в который интегрируется погружной насос. Сверху происходит декорирование таким же материалом как и дно ручья. 
2.2 Рекомендуемый тип форсунок "пенный".
Рекомендуемый тип насоса SYNCRA POND 2.5 с высотой струи 0,45м при типе форсунки "пенный".
Зона установки блок-фильтра - зона где нет перепада и образуется запруда с низкой скоростью течения воды. Может встраиваться в специальные подготовленные широкие радиусы изгиба ручья.
3. Отдельно стоящий
Интеграция системы происходит путем установки блок-основы, в который интегрируется погружной насос. Сверху происходит декорирование округленным речным галечником.
3.1 Рекомендуемый тип форсунок "пенный", "большая водная лилия".
Рекомендуемый тип насоса SYNCRA POND 2.5 с высотой струи 0,45м.
Зона установки блок-основа - в озеленении вдоль транзитов.</t>
  </si>
  <si>
    <t>3. Архитектурные решения</t>
  </si>
  <si>
    <t xml:space="preserve"> Инженерные ниши</t>
  </si>
  <si>
    <t>3.0.1</t>
  </si>
  <si>
    <t>В инженерной стене у лестнично - лифтового узла:
- 2500х350 мм - под шкафы коллекторов водоснабжения и отопления 
- 1310х350 мм - под шкафы электрических и слаботочных сетей:
- 1100х350 мм - под шкафы пожарных кранов 
В зашивке стены Квартира-МОП: 
- 200х280 мм - под стояк ливневой канализации
- 200х280 мм - под отдельный стояк канализации
- 350х280 мм - под стояк канализации спутник
- 800х280 мм - под стояк канализации спутник и воздуховод для сан.узла
- 800х280 мм - под воздуховод со спутником для кухонь
- 950х280 мм - под стояк канализации спутник и воздуховод для кухонь
- 600х200 мм - под воздуховод для кухонь
При расположении квартир на 1 этаже и отсутствии доступа к инженерным нишам ОВ+ВК и ЭЛ+СС из МОП 1 этажа - обеспечить доступ к нишам на минус 1 этаже.</t>
  </si>
  <si>
    <t xml:space="preserve"> Излом (перепад) плит в уровне 1 этажа</t>
  </si>
  <si>
    <t>3.0.2</t>
  </si>
  <si>
    <t>Для определения отметки 0.000 проекта:
1. Рассчитать среднее арифметическое между самой высокой и самой низкой планировочными отметками участка;
2. Округлить полученное значение с шагом 600 мм;
3. Принять получившуюся отметку за 0.000 проекта.
Отметки плоских участков рельефа перед входными группами(со стороны улицы) должны быть кратны 600мм.
Отметка 0,000 принимается во внутреннем контуре квартала, единая отметка с уровнем двора. 
Правила перепада отметок (излома плиты) при уклоне со стороны улицы:
• Уклон менее 1,5% - Выполнить без излома плит;
• Уклон 1,5%-3% - Выполнить излом плит между деформационными швами, (перепад с шагом 600 мм на каждый деформационный шов);
• Уклон 3%-4,5% - Выполнить излом плит между секциями (перепад с шагом 600 мм на каждую секцию);
• Уклон 4,5%-15% - Выполнить излом плит с шагом (2, 3, 4, 6) х 3450 (перепад 600 мм на каждые 2, 3, 4, 6 шага(ов).
Участки шириной в 1 шаг х 3450 мм не выполнять.</t>
  </si>
  <si>
    <t xml:space="preserve"> Типовые планировочные решения для секций до 28 метров</t>
  </si>
  <si>
    <t>3.0.3</t>
  </si>
  <si>
    <t>1. Планировочные решения для типов квартир:
0С: Т1, Т2
1С: Т1, Т2, Т3, Т4
2С: Т1, Т2, Т5, Т9
3С: Т1, Т2, Т3, Т4
2. Типовые планировочные решения разработаны для шагов: 3.75, 4.0, 4.25, 4.5.
3. Неизменяемые квартиры располагать во внутреннем контуре секции и ориентировать во двор. 
4. Шаги необходимо комбинировать в зависимости от разных сценариев массинга. 
5. Для квартир в торцах секций использовать 1 из 2х варианта планировки: базовый или дополнительный.
6. В базовом варианте вентканал примыкает к торцу секции (приоритетный вариант).
7. В дополнительном варианте вентканал имеет отступ от торца секции. 
Использовать при необходимости организации технического этажа с разрывом на фасаде.
8. Для квартир 0С.Т2, 1С.Т3, 1С.Т4, 2С.Т1, 2С.Т2 разработаны два варианта расположения кухни-ниши. 
Расположение кухни-ниши принять исходя из поэтажной стратегии и фасадных решений.</t>
  </si>
  <si>
    <t xml:space="preserve"> Зонирование типового этажа для секции до 28 метров. Типы квартир</t>
  </si>
  <si>
    <t>3.0.4</t>
  </si>
  <si>
    <t>1. Зонирование для инсоляции при поворотах квартала 0-15°, 15-30°, 30-45°. 
2. Количество вариантов зонирования типового этажа в секциях: 
EW6 - 6 вариантов 
EW8 - 3 варианта
NS8 - 3 варианта
CN 5/8 - 3 варианта
CS 5/8 - 3 варианта
CN 7/8 - 3 варианта
CS 7/8 - 3 варианта
CN 5/10 - 3 варианта 
CN 7/10 - 3 варианта 
3. Типы квартир: 
0С: Т1, Т2 
1С: Т1, Т2, Т3, Т4 
2С: Т1, Т2, Т3, Т4, Т5, Т6, Т7, Т8, Т9, Т10 
3С: Т1, Т2, Т3, Т4 
Всего: 20 типов
4. Допускается локально вносить корректировки в случае дополнительных вариантов затенения. 
Действовать на основании вариантов зонирования типового этажа, укрупняя пятна квартир при необходимости.</t>
  </si>
  <si>
    <t xml:space="preserve"> Типоразмеры жилых надстроек в секциях до 28 метров</t>
  </si>
  <si>
    <t>3.0.5</t>
  </si>
  <si>
    <t>1. На схемах указаны минимальные и максимальные габариты жилых надстроек в зависимости от каркаса секции.
2. На схемах показаны варианты раздельного и слитного размещения жилых надстроек.
3. Минимальная длина (габарит вдоль фасада) жилой надстройки - два шага. Не применять жилую надстройку в один шаг.
4. Глубина жилой надстройки определяется, исходя из максимальной подрезки секции. Минимальное заглубление жилой надстройки относительно нижележащего этажа - 1210 мм.
Площади жилых надстроек по размерности:
XS: 20.0 м²
S (min): 20.0 м²
S (max): 27.9 м²
M (min): 26.0 м²
M (max): 33.9 м²
L (min): 31.3 м²
L (max): 39.2 м²</t>
  </si>
  <si>
    <t xml:space="preserve"> Принцип расположения наружных блоков кондиционирования жилья</t>
  </si>
  <si>
    <t>3.0.7</t>
  </si>
  <si>
    <r>
      <rPr>
        <b/>
        <sz val="8"/>
        <color theme="1"/>
        <rFont val="Arial"/>
      </rPr>
      <t xml:space="preserve">Для первых этажей: </t>
    </r>
    <r>
      <rPr>
        <sz val="8"/>
        <color theme="1"/>
        <rFont val="Arial"/>
      </rPr>
      <t xml:space="preserve">
Установка наружных блоков на летних помещениях (террасах). 
</t>
    </r>
    <r>
      <rPr>
        <b/>
        <sz val="8"/>
        <color theme="1"/>
        <rFont val="Arial"/>
      </rPr>
      <t xml:space="preserve">Для типовых этажей: </t>
    </r>
    <r>
      <rPr>
        <sz val="8"/>
        <color theme="1"/>
        <rFont val="Arial"/>
      </rPr>
      <t xml:space="preserve">
Установка наружных блоков на летних помещениях (балконах, лоджиях).
Количество наружных блоков принять равными количеству летних помещений.
</t>
    </r>
    <r>
      <rPr>
        <b/>
        <sz val="8"/>
        <color theme="1"/>
        <rFont val="Arial"/>
      </rPr>
      <t xml:space="preserve">Для последних жилых этажей: </t>
    </r>
    <r>
      <rPr>
        <sz val="8"/>
        <color theme="1"/>
        <rFont val="Arial"/>
      </rPr>
      <t xml:space="preserve">
Установка наружных блоков на летних помещениях (балконах, лоджиях, террасах). 
В студиях и квартирах с одной спальней предусмотреть кондиционирование только одного помещения - гостиной.
В квартирах с двумя спальнями и более предусмотреть кондиционирование двух помещений - гостиной и мастер-спальни.
Подключение внешнего блока кондиционера выполняется только с правой стороны внешнего блока. Внешний блок кондиционера располагать в декоративной корзине, разработанной и предоставленной застройщиком.</t>
    </r>
  </si>
  <si>
    <t>3.0.7.1</t>
  </si>
  <si>
    <t>Корзина кондиционера</t>
  </si>
  <si>
    <t>Корзина кондиционера металлическая (Ш*В*Г) 1000*700*500 мм.</t>
  </si>
  <si>
    <t xml:space="preserve"> Принцип расположения наружных блоков кондиционирования коммерческих помещений площадью до 120 м2</t>
  </si>
  <si>
    <t>3.0.8</t>
  </si>
  <si>
    <t>Установка внутренних и наружных блоков кондиционирования коммерческих помещений предусматривается силами собственника.
Отвод дренажа внутреннего блока кондиционера предусмотреть силами собственника в систему канализации через «разрыв струи» и установкой гидрозатвора.
Обозначить места установки кондиционеров на планах АР в рабочей документации.
Принципиальное решение включает в себя:
1. Типовая рама кондиционера. 
2. Типовая решетка. Длина (L) решетки меняется в зависимости от материала отделки фасада и региона (толщина теплоизоляционного слоя). 
3. Навесной фасад - клинкерный кирпич. Материал фасада уточнить в зависимости от коллекции
4. Блок кондиционера. При площади ритейла до 70 м2 возможно применение 1 блока кондиционера, при площади ритейла более 70 м2 необходимо использовать 2 блока кондиционера</t>
  </si>
  <si>
    <t xml:space="preserve"> Принцип организации кондиционирования коммерческих помещений площадью более 120 м2</t>
  </si>
  <si>
    <t>3.0.9</t>
  </si>
  <si>
    <t>В коммерческих помещениях площадью более 120 м2 предусмотреть место для размещения ЦХМ с выбросом тепла через решетку в верхней части витража, над остеклением. Площадь помещения ЦХМ 20 - 25 м2. Помещение ЦХМ не размещать над/под жилыми помещениями. Отвод дренажа предусмотреть силами собственника в систему канализации через «разрыв струи» и установкой гидрозатвора.
При монтаже оборудования соблюдать минимальные технические зазоры для обслуживания согласно принципиальным схемам.
Обозначить места установки оборудования на планах АР в рабочей документации.
Принципиальное решение включает в себя:
1. ЦХМ. 
2. Кондиционер 1400/1700/900 (ш/в/г). 
Блок кондиционера размещать в помещении ЦХМ, на отметке вытяжной решетки согласно фасадному решению. 
3. Вытяжная решетка.
4. Вентиляционная установка 1100/700/1500 (ш/в/г).
Вентиляционную установку не размещать над/под жилыми помещениями и помещением ЦХМ. Вентиляционную установку размещать в шаге (3450 мм) от помещения ЦХМ или дальше под потолком.
5. Приточная решетка.
6. Каркас под кондиционер.</t>
  </si>
  <si>
    <t xml:space="preserve"> Въездная рампа для паркинга в 1 уровень</t>
  </si>
  <si>
    <t>3.0.10</t>
  </si>
  <si>
    <t xml:space="preserve">Въездную рампу выполнять с уклоном - 18%;
Уклон сопряжения со стороны уличного фасада - 10%;
Уклон сопряжения со стороны паркинга - 13%.
Длина рампы в паркинге фиксирована и одинакова в секциях разной глубины.
Базовый вариант для класса С рампа 4,00.
Допускается предусматривать световые проемы в стене между МОП и рампой.
Утепление рампы применять в зависимости от региона. </t>
  </si>
  <si>
    <t xml:space="preserve"> Въездная арка во двор для пожарного проезда</t>
  </si>
  <si>
    <t>3.0.11</t>
  </si>
  <si>
    <t>В закрытом квартале выполнить две въездных арки для пожарного проезда.
Арка выполняется на высоту двух этажей.</t>
  </si>
  <si>
    <t xml:space="preserve"> Схема МОП 1 этажа</t>
  </si>
  <si>
    <t>3.0.16</t>
  </si>
  <si>
    <t>1. Тамбур со стороны улицы глубиной 1540 мм. Минимальная глубина тамбура без доступа МГН 1,5 м по СП 1.13130.2020 "Эвакуационные пути и выходы" п.4.3.11.
2. Тамбур со стороны двора глубиной 2650 мм.
3. Доступ МГН предусмотрен со двора.
4. На схемах обозначена зона расположения и максимальный контур лестницы, возникающей при перепаде рельефа.
5. В витраже тамбура предусмотрен двустворчатый витраж, но только одна створка является рабочей - с постоянным открыванием.
6. Колясочная расположена со стороны улицы, в летний период имеет возможность открывания в наружном витраже, доступ регулируется УК.
7. В классе B и A предусмотрено расширенное лобби, колясочная и санузел. 
8. Расстановка мебели и расположение радиаторов в МОП - по согласованию с дизайном интерьера.
9. Входы в МОП выполнить в соответствии с узлами.</t>
  </si>
  <si>
    <t xml:space="preserve"> Матрица входных групп</t>
  </si>
  <si>
    <t>3.0.17</t>
  </si>
  <si>
    <t>Варианты размещения входных групп на типовом фасаде с улицы (внешний фасад):
Места общего пользования в жилье (МОП):
-заглубленные в фасад
-в подрезке
Ритейл:
-заглубленные в фасад
-в подрезке
-в фасад
Индивидуальные входы в квартиры
-заглубленные в фасад
-в подрезке
Варианты размещения входных групп на типовом фасаде со двора (внутренний фасад):
Места общего пользования в жилье (МОП):
- в фасад
Выход с лестницы (из паркинга):
-рядовая секция в фасад
-угловая секция в фасад</t>
  </si>
  <si>
    <t xml:space="preserve"> Расположение входной группы МОП. Заглубленный в фасад</t>
  </si>
  <si>
    <t>3.0.18</t>
  </si>
  <si>
    <t>1. Ширина проема ( D ) заглубленной в фасад входной группы мест общего пользования жилья со стороны улицы в соответствии с типом фасада и регионом составляет:
Навесной фасад клинкерный кирпич 
(МСК/ЕКБ,ТМН,КРГ,ОМС,НСК/СРГ) - 2550 мм;
Штукатурный фасад 
(МСК/ЕКБ,ТМН,КРГ,ОМС,НСК/СРГ) - 2940/2900/2800 мм
2. Ширина проема входной группы мест общего пользования жилья со стороны двора принять в плоскости фасада:
Штукатурный фасад 
(МСК/ЕКБ,ТМН,КРГ,ОМС,НСК/СРГ) - 2290 мм
3. Глубину тамбура со стороны улицы принять 1540мм от внутренней плоскости кладки керамического блока до плоскости остекления второй ветки витража
Согласно СП 1.13130 "СИСТЕМЫ ПРОТИВОПОЖАРНОЙ ЗАЩИТЫ. ЭВАКУАЦИОННЫЕ ПУТИ И ВЫХОДЫ" п.4.3.11. Ширину тамбуров и тамбур шлюзов, расположенных на путях эвакуации, следует принимать больше ширины дверных проемов не менее, чем на 0,5 м, а глубину более ширины дверного полотна не менее чем на 0,5 м, но не менее 1,5 м
3. Глубину тамбура со стороны двора принять 2650 мм от внутренней плоскости кладки керамического блока до плоскости остекления второй ветки витража
4. Принять типовой проем под входной витраж - 2420 мм 
5. Отметку чистого пола в МОПе и тамбуре принять +0.000
6. Отметка благоустройства по периметру здания принять -0.015
7. Отметку потолка в тамбуре принять не выше +3.520
8. Отметку потолка в МОПе принять не выше +3.370
( минимальный размер подшивки потолка - 350 мм)</t>
  </si>
  <si>
    <t xml:space="preserve"> Расположение входной группы МОП. В подрезке</t>
  </si>
  <si>
    <t>3.0.19</t>
  </si>
  <si>
    <t>1. Ширина проема входной группы мест общего пользования жилья в подрезке фасада со стороны улицы в соответствии с типом фасада и регионом составляет:
Навесной фасад клинкерный кирпич 
(МСК/ЕКБ,ТМН,КРГ,ОМС,НСК/СРГ) - 2290мм;
Штукатурный фасад 
(МСК/ЕКБ,ТМН,КРГ,ОМС,НСК/СРГ) - 2290 мм
2. Ширина проема входной группы мест общего пользования жилья со стороны двора принять в плоскости фасада:
Штукатурный фасад 
(МСК/ЕКБ,ТМН,КРГ,ОМС,НСК/СРГ) - 2290 мм
3. Глубину тамбура со стороны улицы принять 1540мм от внутренней плоскости кладки керамического блока до плоскости остекления второй ветки витража
Согласно СП 1.13130 "СИСТЕМЫ ПРОТИВОПОЖАРНОЙ ЗАЩИТЫ. ЭВАКУАЦИОННЫЕ ПУТИ И ВЫХОДЫ" п.4.3.11. Ширину тамбуров и тамбур шлюзов, расположенных на путях эвакуации, следует принимать больше ширины дверных проемов не менее, чем на 0,5 м, а глубину более ширины дверного полотна не менее чем на 0,5 м, но не менее 1,5 м
3. Глубину тамбура со стороны двора принять 2650мм от внутренней плоскости кладки керамического блока до плоскости остекления второй ветки витража
4. Принять типовой проем под входной витраж - 2420мм 
5. Отметку чистого пола в МОПе и тамбуре принять +0,000
6. Отметка благоустройства по периметру здания принять -0,015
7. Отметку потолка в тамбуре принять не выше +3.520
8. Отметку потолка в МОПе принять не выше +3.370
( минимальный размер подшивки потолка - 350мм)</t>
  </si>
  <si>
    <t xml:space="preserve"> Обьемно-планировочное решение. МОП. Улица. Навесной клинкерный кирпичный фасад</t>
  </si>
  <si>
    <t>3.0.20</t>
  </si>
  <si>
    <t>1.Размеры и установка грязезащитных решеток см.конструктор
2.Состав кровельных пирогов см.конструктор
3.Размер наружного проема под витраж неизменный, при необходимости смещения витража относительно центра, оставлять размер 2420 мм.
4.Размер наружного и внутреннего витража см.конструктор
5.В зависимости от региона принимаем следующие значения:
А- толщина утеплителя в соответствие с регионом МСК/ЕКБ,ТМН,КРГ,ОМС,НСК/СРГ - 150/170/200мм
В- толщина вент.зазора в соответствие с регионом МСК/ЕКБ,ТМН,КРГ,ОМС,НСК/СРГ - 55/35/40 мм
D- Для Сургута фасад выполнить из навесного клинкерного кирпича 250х85х65</t>
  </si>
  <si>
    <t xml:space="preserve"> Обьемно-планировочное решение. МОП. Улица. Штукатурный фасад</t>
  </si>
  <si>
    <t>3.0.21</t>
  </si>
  <si>
    <t>1.Размеры и установка грязезащитных решеток см.конструктор
2.Состав кровельных пирогов см.конструктор
3.Размер наружного проема под витраж неизменный, при необходимости смещения витража относительно центра, оставлять размер 1740 мм.
4.В зависимости от региона принимаем следующие значения:
А- толщина утеплителя в соответствие с регионом МСК/ЕКБ,ТМН,КРГ,ОМС,НСК/СРГ - 130/150/180мм
С- размер зависит от утеплителя в соответствие с регионом МСК/ЕКБ,ТМН,КРГ,ОМС,НСК/СРГ - 2940/2900/2830мм</t>
  </si>
  <si>
    <t xml:space="preserve"> Обьемно-планировочное решение. МОП. Двор. Штукатурный фасад</t>
  </si>
  <si>
    <t>3.0.22</t>
  </si>
  <si>
    <t xml:space="preserve"> Соседский центр (Объемно - Планировочные решения)</t>
  </si>
  <si>
    <t>3.0.23</t>
  </si>
  <si>
    <t>Стандарт Соседского центра форматов S|M представляет собой перечень функциональных зон и помещений с рекомендуемой площадью для проектирования Соседских центров с устойчивой финансовой моделью реализации.</t>
  </si>
  <si>
    <t>3.1 Стены, перегородки, перемычки</t>
  </si>
  <si>
    <t xml:space="preserve"> Матрица оконных проемов. Жилье. Типовой этаж</t>
  </si>
  <si>
    <t>3.1.1а</t>
  </si>
  <si>
    <r>
      <rPr>
        <sz val="8"/>
        <color rgb="FF000000"/>
        <rFont val="Arial"/>
      </rPr>
      <t>Размеры оконных проемов в керамическом блоке в пределах типового этажа (3 метра):
- 965; 1060; 1360; 1550; 1740; 1930; 2310; 2690 мм х 1865 мм (h) 
- 965; 1360; 1550; 1740; 1930; 2310; 2690 мм х 2095 мм (h) 
- 965; 1360; 1550; 1740; 1930; 2310; 2690 мм х 2565 мм (h)
Приточный подоконный клапан предусмотреть для проемов размером:
- 2690 мм х 1865 мм (h) 
Не предусматривать приточные клапана для проемов размером:
- 2690 мм х 2095 мм (h) 
- 2690 мм х 2565 мм (h)
Для всех остальных проемов предусмотреть стеновой угловой клапан.
Расстановку радиаторов, приточных вентиляционных клапанов, кондиционеров предусмотреть согласно решения "</t>
    </r>
    <r>
      <rPr>
        <sz val="8"/>
        <color rgb="FF1155CC"/>
        <rFont val="Arial"/>
      </rPr>
      <t>Принцип размещения радиаторов, приточных вентиляционных клапанов, кондиционеров</t>
    </r>
    <r>
      <rPr>
        <sz val="8"/>
        <color rgb="FF000000"/>
        <rFont val="Arial"/>
      </rPr>
      <t>".</t>
    </r>
  </si>
  <si>
    <r>
      <rPr>
        <b/>
        <sz val="9"/>
        <rFont val="Arial"/>
      </rPr>
      <t xml:space="preserve"> Матрица оконных ПВХ-конструкций. Жилье. Типовой этаж</t>
    </r>
  </si>
  <si>
    <t>3.1.1б</t>
  </si>
  <si>
    <t>Типовые размеры окон из ПВХ профиля в жилье на типовом этаже. 
Высота оконных конструкций 1765мм, 2030мм указана с учетом подставочного профиля размером 35мм.
Высота оконных конструкций 2510мм указана с учетом подставочного профиля размером 110мм.</t>
  </si>
  <si>
    <t xml:space="preserve"> Заполнение каркаса блок керамический</t>
  </si>
  <si>
    <r>
      <rPr>
        <sz val="8"/>
        <color rgb="FF000000"/>
        <rFont val="Arial"/>
      </rPr>
      <t xml:space="preserve">Стены:
- Наружные: 250 мм из керамического блока 10,7(10,5)НФ
- Внутренние: 250 мм из керамического блока 10,7(10,5)НФ
Перегородки:
- МОП - квартиры: 120 мм 6,9(6,74)НФ из керамического блока с обшивкой из гипсокартонных листов в два слоя с заполнением минераловатными плитам. Общая толщина конструкции 475 мм.
- Межквартирная (между двумя квартирами) - 120 мм 6,9(6,74)НФ из керамического блока с обшивкой из гипсокартонных листов в два слоя - воздуховоды двух смежных квартир - 120 мм 6,9(6,74)НФ из керамического блока с обшивкой из гипсокартонных листов в два слоя. Общая толщина конструкции 670 мм.
- Межквартирные: 250 мм из керамического блока 10,7(10,5)НФ
- Межкомнатные: 125 мм из ГКЛ
- Межкомнатные по пилонам: 280 мм из ГКЛ или 125 мм (для класса С)
- Санузлов: 125 мм из ГКЛВ
Перегородки из ГКЛ: опирание на конструкции чернового пола (стяжку).
Перегородки кладовых: 120 мм 6,9(6,74)НФ из керамического блока высотой 2500мм под расшивку, потолок - металлическая сетка в раме из уголка 50х5мм.
Облицовка ниш стояков канализации в МОП и кухне (учитывать размещение ревизии кухонного стояка канализации для устройства лючка), стальных вентканалов - гипсокартонная облицовка.
</t>
    </r>
    <r>
      <rPr>
        <b/>
        <sz val="8"/>
        <color rgb="FF000000"/>
        <rFont val="Arial"/>
      </rPr>
      <t>Особенные, уникальные квартиры</t>
    </r>
    <r>
      <rPr>
        <sz val="8"/>
        <color rgb="FF000000"/>
        <rFont val="Arial"/>
      </rPr>
      <t>: В двухуровневых квартирах, квартирах с отдельным входом и квартирах с надстройкой на последних этажах, коммерческих помещениях не выполнять перегородки из гипсокартона и облицовку ниш стояков (зонирование помещений в документации показать пунктирной линией). Предусмотреть разметку на полу, для обозначения контура мокрых зон (для Москвы, Московской области, Тюмени предусмотреть выкладку контура мокрых зон из керамического блока толщиной 120мм высотой в 1 ряд).
Производителя перегородок согласовать с Заказчиком.
Перемычки: 
- Железобетонные брусковые - для дверных проемов
- Полистиролбетонные - для оконных проёмов
- Арматурные - для прохода отверстий инженерных сетей
Плита покрытия вытяжной шахты:
- Общая вытяжная шахта: 120 мм (с уклоном не менее 1,5%) из монолитного железобетона B25 F150 W4.</t>
    </r>
  </si>
  <si>
    <t>3.1.1.1</t>
  </si>
  <si>
    <t>Кладка наружных стен из блока керамического 250 мм</t>
  </si>
  <si>
    <t>Кладка из керамического блока 10,7(10,5)НФ марки М100 толщиной 250 мм, на растворе марки М50.
Армирование кладки принять через 2 ряда кладки (начиная со второго), кладочной сеткой 4ВрI 50х50 мм.
Анкеровку к монолитным стенам и пилонам выполнять через 2 ряда кладки (начиная с первого) двумя стержнями арматуры марки А500, А500С, диаметром 8 мм, длиной 500 мм заделка в монолитный пилон/стену на 100 мм.
Анкеровку к монолитным плитам перекрытия выполнять одним стержнем арматуры марки А500, А500С, диаметром 8 мм, длиной 300 мм, заделка в плиту в натяг на 100 мм с шагом 800 мм, но не менее двух на простенок.
Толщина горизонтального шва нормируется в пределах 12 мм(±4 мм).
Перевязка вертикальных швов осуществляется путем смещения двух соседних рядов на половину ширины блока и не менее чем на 0,4хh, где h-номинальная высота ряда.
Выравнивающий нижний слой (постель) - 10-30 мм.
Шов примыкания к перекрытию 20-40 мм заполняется Вилатермом с внутренней стороны и монтажной пеной.
Необходимость дополнительного усиления кладки при действий нагрузок от собственного веса и расчетной ветровой нагрузки проверить и подтвердить расчетом.</t>
  </si>
  <si>
    <t>3.1.1.2</t>
  </si>
  <si>
    <t>Кладка внутренних стен из блока керамического 250 мм</t>
  </si>
  <si>
    <t>Кладка из керамического блока 10,7(10,5)НФ марки М100 толщиной 250 мм, на растворе марки М50
Армирование кладки не требуется.
Анкеровку к монолитным стенам и пилонам выполнять через 2 ряда кладки(начиная с первого) двумя стержнями арматуры марки А500, А500С, диаметром 8 мм, длиной 500 мм заделка в монолитный пилон/стену на 100 мм.
Толщина горизонтального шва нормируется в пределах 12 мм(±4 мм).
Перевязка вертикальных швов осуществляется путем смещения двух соседних рядов на половину ширины блока и не менее чем на 0,4хh, где h-номинальная высота ряда.
Выравнивающий нижний слой (постель) - 10-30 мм.
Шов примыкания к перекрытию 20-40 мм заполняется противопожарной монтажной пеной.</t>
  </si>
  <si>
    <t>3.1.1.3</t>
  </si>
  <si>
    <t>Перегородка кладовой из керамического блока 120мм</t>
  </si>
  <si>
    <t>Кладка под расшивку из керамического блока 6,9(6,74)НФ марки М100 толщиной 120 мм, на растворе марки М50 высотой 2500мм.
Армирование кладки принять через 2 ряда кладки, кладочной сеткой 4ВрI 50х50 мм.
Анкеровку к монолитным стенам и пилонам выполнять через 2 ряда кладки одним стержнем арматуры марки А500, А500С, диаметром 8 мм, длиной 500 мм заделка в монолитный пилон/стену на 100 мм.</t>
  </si>
  <si>
    <t>3.1.1.4</t>
  </si>
  <si>
    <t>Стена внутренняя из керамического блока 120 мм с зашивкой из ГКЛ между квартирой и МОП</t>
  </si>
  <si>
    <t>МОП - квартиры: Кладка из керамического блока 6,9(6,74)НФ марки М100 толщиной 120 мм, на растворе марки М50. С устройством пространства для коммуникаций 280 мм с обшивкой из гипсокартонных листов 12,5 мм в два слоя общей толщиной 75мм на стоечном профиле ПС50, с заполнением минераловатными плитами 50 мм плотностью 30-50 кг/м3. Общая толщина конструкции 475 мм.
Армирование кладки принять через 2 ряда кладки, кладочной сеткой 4ВрI 50х50 мм.
Анкеровку к монолитным стенам и пилонам выполнять через 2 ряда кладки одним стержнем арматуры марки А500, А500С, диаметром 8 мм, длиной 500 мм заделка в монолитный пилон/стену на 100 мм.
Анкеровку к монолитным плитам перекрытия выполнять одним стержнем арматуры марки А500, А500С, диаметром 8 мм, длиной 300 мм, заделка вплиту на 100 мм с шагом 800 мм, но не менее двух на простенок.
Толщина горизонтального шва нормируется в пределах 12 мм(±4 мм).
Перевязка вертикальных швов осуществляется путем смещения двух соседних рядов на половину ширины блока и не менее чем на 0,4хh, где h-номинальная высота ряда.
Выравнивающий нижний слой (постель) - 10-30 мм.
Шов примыкания к перекрытию 20-40 мм заполняется противопожарной монтажной пеной.</t>
  </si>
  <si>
    <t>3.1.1.5</t>
  </si>
  <si>
    <t>Стена внутренняя из керамического блока 120 мм с зашивкой из ГКЛ между двумя квартирами</t>
  </si>
  <si>
    <t>Межквартирная (между двумя квартирами): Кладка из керамического блока 6,9(6,74)НФ марки М100 толщиной 120 мм, на растворе марки М50, с обшивкой со стороны квартиры из гипсокартонных листов 12,5 мм в два слоя общей толщиной 75мм на стоечном профиле ПС50, с заполнением минераловатными плитами 50 мм плотностью 30-50 кг/м3. Выполняется с каждой стороны квартиры. С устройством пространства для коммуникаций 280 мм. Общая толщина конструкции 670 мм.
Армирование кладки принять через 2 ряда кладки, кладочной сеткой 4ВрI 50х50 мм.
Анкеровку к монолитным стенам и пилонам выполнять через 2 ряда кладки одним стержнем арматуры марки А500, А500С, диаметром 8 мм, длиной 500 мм заделка в монолитный пилон/стену на 100 мм.
Анкеровку к монолитным плитам перекрытия выполнять одним стержнем арматуры марки А500, А500С, диаметром 8 мм, длиной 300 мм, заделка в плиту на 100 мм с шагом 800 мм, но не менее двух на простенок.
Толщина горизонтального шва нормируется в пределах 12 мм(±4 мм).
Перевязка вертикальных швов осуществляется путем смещения двух соседних рядов на половину ширины блока и не менее чем на 0,4хh, где h-номинальная высота ряда.
Выравнивающий нижний слой (постель) - 10-30 мм.
Шов примыкания к перекрытию 20-40 мм заполняется противопожарной монтажной пеной.</t>
  </si>
  <si>
    <t>3.1.1.6</t>
  </si>
  <si>
    <t>Перегородка из ГКЛ Knauf 280 мм</t>
  </si>
  <si>
    <t xml:space="preserve">Гипсокартонная перегородка 280 мм Knauf С116, на стоечном профиле ПС75 с зашивкой с двух сторон гипсовыми строительными плитами толщиной 12,5 мм в два слоя с заполнением минераловатными плитами 50 мм (2 слоя) плотностью 30-50 кг/м3 </t>
  </si>
  <si>
    <t>3.1.1.7</t>
  </si>
  <si>
    <t>Перегородка из ГКЛ/ГКВЛ Knauf 125 мм</t>
  </si>
  <si>
    <t xml:space="preserve">Гипсокартонная перегородка 125 мм Knauf С112, на стоечном профиле ПС75 с зашивкой со стороны санузла гипсовыми строительными плитами влагостойкими толщиной 12,5 мм в два слоя, со стороны основного помещения квартиры гипсовыми строительными плитами толщиной 12,5 мм в два слоя, с заполнением минераловатными плитами 50 мм плотностью 30-50 кг/м3 </t>
  </si>
  <si>
    <t>3.1.1.8</t>
  </si>
  <si>
    <t>Облицовка ГКЛ Knauf</t>
  </si>
  <si>
    <t>Гипсокартонная облицовка 75 мм С626 Knauf, на стоечном профиле ПС50 с зашивкой гипсокартонными строительными плитами толщиной 12,5 мм в два слоя.</t>
  </si>
  <si>
    <t>3.1.1.9</t>
  </si>
  <si>
    <t>Перемычка 1ПБ 13-1п</t>
  </si>
  <si>
    <t>Для дверных проемов кладовых и входных дверей квартир
Высота этажа: до 4200 мм
Ширина строительного проёма: 1050 мм</t>
  </si>
  <si>
    <t>3.1.1.10</t>
  </si>
  <si>
    <t>Перемычка 3ПБ 16-37-п</t>
  </si>
  <si>
    <t>Для дверных проемов в стенах толщиной 250 мм:
Высота этажа: до 4200 мм
Ширина строительного проёма: 1000, 1100, 1150, 1250 мм
По 2 шт. на проём</t>
  </si>
  <si>
    <t>3.1.1.11</t>
  </si>
  <si>
    <t>Перемычка 3ПБ 18-8-п</t>
  </si>
  <si>
    <t>Для дверных проемов в стенах толщиной 250 мм:
Высота этажа: до 4200 мм
Ширина строительного проёма: 1300, 1400 мм
По 2 шт. на проём</t>
  </si>
  <si>
    <t>3.1.1.12</t>
  </si>
  <si>
    <t>Перемычка 3ПБ 21-8-п</t>
  </si>
  <si>
    <t>Для дверных проемов в стенах толщиной 250 мм:
Высота этажа: до 4200 мм
Ширина строительного проёма: 1600 мм
По 2 шт. на проём</t>
  </si>
  <si>
    <t>3.1.1.13</t>
  </si>
  <si>
    <t>Перемычка ППБ 13.25.219</t>
  </si>
  <si>
    <t>Для оконного проёма шириной 965 мм</t>
  </si>
  <si>
    <t>3.1.1.14</t>
  </si>
  <si>
    <t>Перемычка ППБ 15.25.220</t>
  </si>
  <si>
    <t>Для оконного проёма шириной 1010 мм</t>
  </si>
  <si>
    <t>3.1.1.15</t>
  </si>
  <si>
    <t>Перемычка ППБ 18.25.219</t>
  </si>
  <si>
    <t>Для оконного проёма шириной 1360 мм</t>
  </si>
  <si>
    <t>3.1.1.16</t>
  </si>
  <si>
    <t>Перемычка ППБ 20.25.219</t>
  </si>
  <si>
    <t>Для оконного проёма шириной 1550 мм</t>
  </si>
  <si>
    <t>3.1.1.17</t>
  </si>
  <si>
    <t>Перемычка ППБ 22.25.219</t>
  </si>
  <si>
    <t>Для оконного проёма шириной 1740 мм</t>
  </si>
  <si>
    <t>3.1.1.18</t>
  </si>
  <si>
    <t>Перемычка ППБ 25.25.219</t>
  </si>
  <si>
    <t>Для оконного проёма шириной 1930 мм</t>
  </si>
  <si>
    <t>3.1.1.19</t>
  </si>
  <si>
    <t>Перемычка ППБ 29.25.219</t>
  </si>
  <si>
    <t>Для оконного проёма шириной 2310 мм
Анкеровку к монолитным плитам перекрытия выполнять одним стержнем арматуры марки А500, А500С, диаметром 8 мм, длиной 350 мм, заделка в плиту на 100 мм, на раствор в теле перемычки, не менее двух в пролете.</t>
  </si>
  <si>
    <t>3.1.1.20</t>
  </si>
  <si>
    <t>Перемычка ППБ 31.25.219</t>
  </si>
  <si>
    <t>Для оконного проёма шириной 2690 мм
Анкеровку к монолитным плитам перекрытия выполнять одним стержнем арматуры марки А500, А500С, диаметром 8 мм, длиной 350 мм, заделка в плиту на 100 мм, на раствор в теле перемычки, не менее двух в пролете.</t>
  </si>
  <si>
    <t>3.1.1.21</t>
  </si>
  <si>
    <t>Перемычка из арматурных стержней Ø10</t>
  </si>
  <si>
    <t xml:space="preserve">Прокат арматурный класса А500С в слое ЦПР М100 (опирание 250 мм)
</t>
  </si>
  <si>
    <t>3.1.1.22</t>
  </si>
  <si>
    <t>Перемычка из арматурных стержней Ø12</t>
  </si>
  <si>
    <t>Прокат арматурный класса А500С в слое ЦПР М100 (опирание 250 мм)</t>
  </si>
  <si>
    <t>3.1.1.23</t>
  </si>
  <si>
    <t>Перемычка из уголков 70х70х5</t>
  </si>
  <si>
    <t>Уголки из стали марки С235, размером 70х70х5 (опирание 125 мм на одну сторону):</t>
  </si>
  <si>
    <t xml:space="preserve"> Дополнительные требования к рабочей документации</t>
  </si>
  <si>
    <t>3.1.1.24</t>
  </si>
  <si>
    <t>На планах рабочей документации показывать отверстия:
- от 300 мм для перегородок из ГКЛ
- от 150 мм для стен, перегородок из кирпича, перекрытий из монолита</t>
  </si>
  <si>
    <t>3.2 Наружная отделка, теплоизоляция, архитектурные элементы</t>
  </si>
  <si>
    <t xml:space="preserve"> Стандарт массинга V1.0</t>
  </si>
  <si>
    <t>3.2.0</t>
  </si>
  <si>
    <t>Данный стандарт разработан в соответствии с конструктивными и планировочными решениями.
Версия 1.0 включает в себя следующие блоки:
1. Взаимосвязь каркаса и морфотипов
 - типы каркаса
 - номенклатура пилонов
2. Основные виды массинга
 - нулевая линия фасада
 - массинг Плюс
 - массинг Минус
3. Влияние заполнения каркаса на массинг
 - керамический блок 380х250х219(h)
4. Взаимосвязь каркаса и массинга
5. Использование приемов массинга 
 - первый этаж
 - типовой этаж
 - верхний этаж
 - правила использования переходных пилонов
6. Влияние массинга на расположение жилых / технических надстроек
 - ведомость чистовых размеров террасы
7. Массинг углов секций
 - торец секции С28, открытый квартал
 - углы секции С28
 - углы башни Б50
 - углы башни Б75
8. Схема местной сдвижки пилона</t>
  </si>
  <si>
    <t xml:space="preserve"> Устройство штукатурного фасада Новосибирск</t>
  </si>
  <si>
    <r>
      <rPr>
        <sz val="8"/>
        <rFont val="Arial"/>
      </rPr>
      <t>Система фасадная теплоизоляционная композиционная (СФТК).
Материалы отделки фасада:
Согласно альбома концепции.
Материалы отделки фасада первых этажей: 
Система фасадная теплоизоляционная композиционная (СФТК). 
Согласно альбома концепции.</t>
    </r>
    <r>
      <rPr>
        <sz val="8"/>
        <color rgb="FFFF0000"/>
        <rFont val="Arial"/>
      </rPr>
      <t xml:space="preserve">
</t>
    </r>
    <r>
      <rPr>
        <sz val="8"/>
        <rFont val="Arial"/>
      </rPr>
      <t>В качестве теплоизоляционного слоя применять однослойные плиты из минеральной (каменной) ваты на синтетическом связующем.
Толщина утеплителя:
- Основная плоскость СФТК - 150 мм
- Массинг +50 мм - общая толщина 200 мм
- Массинг +80 мм - общая толщина 230 мм
- Массинг +100 мм - общая толщина 250 мм
- Массинг -20 мм - общая толщина 130 мм
- Подшивка горизонтальных элементов: 
 Рампа/арка - 250 мм,
 Ниша заглубленная/подрезка, нижняя плоскость балкон/эркер - 200 мм. 
- Тамбур:
 Стены - толщина по фасаду
 Потолок - 200 мм
- Стены между автостоянкой и подвалом - 100 мм</t>
    </r>
    <r>
      <rPr>
        <sz val="8"/>
        <color rgb="FFFF0000"/>
        <rFont val="Arial"/>
      </rPr>
      <t xml:space="preserve">
</t>
    </r>
    <r>
      <rPr>
        <sz val="8"/>
        <rFont val="Arial"/>
      </rPr>
      <t>- Деформационный шов - 50 мм
- Парапет - 100 мм
- Подбор толщины и количество слоев утеплителя осуществить согласно решения "</t>
    </r>
    <r>
      <rPr>
        <sz val="8"/>
        <color rgb="FF1155CC"/>
        <rFont val="Arial"/>
      </rPr>
      <t>Правила подбора толщины теплоизоляционного слоя</t>
    </r>
    <r>
      <rPr>
        <sz val="8"/>
        <rFont val="Arial"/>
      </rPr>
      <t>"
- Подшивка потолка арки и рампы Аквапанелью в один уровень, отделка в соответствии с концепцией
Толщину теплоизоляционного слоя (подтвердить расчётом).
Не выполнять архитектурное уменьшение толщины утеплителя на величину более 20 мм от основной толщины утеплителя в зоне расположения пилона и оконного проема.
Не выполнять горизонтальные участки СФТК шириной более 50 мм без дополнительной защиты в виде отлива.</t>
    </r>
  </si>
  <si>
    <t>3.2.1.1</t>
  </si>
  <si>
    <t>Штукатурный фасад</t>
  </si>
  <si>
    <t>С отделкой декоративной штукатуркой</t>
  </si>
  <si>
    <t>3.2.1.2</t>
  </si>
  <si>
    <t>Утеплитель минераловатный в один слой</t>
  </si>
  <si>
    <t xml:space="preserve">Плиты из минеральной (каменной) ваты на синтетическом связующем.
Плиты должны быть закреплены к строительному основанию по всей площади утепления при помощи тарельчатых дюбелей.
Применять плиты со следующими характеристиками:
- группа горючести: НГ
- класс пожарной опасности КМ0
- плотностью не менее 110 кг/м³ </t>
  </si>
  <si>
    <t>3.2.1.3</t>
  </si>
  <si>
    <t>Утеплитель минераловатный в два слоя</t>
  </si>
  <si>
    <t>3.2.1.4</t>
  </si>
  <si>
    <t>Откос штукатурный</t>
  </si>
  <si>
    <t>С отделкой декоративной штукатуркой
Профиль капельник - для армирования и выравнивания штукатурного слоя внешних горизонтальных углов на фасадах зданий при монтаже 
системы теплоизоляции наружных стен зданий с тонким штукатурным слоем в зоне оконных, дверных проемов, выступающих частей фасада и декоративных элементов.
Профиль оконный примыкающий ПВХ - для соединения штукатурки с оконной рамой и препятствия растрескивания штукатурного слоя в 
местах примыканий.</t>
  </si>
  <si>
    <t>3.2.1.5</t>
  </si>
  <si>
    <t xml:space="preserve">Отлив металлический </t>
  </si>
  <si>
    <t>Отлив заводского изготовления с торцевыми заглушками из листовой оцинкованной стали толщиной не менее 1мм</t>
  </si>
  <si>
    <t xml:space="preserve"> Устройство навесного фасада Новосибирск</t>
  </si>
  <si>
    <r>
      <rPr>
        <sz val="8"/>
        <rFont val="Arial"/>
      </rPr>
      <t>Материалы отделки фасада:
Согласно альбома концепции.
Подсистема навесного фасада:
Способ крепления облицовочного материала и тип крепления облицовочного материала:</t>
    </r>
    <r>
      <rPr>
        <sz val="8"/>
        <color rgb="FF93C47D"/>
        <rFont val="Arial"/>
      </rPr>
      <t xml:space="preserve">
</t>
    </r>
    <r>
      <rPr>
        <sz val="8"/>
        <rFont val="Arial"/>
      </rPr>
      <t>Определить проектом, согласно техническим характеристикам отделочных материалов.
В качестве теплоизоляционного слоя системы применять двухслойные плиты из минеральной (каменной) ваты на синтетическом связующем.
Толщина утеплителя:
- Основная плоскость НВФ - 170 мм
- Подшивка горизонтальных элементов: 
 Рампа/арка - 250 мм,
 Ниша заглубленная/подрезка, нижняя плоскость балкон/эркер - 200 мм. 
- Тамбур:
 Стены - толщина по фасаду
 Потолок - 200 мм
- Стены между автостоянкой и подвалом - 100 мм
- Деформационный шов - 50 мм
- Парапет - 100 мм
- Подбор толщины и количество слоев утеплителя осуществить согласно реше</t>
    </r>
    <r>
      <rPr>
        <sz val="8"/>
        <color rgb="FF000000"/>
        <rFont val="Arial"/>
      </rPr>
      <t>н</t>
    </r>
    <r>
      <rPr>
        <sz val="8"/>
        <color rgb="FF1155CC"/>
        <rFont val="Arial"/>
      </rPr>
      <t xml:space="preserve">ия "Правила подбора толщины теплоизоляционного </t>
    </r>
    <r>
      <rPr>
        <sz val="8"/>
        <rFont val="Arial"/>
      </rPr>
      <t>слоя"
- Подшивка потолка арки и рампы Аквапанелью в один уровень, отделка в соответствии с концепцией
Толщину теплоизоляционного слоя (подтвердить расчётом).</t>
    </r>
  </si>
  <si>
    <t>Плиты из минеральной (каменной) ваты на синтетическом связующем.
Плиты должны быть закреплены к строительному основанию по всей площади утепления при помощи тарельчатых дюбелей.
Применять плиты со следующими характеристиками:
- группа горючести: НГ
- класс пожарной опасности КМ0
- плотностью не менее 45 кг/м³ - внутренний слой
- плотностью не менее 90 кг/м³ - наружный слой</t>
  </si>
  <si>
    <t>Откос навесной фасад клинкерный кирпич</t>
  </si>
  <si>
    <t>С отделкой из клинкерного кирпича</t>
  </si>
  <si>
    <t>3.3 Светопрозрачные конструкции</t>
  </si>
  <si>
    <t xml:space="preserve"> Заполнение светопрозрачные конструкции ПВХ профиль, дерево-алюминиевый профиль уникальные квартиры</t>
  </si>
  <si>
    <r>
      <rPr>
        <b/>
        <sz val="8"/>
        <color rgb="FF000000"/>
        <rFont val="Arial"/>
      </rPr>
      <t>Оконные конструкции:</t>
    </r>
    <r>
      <rPr>
        <sz val="8"/>
        <color rgb="FF000000"/>
        <rFont val="Arial"/>
      </rPr>
      <t xml:space="preserve">
Размеры оконных проемов и оконных конструкций принять в соответствии с матрицей оконных проёмов и технического задания на рабочую документацию.
</t>
    </r>
    <r>
      <rPr>
        <b/>
        <sz val="8"/>
        <color rgb="FF000000"/>
        <rFont val="Arial"/>
      </rPr>
      <t>Жилые помещения:</t>
    </r>
    <r>
      <rPr>
        <sz val="8"/>
        <color rgb="FF000000"/>
        <rFont val="Arial"/>
      </rPr>
      <t xml:space="preserve">
Оконные конструкции и балконных конструкций для типовых этажей из ПВХ профиля. 
Цвет профиля со стороны фасада </t>
    </r>
    <r>
      <rPr>
        <sz val="8"/>
        <color rgb="FF000000"/>
        <rFont val="Arial"/>
      </rPr>
      <t>"цвет" RAL.согласно альбома концепции,</t>
    </r>
    <r>
      <rPr>
        <sz val="8"/>
        <color rgb="FF000000"/>
        <rFont val="Arial"/>
      </rPr>
      <t xml:space="preserve"> со стороны квартиры белый RAL Classic 9003.
Стеклопакет двухкамерный с солнцезащитным отражающим покрытием, нейтрального оттенка*. 
</t>
    </r>
    <r>
      <rPr>
        <b/>
        <sz val="8"/>
        <color rgb="FF000000"/>
        <rFont val="Arial"/>
      </rPr>
      <t>Особенные, уникальные квартиры</t>
    </r>
    <r>
      <rPr>
        <sz val="8"/>
        <color rgb="FF000000"/>
        <rFont val="Arial"/>
      </rPr>
      <t xml:space="preserve"> (двухуровневые квартиры, квартиры с отдельным входом и квартиры с надстройкой на последних этажах) оконные конструкции из дерево - алюминиевого профиля, со стороны квартиры цвет профиля белый RAL Classic 9003. Стеклопакет двухкамерный с солнцезащитным отражающим покрытием, нейтрального оттенка*. 
Размеры створки в ПВХ профиле (в том числе балконной двери): ширина до 850 мм, высота до 2300 мм. Длина горизонтального импоста в ПВХ профиле не более 1600 м. 
</t>
    </r>
    <r>
      <rPr>
        <b/>
        <sz val="8"/>
        <color rgb="FF000000"/>
        <rFont val="Arial"/>
      </rPr>
      <t>Подоконные плиты:</t>
    </r>
    <r>
      <rPr>
        <sz val="8"/>
        <color rgb="FF000000"/>
        <rFont val="Arial"/>
      </rPr>
      <t xml:space="preserve">
В МОП: согласно рабочей документации интерьеров МОП
В квартирах и помещениях общественного назначения: подоконные плиты отсутствуют.
</t>
    </r>
    <r>
      <rPr>
        <b/>
        <sz val="8"/>
        <color rgb="FF000000"/>
        <rFont val="Arial"/>
      </rPr>
      <t>Витражи:</t>
    </r>
    <r>
      <rPr>
        <sz val="8"/>
        <color rgb="FF000000"/>
        <rFont val="Arial"/>
      </rPr>
      <t xml:space="preserve">
Коммерческие помещения:
Витражные конструкции из алюминиевого профиля со стеклопакетом солнцезащитного стекла с отражающим покрытием нейтрального оттенка*. 
Цвет профиля со стороны фасада и со стороны помещения </t>
    </r>
    <r>
      <rPr>
        <sz val="8"/>
        <color rgb="FF000000"/>
        <rFont val="Arial"/>
      </rPr>
      <t>"цвет" RAL согласно альбома концепции</t>
    </r>
    <r>
      <rPr>
        <sz val="8"/>
        <color rgb="FF000000"/>
        <rFont val="Arial"/>
      </rPr>
      <t xml:space="preserve">, со стороны коммерческого помещения белый RAL Classic 9003.
Стеклопакет двухкамерный с солнцезащитным отражающим покрытием, нейтрального оттенка*.
Предусмотреть ламель для притока воздуха для коммерческих помещений в необходимом количестве для обеспечения вентиляции.
</t>
    </r>
    <r>
      <rPr>
        <b/>
        <sz val="8"/>
        <color rgb="FF000000"/>
        <rFont val="Arial"/>
      </rPr>
      <t>Входные группы (витражи):</t>
    </r>
    <r>
      <rPr>
        <sz val="8"/>
        <color rgb="FF000000"/>
        <rFont val="Arial"/>
      </rPr>
      <t xml:space="preserve">
Первая линия - Витражные конструкции из алюминиевого профиля с двухкамерным стеклопакетом солнцезащитного стекла с отражающим покрытием нейтрального оттенка*
Вторая линия - Витражные конструкции из алюминиевого профиля с двухкамерным стеклопакетом энергоэффективным стеклом
Цвет профиля со стороны фасада и со стороны помещения </t>
    </r>
    <r>
      <rPr>
        <sz val="8"/>
        <color rgb="FF000000"/>
        <rFont val="Arial"/>
      </rPr>
      <t>"цвет" RAL согласно альбома концепции</t>
    </r>
    <r>
      <rPr>
        <sz val="8"/>
        <color rgb="FF000000"/>
        <rFont val="Arial"/>
      </rPr>
      <t>.
Первая линия - теплая система, вторая линия - теплая система.
Примечание: параметры стеклопакетов и тип стекла уточнить проектом и согласовать с заказчиком.</t>
    </r>
  </si>
  <si>
    <t>3.3.1.1</t>
  </si>
  <si>
    <t xml:space="preserve">Окно ПВХ 860х1765 </t>
  </si>
  <si>
    <t>Двухкамерный стеклопакет, стекло с энергоэффективным покрытием.</t>
  </si>
  <si>
    <t>3.3.1.2</t>
  </si>
  <si>
    <t>Окно ПВХ 860х2030</t>
  </si>
  <si>
    <t>3.3.1.3</t>
  </si>
  <si>
    <t>Окно ПВХ 860х2510</t>
  </si>
  <si>
    <t>3.3.1.4</t>
  </si>
  <si>
    <t xml:space="preserve">Окно ПВХ 960х1765 </t>
  </si>
  <si>
    <t>3.3.1.5</t>
  </si>
  <si>
    <t xml:space="preserve">Окно ПВХ 1260х1765 </t>
  </si>
  <si>
    <t>3.3.1.6</t>
  </si>
  <si>
    <t>Окно ПВХ 1260х2030</t>
  </si>
  <si>
    <t>3.3.1.7</t>
  </si>
  <si>
    <t>Окно ПВХ 1260х2510</t>
  </si>
  <si>
    <t>3.3.1.8</t>
  </si>
  <si>
    <t xml:space="preserve">Окно ПВХ 1450х1765 </t>
  </si>
  <si>
    <t>3.3.1.9</t>
  </si>
  <si>
    <t>Окно ПВХ 1450х2030</t>
  </si>
  <si>
    <t>3.3.1.10</t>
  </si>
  <si>
    <t>Окно ПВХ 1450х2510</t>
  </si>
  <si>
    <t>3.3.1.11</t>
  </si>
  <si>
    <t xml:space="preserve">Окно ПВХ 1640х1765 </t>
  </si>
  <si>
    <t>3.3.1.12</t>
  </si>
  <si>
    <t>Окно ПВХ 1640х2030</t>
  </si>
  <si>
    <t>3.3.1.13</t>
  </si>
  <si>
    <t>Окно ПВХ 1640х2510</t>
  </si>
  <si>
    <t>3.3.1.14</t>
  </si>
  <si>
    <t xml:space="preserve">Окно ПВХ 1830х1765 </t>
  </si>
  <si>
    <t>3.3.1.15</t>
  </si>
  <si>
    <t>Окно ПВХ 1830х2030</t>
  </si>
  <si>
    <t>3.3.1.16</t>
  </si>
  <si>
    <t>Окно ПВХ 1830х2510</t>
  </si>
  <si>
    <t>3.3.1.17</t>
  </si>
  <si>
    <t xml:space="preserve">Окно ПВХ 2210х1765 </t>
  </si>
  <si>
    <t>3.3.1.18</t>
  </si>
  <si>
    <t>Окно ПВХ 2210х2030</t>
  </si>
  <si>
    <t>3.3.1.19</t>
  </si>
  <si>
    <t>Окно ПВХ 2210х2510</t>
  </si>
  <si>
    <t>3.3.1.20</t>
  </si>
  <si>
    <t xml:space="preserve">Окно ПВХ 2590х1765 </t>
  </si>
  <si>
    <t>3.3.1.21</t>
  </si>
  <si>
    <t>Окно ПВХ 2590х2030</t>
  </si>
  <si>
    <t>3.3.1.22</t>
  </si>
  <si>
    <t>Окно ПВХ 2590х2510</t>
  </si>
  <si>
    <t>3.3.1.23</t>
  </si>
  <si>
    <t>Окно дерево-алюминий 860х1765</t>
  </si>
  <si>
    <t>3.3.1.24</t>
  </si>
  <si>
    <t>Окно дерево-алюминий 860х2030</t>
  </si>
  <si>
    <t>3.3.1.25</t>
  </si>
  <si>
    <t>Окно дерево-алюминий 860х2510</t>
  </si>
  <si>
    <t>3.3.1.26</t>
  </si>
  <si>
    <t>Окно дерево-алюминий 960х1765</t>
  </si>
  <si>
    <t>3.3.1.27</t>
  </si>
  <si>
    <t>Окно дерево-алюминий 1260х1765</t>
  </si>
  <si>
    <t>3.3.1.28</t>
  </si>
  <si>
    <t>Окно дерево-алюминий 1260х2030</t>
  </si>
  <si>
    <t>3.3.1.29</t>
  </si>
  <si>
    <t>Окно дерево-алюминий 1260х2510</t>
  </si>
  <si>
    <t>3.3.1.30</t>
  </si>
  <si>
    <t>Окно дерево-алюминий 1450х1765</t>
  </si>
  <si>
    <t>3.3.1.31</t>
  </si>
  <si>
    <t>Окно дерево-алюминий 1450х2030</t>
  </si>
  <si>
    <t>3.3.1.32</t>
  </si>
  <si>
    <t>Окно дерево-алюминий 1450х2510</t>
  </si>
  <si>
    <t>3.3.1.33</t>
  </si>
  <si>
    <t>Окно дерево-алюминий 1640х1765</t>
  </si>
  <si>
    <t>3.3.1.34</t>
  </si>
  <si>
    <t>Окно дерево-алюминий 1640х2030</t>
  </si>
  <si>
    <t>3.3.1.35</t>
  </si>
  <si>
    <t>Окно дерево-алюминий 1640х2510</t>
  </si>
  <si>
    <t>3.3.1.36</t>
  </si>
  <si>
    <t>Окно дерево-алюминий 1830х1765</t>
  </si>
  <si>
    <t>3.3.1.37</t>
  </si>
  <si>
    <t>Окно дерево-алюминий 1830х2030</t>
  </si>
  <si>
    <t>3.3.1.38</t>
  </si>
  <si>
    <t>Окно дерево-алюминий 1830х2510</t>
  </si>
  <si>
    <t>3.3.1.39</t>
  </si>
  <si>
    <t>Окно дерево-алюминий 2210х1765</t>
  </si>
  <si>
    <t>3.3.1.40</t>
  </si>
  <si>
    <t>Окно дерево-алюминий 2210х2030</t>
  </si>
  <si>
    <t>3.3.1.41</t>
  </si>
  <si>
    <t>Окно дерево-алюминий 2210х2510</t>
  </si>
  <si>
    <t>3.3.1.42</t>
  </si>
  <si>
    <t>Окно дерево-алюминий 2590х1765</t>
  </si>
  <si>
    <t>3.3.1.43</t>
  </si>
  <si>
    <t>Окно дерево-алюминий 2590х2030</t>
  </si>
  <si>
    <t>3.3.1.44</t>
  </si>
  <si>
    <t>Окно дерево-алюминий 2590х2510</t>
  </si>
  <si>
    <t>3.3.1.45</t>
  </si>
  <si>
    <t>Витраж наружный теплый</t>
  </si>
  <si>
    <r>
      <rPr>
        <sz val="8"/>
        <color theme="1"/>
        <rFont val="Arial"/>
      </rPr>
      <t xml:space="preserve">Первая линия остекления входной группы.
</t>
    </r>
    <r>
      <rPr>
        <sz val="8"/>
        <color theme="1"/>
        <rFont val="Arial"/>
      </rPr>
      <t>Двухкамерный стеклопакет, стекло с энергоэффективным покрытием.</t>
    </r>
  </si>
  <si>
    <t>3.3.1.46</t>
  </si>
  <si>
    <t>Витраж наружный холодный</t>
  </si>
  <si>
    <r>
      <rPr>
        <sz val="8"/>
        <color theme="1"/>
        <rFont val="Arial"/>
      </rPr>
      <t xml:space="preserve">Остекление лоджии, балкона.
</t>
    </r>
    <r>
      <rPr>
        <sz val="8"/>
        <color theme="1"/>
        <rFont val="Arial"/>
      </rPr>
      <t>Однокамерный стеклопакет, стекло с энергоэффективным покрытием.</t>
    </r>
  </si>
  <si>
    <t>3.3.1.47</t>
  </si>
  <si>
    <t>Витраж внутренний теплый</t>
  </si>
  <si>
    <r>
      <rPr>
        <sz val="8"/>
        <color theme="1"/>
        <rFont val="Arial"/>
      </rPr>
      <t xml:space="preserve">Вторая линия остекления входной группы.
</t>
    </r>
    <r>
      <rPr>
        <sz val="8"/>
        <color theme="1"/>
        <rFont val="Arial"/>
      </rPr>
      <t>Двухкамерный стеклопакет.</t>
    </r>
  </si>
  <si>
    <t>3.3.1.48</t>
  </si>
  <si>
    <t>Витраж внутренний холодный</t>
  </si>
  <si>
    <r>
      <rPr>
        <sz val="8"/>
        <color theme="1"/>
        <rFont val="Arial"/>
      </rPr>
      <t xml:space="preserve">Перегородка (раздвижка) внутри теплой лоджии.
</t>
    </r>
    <r>
      <rPr>
        <sz val="8"/>
        <color theme="1"/>
        <rFont val="Arial"/>
      </rPr>
      <t>Однокамерный стеклопакет.</t>
    </r>
  </si>
  <si>
    <t>3.4 Двери, ворота</t>
  </si>
  <si>
    <t xml:space="preserve"> Заполнение дверных проёмов С28, УВ28, С50, Б50</t>
  </si>
  <si>
    <t>Заполнение дверных проёмов выполнить согласно технического задания на рабочую документацию (пп. 3.4.1.1-3.4.1.20).</t>
  </si>
  <si>
    <t>3.4.1.1</t>
  </si>
  <si>
    <t>Дверной блок стальной внутренний однопольный открывание наружу EIS30 1250х2100(h)</t>
  </si>
  <si>
    <r>
      <rPr>
        <b/>
        <sz val="8"/>
        <color theme="1"/>
        <rFont val="Arial"/>
      </rPr>
      <t xml:space="preserve">- 1 этаж: 
</t>
    </r>
    <r>
      <rPr>
        <sz val="8"/>
        <color theme="1"/>
        <rFont val="Arial"/>
      </rPr>
      <t>● Лестничная клетка (вход из тамбур шлюза)</t>
    </r>
    <r>
      <rPr>
        <b/>
        <sz val="8"/>
        <color theme="1"/>
        <rFont val="Arial"/>
      </rPr>
      <t xml:space="preserve">
</t>
    </r>
    <r>
      <rPr>
        <sz val="8"/>
        <color theme="1"/>
        <rFont val="Arial"/>
      </rPr>
      <t>ДСВ-О-Н-EIS30 1250х2100(h)
Размер строительного проема 1250х2100(h)мм
Размер светового проема 1050х2000(h)мм при открытой створке на 90°</t>
    </r>
  </si>
  <si>
    <t>3.4.1.2</t>
  </si>
  <si>
    <t>Дверной блок стальной внутренний однопольный открывание наружу EIS30 1100х2100(h)</t>
  </si>
  <si>
    <r>
      <rPr>
        <b/>
        <sz val="8"/>
        <color theme="1"/>
        <rFont val="Arial"/>
      </rPr>
      <t xml:space="preserve">- 1 этаж: 
</t>
    </r>
    <r>
      <rPr>
        <sz val="8"/>
        <color theme="1"/>
        <rFont val="Arial"/>
      </rPr>
      <t>● Тамбур - шлюз (вход из технического помещения)</t>
    </r>
    <r>
      <rPr>
        <b/>
        <sz val="8"/>
        <color theme="1"/>
        <rFont val="Arial"/>
      </rPr>
      <t xml:space="preserve">
</t>
    </r>
    <r>
      <rPr>
        <sz val="8"/>
        <color theme="1"/>
        <rFont val="Arial"/>
      </rPr>
      <t>ДСВ-О-Н-EIS30 1100х2100(h)
Размер строительного проема 1100х2100(h)мм
Размер светового проема 900х2000(h)мм при открытой створке на 90°</t>
    </r>
  </si>
  <si>
    <t>3.4.1.3</t>
  </si>
  <si>
    <t>Дверной блок стальной внутренний однопольный открывание наружу EI30 1100х2100(h)</t>
  </si>
  <si>
    <r>
      <rPr>
        <b/>
        <sz val="8"/>
        <color theme="1"/>
        <rFont val="Arial"/>
      </rPr>
      <t xml:space="preserve">- 1 этаж: </t>
    </r>
    <r>
      <rPr>
        <sz val="8"/>
        <color theme="1"/>
        <rFont val="Arial"/>
      </rPr>
      <t xml:space="preserve">
● Насосная хозяйственно - питьевая
● Насосная пожаротушения
● Помещение сетей связи
● Электрощитовая
● ИТП
● КУИ
ДСВ-О-Н-EI30 1100х2100(h)
Размер строительного проема 1100х2100(h)мм
Размер светового проема 900х2000(h)мм при открытой створке на 90°</t>
    </r>
  </si>
  <si>
    <t>3.4.1.4</t>
  </si>
  <si>
    <t>Дверной блок стальной внутренний однопольный открывание наружу EI60 1100х2100(h)</t>
  </si>
  <si>
    <r>
      <rPr>
        <b/>
        <sz val="8"/>
        <color theme="1"/>
        <rFont val="Arial"/>
      </rPr>
      <t xml:space="preserve">- 1 этаж: </t>
    </r>
    <r>
      <rPr>
        <sz val="8"/>
        <color theme="1"/>
        <rFont val="Arial"/>
      </rPr>
      <t xml:space="preserve">
● Венткамера
● Вход в блок кладовых/Двери между секциями
● Кладовая (отдельная)
ДСВ-О-Н-EI60 1100х2100(h)
Размер строительного проема 1100х2100(h)мм
Размер светового проема 900х2000(h)мм при открытой створке на 90°</t>
    </r>
  </si>
  <si>
    <t>3.4.1.5</t>
  </si>
  <si>
    <t>Дверной блок стальной внутренний однопольный открывание наружу 850х2100(h)</t>
  </si>
  <si>
    <r>
      <rPr>
        <b/>
        <sz val="8"/>
        <color theme="1"/>
        <rFont val="Arial"/>
      </rPr>
      <t xml:space="preserve">- 1 этаж: </t>
    </r>
    <r>
      <rPr>
        <sz val="8"/>
        <color theme="1"/>
        <rFont val="Arial"/>
      </rPr>
      <t xml:space="preserve">
● Кладовая в блоке
ДСВ-О-Н 850х2100(h)
Размер строительного проема 850х2100(h)мм
Размер светового проема 700х2000(h)мм при открытой створке на 90°</t>
    </r>
  </si>
  <si>
    <t>3.4.1.6</t>
  </si>
  <si>
    <t>Дверной блок внутренний однопольный открывание наружу 1100х2400(h) - скрытого монтажа под отделку</t>
  </si>
  <si>
    <r>
      <rPr>
        <b/>
        <sz val="8"/>
        <color theme="1"/>
        <rFont val="Arial"/>
      </rPr>
      <t xml:space="preserve">1 этаж: </t>
    </r>
    <r>
      <rPr>
        <sz val="8"/>
        <color theme="1"/>
        <rFont val="Arial"/>
      </rPr>
      <t xml:space="preserve">
● Санузел (МОП)
ДС-О-Н 1100х2400(h)
Размер строительного проема 1100х2400(h)мм
Размер светового проема 900х2300(h)мм при открытой створке на 90°</t>
    </r>
  </si>
  <si>
    <t>3.4.1.7</t>
  </si>
  <si>
    <t>Дверной блок стальной внутренний однопольный открывание наружу 1050х2440(h)</t>
  </si>
  <si>
    <r>
      <rPr>
        <b/>
        <sz val="8"/>
        <color theme="1"/>
        <rFont val="Arial"/>
      </rPr>
      <t>1 этаж, типовой этаж:</t>
    </r>
    <r>
      <rPr>
        <sz val="8"/>
        <color theme="1"/>
        <rFont val="Arial"/>
      </rPr>
      <t xml:space="preserve"> 
● Квартира (вход из межквартирного коридора)
ДСВ-О-Н 1050х2440(h)
Размер строительного проема 1050х2440(h)мм
Размер светового проема 900х2300(h)мм при открытой створке на 90°</t>
    </r>
  </si>
  <si>
    <t>3.4.1.8</t>
  </si>
  <si>
    <t>Дверной блок стальной внутренний однопольный открывание наружу EI30 1050х2440(h)</t>
  </si>
  <si>
    <r>
      <rPr>
        <b/>
        <sz val="8"/>
        <color theme="1"/>
        <rFont val="Arial"/>
      </rPr>
      <t>1 этаж, типовой этаж:</t>
    </r>
    <r>
      <rPr>
        <sz val="8"/>
        <color theme="1"/>
        <rFont val="Arial"/>
      </rPr>
      <t xml:space="preserve"> 
● Квартира (вход из межквартирного коридора) - при особых условиях
ДСВ-О-Н EI30 1050х2440(h)
Размер строительного проема 1050х2440(h)мм
Размер светового проема 900х2300(h)мм при открытой створке на 90°</t>
    </r>
  </si>
  <si>
    <t>3.4.1.9</t>
  </si>
  <si>
    <t>Дверной блок стальной внутренний однопольный открывание внутрь EIS30 1250х2400(h)</t>
  </si>
  <si>
    <r>
      <rPr>
        <b/>
        <sz val="8"/>
        <color theme="1"/>
        <rFont val="Arial"/>
      </rPr>
      <t>Типовой этаж:</t>
    </r>
    <r>
      <rPr>
        <sz val="8"/>
        <color theme="1"/>
        <rFont val="Arial"/>
      </rPr>
      <t xml:space="preserve"> 
● Лестница Н2 (вход из ЛХ)
● Лифтовой холл Н2 (вход из межквартирного коридора)
ДСВ-О-Вн-EIS30 1250х2400(h)
Размер строительного проема 1250х2400(h)мм
Размер светового проема 1050х2300(h)мм при открытой створке на 90°</t>
    </r>
  </si>
  <si>
    <t>3.4.1.10</t>
  </si>
  <si>
    <t>Дверной блок стальной внутренний однопольный открывание внутрь EI30 1250х2400(h)</t>
  </si>
  <si>
    <r>
      <rPr>
        <b/>
        <sz val="8"/>
        <color theme="1"/>
        <rFont val="Arial"/>
      </rPr>
      <t xml:space="preserve">Типовой этаж: </t>
    </r>
    <r>
      <rPr>
        <sz val="8"/>
        <color theme="1"/>
        <rFont val="Arial"/>
      </rPr>
      <t xml:space="preserve">
● Лестница Л1 (вход из ЛХ)
ДСВ-О-Вн-EI30 1250х2400(h)
Размер строительного проема 1250х2400(h)мм
Размер светового проема 1050х2300(h)мм при открытой створке на 90°</t>
    </r>
  </si>
  <si>
    <t>3.4.1.11</t>
  </si>
  <si>
    <t>Дверной блок стальной наружный однопольный открывание наружу EI30 1100х1900(h)</t>
  </si>
  <si>
    <r>
      <rPr>
        <b/>
        <sz val="8"/>
        <color theme="1"/>
        <rFont val="Arial"/>
      </rPr>
      <t xml:space="preserve">Технический этаж (надстройка): </t>
    </r>
    <r>
      <rPr>
        <sz val="8"/>
        <color theme="1"/>
        <rFont val="Arial"/>
      </rPr>
      <t xml:space="preserve">
● Кровля (вход в лестничную клетку)
● Технический этаж (чердак)
ДСН-О-Н-EI30 1100х1900(h)
Размер строительного проема 1100х1900(h)мм
Размер светового проема 900х1800(h)мм при открытой створке на 90°</t>
    </r>
  </si>
  <si>
    <t>3.4.1.12</t>
  </si>
  <si>
    <t>Дверной блок стальной наружный однопольный открывание наружу EI60 1100х1900(h)</t>
  </si>
  <si>
    <r>
      <rPr>
        <b/>
        <sz val="8"/>
        <color theme="1"/>
        <rFont val="Arial"/>
      </rPr>
      <t xml:space="preserve">Технический этаж (надстройка, без надстройки): </t>
    </r>
    <r>
      <rPr>
        <sz val="8"/>
        <color theme="1"/>
        <rFont val="Arial"/>
      </rPr>
      <t xml:space="preserve">
● Вентиляционная камера
ДСВ-О-Н-EI60 1100х1900(h)
Размер строительного проема 1100х1900(h)мм
Размер светового проема 900х1800(h)мм при открытой створке на 90°</t>
    </r>
  </si>
  <si>
    <t>3.4.1.13</t>
  </si>
  <si>
    <r>
      <rPr>
        <b/>
        <sz val="8"/>
        <color theme="1"/>
        <rFont val="Arial"/>
      </rPr>
      <t>Технический этаж (без надстройки):</t>
    </r>
    <r>
      <rPr>
        <sz val="8"/>
        <color theme="1"/>
        <rFont val="Arial"/>
      </rPr>
      <t xml:space="preserve"> 
● Кровля (вход в лестничную клетку)
● Технический этаж (чердак)
ДСН-О-Н-EI30 1100х1900(h)
Размер строительного проема 1100х1900(h)мм
Размер светового проема 900х1800(h)мм при открытой створке на 90°</t>
    </r>
  </si>
  <si>
    <t>3.4.1.14</t>
  </si>
  <si>
    <t>Дверной блок алюминиевый наружный однопольный открывание наружу 1300х2400(h)</t>
  </si>
  <si>
    <r>
      <rPr>
        <b/>
        <sz val="8"/>
        <color theme="1"/>
        <rFont val="Arial"/>
      </rPr>
      <t xml:space="preserve">- 1 этаж: </t>
    </r>
    <r>
      <rPr>
        <sz val="8"/>
        <color theme="1"/>
        <rFont val="Arial"/>
      </rPr>
      <t xml:space="preserve">
● Лестница (выход на улицу с -1 этажа (количество не более 50 человек, расчет пожарных рисков на ширину прохода)
● Лестница (выход на улицу из жилья)
● Инженерные помещения
ДАН-О-Н 1300х2400(h)
Размер строительного проема 1300х2400(h)мм
Размер светового проема 1050х2250(h)мм при открытой створке на 90°</t>
    </r>
  </si>
  <si>
    <t>3.4.1.15</t>
  </si>
  <si>
    <t>Дверной блок алюминиевый внутренний однопольный открывание наружу EIWS60 1300х2100(h)</t>
  </si>
  <si>
    <r>
      <rPr>
        <b/>
        <sz val="8"/>
        <color theme="1"/>
        <rFont val="Arial"/>
      </rPr>
      <t xml:space="preserve">- 1 этаж: </t>
    </r>
    <r>
      <rPr>
        <sz val="8"/>
        <color theme="1"/>
        <rFont val="Arial"/>
      </rPr>
      <t xml:space="preserve">
● Лифтовой холл (вход из паркинга через тамбур-шлюз) 
● Тамбур-шлюз (лестница)
● Тамбур-шлюз (вход из паркинга)
ДАВ-О-Н-EIWS60 1300х2100(h)
Размер строительного проема 1300х2100(h)мм
Размер светового проема 1050х1950((h)мм при открытой створке на 90° </t>
    </r>
  </si>
  <si>
    <t>3.4.1.16</t>
  </si>
  <si>
    <t>Дверной блок алюминиевый внутренний однопольный открывание наружу EIW30 1150х2100(h)</t>
  </si>
  <si>
    <r>
      <rPr>
        <b/>
        <sz val="8"/>
        <color theme="1"/>
        <rFont val="Arial"/>
      </rPr>
      <t xml:space="preserve">- 1 этаж: </t>
    </r>
    <r>
      <rPr>
        <sz val="8"/>
        <color theme="1"/>
        <rFont val="Arial"/>
      </rPr>
      <t xml:space="preserve">
● Велосипедная
ДАВ-О-Н-EIW30 1150х2100(h)
Размер строительного проема 1150х2100(h)мм
Размер светового проема 900х1950((h)мм при открытой створке на 90°</t>
    </r>
  </si>
  <si>
    <t>3.4.1.17</t>
  </si>
  <si>
    <t>Дверной блок алюминиевый внутренний однопольный открывание наружу или внутрь 1300х2400(h)</t>
  </si>
  <si>
    <r>
      <rPr>
        <b/>
        <sz val="8"/>
        <color theme="1"/>
        <rFont val="Arial"/>
      </rPr>
      <t xml:space="preserve">1 этаж: </t>
    </r>
    <r>
      <rPr>
        <sz val="8"/>
        <color theme="1"/>
        <rFont val="Arial"/>
      </rPr>
      <t xml:space="preserve">
● Колясочная
ДАВ-О-Н(В) 1300х2400(h)
Размер строительного проема 1300х2400(h)мм
Размер светового проема 1050х2250((h)мм при открытой створке на 90°</t>
    </r>
  </si>
  <si>
    <t>3.4.1.18</t>
  </si>
  <si>
    <t>Дверной блок алюминиевый внутренний однопольный открывание наружу 1300х2400(h)</t>
  </si>
  <si>
    <r>
      <rPr>
        <b/>
        <sz val="8"/>
        <color theme="1"/>
        <rFont val="Arial"/>
      </rPr>
      <t xml:space="preserve">1 этаж: </t>
    </r>
    <r>
      <rPr>
        <sz val="8"/>
        <color theme="1"/>
        <rFont val="Arial"/>
      </rPr>
      <t xml:space="preserve">
● Межквартирный коридор 
ДАВ-О-Н 1300х2400(h)
Размер строительного проема 1300х2400(h)мм
Размер светового проема 1050х2250((h)мм при открытой створке на 90° </t>
    </r>
  </si>
  <si>
    <t>3.4.1.19</t>
  </si>
  <si>
    <t>Дверной блок алюминиевый внутренний однопольный открывание внутрь EIW30 1300х2400(h)</t>
  </si>
  <si>
    <r>
      <rPr>
        <b/>
        <sz val="8"/>
        <color theme="1"/>
        <rFont val="Arial"/>
      </rPr>
      <t xml:space="preserve">1 этаж: </t>
    </r>
    <r>
      <rPr>
        <sz val="8"/>
        <color theme="1"/>
        <rFont val="Arial"/>
      </rPr>
      <t xml:space="preserve">
● Лестница (выход из жилья в тамбур) до 50 м, 50T в квартале
ДАВ-О-Вн-EIW30 1300х2400(h)
Размер строительного проема 1300х2400(h)мм
Размер светового проема 1050х2250((h)мм при открытой створке на 90° </t>
    </r>
  </si>
  <si>
    <t>3.4.1.20</t>
  </si>
  <si>
    <t>Дверной блок алюминиевый наружный однопольный открывание наружу 1150х2400(h)</t>
  </si>
  <si>
    <r>
      <rPr>
        <b/>
        <sz val="8"/>
        <color theme="1"/>
        <rFont val="Arial"/>
      </rPr>
      <t xml:space="preserve">1 этаж: </t>
    </r>
    <r>
      <rPr>
        <sz val="8"/>
        <color theme="1"/>
        <rFont val="Arial"/>
      </rPr>
      <t xml:space="preserve">
● Квартира (наружный фасад)
ДАН-О-Н 1250х3765(h)
Размер строительного проема 1250х3765(h)мм
Размер светового проема 905х2300((h)мм при открытой створке на 90°</t>
    </r>
  </si>
  <si>
    <t xml:space="preserve"> Заполнение дверных проёмов Б75</t>
  </si>
  <si>
    <t>Заполнение дверных проёмов выполнить согласно технического задания на рабочую документацию (п 3.4.1.1 - 3.4.1.17).</t>
  </si>
  <si>
    <r>
      <rPr>
        <b/>
        <sz val="8"/>
        <color theme="1"/>
        <rFont val="Arial"/>
      </rPr>
      <t xml:space="preserve">- 1 этаж: 
</t>
    </r>
    <r>
      <rPr>
        <sz val="8"/>
        <color theme="1"/>
        <rFont val="Arial"/>
      </rPr>
      <t>● Лестничная клетка (вход из тамбур шлюза)</t>
    </r>
    <r>
      <rPr>
        <b/>
        <sz val="8"/>
        <color theme="1"/>
        <rFont val="Arial"/>
      </rPr>
      <t xml:space="preserve">
</t>
    </r>
    <r>
      <rPr>
        <sz val="8"/>
        <color theme="1"/>
        <rFont val="Arial"/>
      </rPr>
      <t>ДСВ-О-Н-EIS30 1250х2100(h)
Размер строительного проема 1250х2100(h)мм
Размер светового проема 1050х2000(h)мм при открытой створке на 90°</t>
    </r>
  </si>
  <si>
    <r>
      <rPr>
        <b/>
        <sz val="8"/>
        <color theme="1"/>
        <rFont val="Arial"/>
      </rPr>
      <t xml:space="preserve">- 1 этаж: </t>
    </r>
    <r>
      <rPr>
        <sz val="8"/>
        <color theme="1"/>
        <rFont val="Arial"/>
      </rPr>
      <t xml:space="preserve">
● Тамбур - шлюз (вход из технического помещения)
ДСВ-О-Н-EIS30 1100х2100(h)
Размер строительного проема 1100х2100(h)мм
Размер светового проема 900х2000(h)мм при открытой створке на 90°</t>
    </r>
  </si>
  <si>
    <r>
      <rPr>
        <b/>
        <sz val="8"/>
        <color theme="1"/>
        <rFont val="Arial"/>
      </rPr>
      <t xml:space="preserve">- 1 этаж: </t>
    </r>
    <r>
      <rPr>
        <sz val="8"/>
        <color theme="1"/>
        <rFont val="Arial"/>
      </rPr>
      <t xml:space="preserve">
● Насосная хозяйственно - питьевая
● Насосная пожаротушения
● Помещение сетей связи
● Электрощитовая
● ИТП
● КУИ
ДСВ-О-Н-EI30 1100х2100(h)
Размер строительного проема 1100х2100(h)мм
Размер светового проема 900х2000(h)мм при открытой створке на 90°</t>
    </r>
  </si>
  <si>
    <r>
      <rPr>
        <b/>
        <sz val="8"/>
        <color theme="1"/>
        <rFont val="Arial"/>
      </rPr>
      <t xml:space="preserve">- 1 этаж: </t>
    </r>
    <r>
      <rPr>
        <sz val="8"/>
        <color theme="1"/>
        <rFont val="Arial"/>
      </rPr>
      <t xml:space="preserve">
● Отдельная кладовая
● Блок кладовых/Двери между секциями
● Венткамера
ДСВ-О-Н-EI60 1100х2100(h)
Размер строительного проема 1100х2100(h)мм
Размер светового проема 900х2000(h)мм при открытой створке на 90°</t>
    </r>
  </si>
  <si>
    <r>
      <rPr>
        <b/>
        <sz val="8"/>
        <color theme="1"/>
        <rFont val="Arial"/>
      </rPr>
      <t xml:space="preserve">- 1 этаж: </t>
    </r>
    <r>
      <rPr>
        <sz val="8"/>
        <color theme="1"/>
        <rFont val="Arial"/>
      </rPr>
      <t xml:space="preserve">
● Кладовая в блоке
ДСВ-О-Н 850х2100(h)
Размер строительного проема 850х2100(h)мм
Размер светового проема 700х2000(h)мм при открытой створке на 90°</t>
    </r>
  </si>
  <si>
    <r>
      <rPr>
        <b/>
        <sz val="8"/>
        <color theme="1"/>
        <rFont val="Arial"/>
      </rPr>
      <t xml:space="preserve">1 этаж: </t>
    </r>
    <r>
      <rPr>
        <sz val="8"/>
        <color theme="1"/>
        <rFont val="Arial"/>
      </rPr>
      <t xml:space="preserve">
● Санузел (МОП)
ДС-О-Н 1100х2400(h)
Размер строительного проема 1100х2400(h)мм
Размер светового проема 900х2300(h)мм при открытой створке на 90°</t>
    </r>
  </si>
  <si>
    <r>
      <rPr>
        <b/>
        <sz val="8"/>
        <color theme="1"/>
        <rFont val="Arial"/>
      </rPr>
      <t>1 этаж, типовой этаж:</t>
    </r>
    <r>
      <rPr>
        <sz val="8"/>
        <color theme="1"/>
        <rFont val="Arial"/>
      </rPr>
      <t xml:space="preserve"> 
● Квартира (вход из межквартирного коридора)
ДСВ-О-Н 1050х2440(h)
Размер строительного проема 1050х2440(h)мм
Размер светового проема 900х2300(h)мм при открытой створке на 90°</t>
    </r>
  </si>
  <si>
    <r>
      <rPr>
        <b/>
        <sz val="8"/>
        <color theme="1"/>
        <rFont val="Arial"/>
      </rPr>
      <t>1 этаж, типовой этаж:</t>
    </r>
    <r>
      <rPr>
        <sz val="8"/>
        <color theme="1"/>
        <rFont val="Arial"/>
      </rPr>
      <t xml:space="preserve"> 
● Квартира (вход из межквартирного коридора) - при особых условиях
ДСВ-О-Н EI30 1050х2440(h)
Размер строительного проема 1050х2440(h)мм
Размер светового проема 900х2300(h)мм при открытой створке на 90°</t>
    </r>
  </si>
  <si>
    <t>Дверной блок стальной внутренний однопольный открывание внутрь EIS60 1250х2440(h)</t>
  </si>
  <si>
    <r>
      <rPr>
        <b/>
        <sz val="8"/>
        <color theme="1"/>
        <rFont val="Arial"/>
      </rPr>
      <t xml:space="preserve">Типовой этаж: </t>
    </r>
    <r>
      <rPr>
        <sz val="8"/>
        <color theme="1"/>
        <rFont val="Arial"/>
      </rPr>
      <t xml:space="preserve">
● Лестница Н2 (вход из ЛХ)
● Лифтовой холл Н2 (вход из межквартирного коридора)
ДСВ-О-Вн-EIS60 1250х2440(h)
Размер строительного проема 1250х2440(h)мм
Размер светового проема 1050х2300(h)мм при открытой створке на 90°</t>
    </r>
  </si>
  <si>
    <r>
      <rPr>
        <b/>
        <sz val="8"/>
        <color theme="1"/>
        <rFont val="Arial"/>
      </rPr>
      <t xml:space="preserve">Технический этаж (надстройка, без надстройки): </t>
    </r>
    <r>
      <rPr>
        <sz val="8"/>
        <color theme="1"/>
        <rFont val="Arial"/>
      </rPr>
      <t xml:space="preserve">
● Кровля (вход в лестничную клетку)
● Технический этаж (чердак)
● Вентиляционная камера
ДСВ-О-Н-EI60 1100х1900(h)
Размер строительного проема 1100х1900(h)мм
Размер светового проема 900х1800(h)мм при открытой створке на 90°</t>
    </r>
  </si>
  <si>
    <r>
      <rPr>
        <b/>
        <sz val="8"/>
        <color theme="1"/>
        <rFont val="Arial"/>
      </rPr>
      <t xml:space="preserve">- 1 этаж: </t>
    </r>
    <r>
      <rPr>
        <sz val="8"/>
        <color theme="1"/>
        <rFont val="Arial"/>
      </rPr>
      <t xml:space="preserve">
● Лестница (выход на улицу с -1 этажа (количество не более 50 человек, расчет пожарных рисков на ширину прохода)
● Лестница (выход на улицу из жилья)
● Инженерные помещения
ДАН-О-Н 1300х2400(h)
Размер строительного проема 1300х2400(h)мм
Размер светового проема 1050х2250(h)мм при открытой створке на 90°</t>
    </r>
  </si>
  <si>
    <r>
      <rPr>
        <b/>
        <sz val="8"/>
        <color theme="1"/>
        <rFont val="Arial"/>
      </rPr>
      <t xml:space="preserve">- 1 этаж: </t>
    </r>
    <r>
      <rPr>
        <sz val="8"/>
        <color theme="1"/>
        <rFont val="Arial"/>
      </rPr>
      <t xml:space="preserve">
● Лифтовой холл (вход из паркинга через тамбур-шлюз) 
● Тамбур-шлюз (лестница)
● Тамбур-шлюз (вход из паркинга)
ДАВ-О-Н-EIWS60 1300х2100(h)
Размер строительного проема 1300х2100(h)мм
Размер светового проема 1050х1950((h)мм при открытой створке на 90° </t>
    </r>
  </si>
  <si>
    <r>
      <rPr>
        <b/>
        <sz val="8"/>
        <color theme="1"/>
        <rFont val="Arial"/>
      </rPr>
      <t xml:space="preserve">- 1 этаж: </t>
    </r>
    <r>
      <rPr>
        <sz val="8"/>
        <color theme="1"/>
        <rFont val="Arial"/>
      </rPr>
      <t xml:space="preserve">
● Велосипедная
ДАВ-О-Н-EIW30 1150х2100(h)
Размер строительного проема 1150х2100(h)мм
Размер светового проема 900х1950((h)мм при открытой створке на 90°</t>
    </r>
  </si>
  <si>
    <r>
      <rPr>
        <b/>
        <sz val="8"/>
        <color theme="1"/>
        <rFont val="Arial"/>
      </rPr>
      <t xml:space="preserve">1 этаж: </t>
    </r>
    <r>
      <rPr>
        <sz val="8"/>
        <color theme="1"/>
        <rFont val="Arial"/>
      </rPr>
      <t xml:space="preserve">
● Колясочная
ДАВ-О-Н(В) 1300х2400(h)
Размер строительного проема 1300х2400(h)мм
Размер светового проема 1050х2250((h)мм при открытой створке на 90°</t>
    </r>
  </si>
  <si>
    <r>
      <rPr>
        <b/>
        <sz val="8"/>
        <color theme="1"/>
        <rFont val="Arial"/>
      </rPr>
      <t xml:space="preserve">1 этаж: </t>
    </r>
    <r>
      <rPr>
        <sz val="8"/>
        <color theme="1"/>
        <rFont val="Arial"/>
      </rPr>
      <t xml:space="preserve">
● Межквартирный коридор 
ДАВ-О-Н 1300х2400(h)
Размер строительного проема 1300х2400(h)мм
Размер светового проема 1050х2250((h)мм при открытой створке на 90° </t>
    </r>
  </si>
  <si>
    <t>Дверной блок алюминиевый внутренний однопольный открывание внутрь EIWS60 1300х2400(h)</t>
  </si>
  <si>
    <r>
      <rPr>
        <b/>
        <sz val="8"/>
        <color theme="1"/>
        <rFont val="Arial"/>
      </rPr>
      <t xml:space="preserve">1 этаж: </t>
    </r>
    <r>
      <rPr>
        <sz val="8"/>
        <color theme="1"/>
        <rFont val="Arial"/>
      </rPr>
      <t xml:space="preserve">
● Лестница (выход из жилья в тамбур) 75T
ДАВ-О-Вн-EIWS60 1300х2400(h)
Размер строительного проема 1300х2400(h)мм
Размер светового проема 1050х2250((h)мм при открытой створке на 90° </t>
    </r>
  </si>
  <si>
    <t>Дверной блок алюминиевый наружный однопольный открывание наружу 1250х3765(h)</t>
  </si>
  <si>
    <r>
      <rPr>
        <b/>
        <sz val="8"/>
        <color theme="1"/>
        <rFont val="Arial"/>
      </rPr>
      <t xml:space="preserve">1 этаж: </t>
    </r>
    <r>
      <rPr>
        <sz val="8"/>
        <color theme="1"/>
        <rFont val="Arial"/>
      </rPr>
      <t xml:space="preserve">
● Квартира (наружный фасад)
ДАН-О-Н 1250х3765(h)
Размер строительного проема 1250х3765(h)мм
Размер светового проема 95х2300((h)мм при открытой створке на 90°</t>
    </r>
  </si>
  <si>
    <t>3.4.1а Требования к квартирным дверям</t>
  </si>
  <si>
    <t>3.4.1а.1</t>
  </si>
  <si>
    <t>Схема расположения дверного проема в МОП (вход в квартиру)</t>
  </si>
  <si>
    <t>Входные двери квартир:
- стальные индивидуального изготовления
- проем строительный: 1050х2440мм
- размер дверного полотна: 900х2300мм; открывание наружу
- открывание двери должно быть направлено по ходу движения от лестнично-лифтового узла для удобства заноса крупногабаритной мебели
- при открывании входной двери квартиры недопускается блокирование дверей соседних квартир.
Квартиры с отдельным входом:
- стальные индивидуального изготовления с возможностью глухого остекления и декоративной зашивки.</t>
  </si>
  <si>
    <t>3.4.1а.2</t>
  </si>
  <si>
    <t>Внутриквартирные двери отсутствуют.
Проем межкомнатной двери (кухни, спальни): 900х2100 мм
Проем межкомнатной двери (С\У, душевая, гардеробная): 800х2100 мм
Проем межкомнатной двери (гостиная, кухня-гостиная): 1200х2100 мм
Проем межкомнатной двери (лоджия): 800х2100 мм
Для перегородок из ГКЛ проём выполнить высотой 2100 мм.</t>
  </si>
  <si>
    <t xml:space="preserve"> Заполнение воротных проемов</t>
  </si>
  <si>
    <t>3.4.2.1</t>
  </si>
  <si>
    <t>Ворота секционные светопрозрачные</t>
  </si>
  <si>
    <t>Скоростные спиральные светопрозрачные ворота Hormann
модель ALR F42 Thermo
Высота въезда в чистоте 2200мм</t>
  </si>
  <si>
    <t>3.5 Внутренняя отделка</t>
  </si>
  <si>
    <t xml:space="preserve"> Внутренняя отделка МОП</t>
  </si>
  <si>
    <t>3.5.1</t>
  </si>
  <si>
    <r>
      <rPr>
        <sz val="8"/>
        <color theme="1"/>
        <rFont val="Arial"/>
      </rPr>
      <t xml:space="preserve">Помещения мест общего пользования: 
</t>
    </r>
    <r>
      <rPr>
        <b/>
        <i/>
        <sz val="8"/>
        <color theme="1"/>
        <rFont val="Arial"/>
      </rPr>
      <t>Черновая отделка:</t>
    </r>
    <r>
      <rPr>
        <sz val="8"/>
        <color theme="1"/>
        <rFont val="Arial"/>
      </rPr>
      <t xml:space="preserve">
Полы: верхний слой - стяжка.
Стены: 
- Под нанесение декоративных штукатурок, обоев, окраски - улучшенная гипсовая штукатурка 15 мм по кладке и 15 мм по бетону, шпатлевка и затирка поверхности (перегородки и зашивки ГКЛ, ГКЛВ без штукатурки, только шпатлевание и затирка швов под последующую покраску). Категория качества поверхностей К4. 
- Под выполнение облицовочных работ различными типами плиток и листовых материалов - улучшенная гипсовая штукатурка 15 мм по кладке и 15 мм по бетону, (перегородки и зашивки ГКЛ, ГКЛВ без отделки). Категория качества поверхностей К1. 
- Потолок: монолитная ж/б плита перекрытия класс поверхности А3 (без отделки).
В швах сопряжения перегородок и стен предусмотреть армировку штукатурного слоя сеткой стеклотканевой штукатурной.
</t>
    </r>
    <r>
      <rPr>
        <b/>
        <i/>
        <sz val="8"/>
        <color theme="1"/>
        <rFont val="Arial"/>
      </rPr>
      <t>Чистовая отделка</t>
    </r>
    <r>
      <rPr>
        <sz val="8"/>
        <color theme="1"/>
        <rFont val="Arial"/>
      </rPr>
      <t xml:space="preserve"> согласно концепции и рабочей документации по интерьерам МОП.
Предусмотреть грязезащиту.</t>
    </r>
  </si>
  <si>
    <t>3.5.1.1</t>
  </si>
  <si>
    <t>Штукатурка гипсовая 15 мм</t>
  </si>
  <si>
    <t>3.5.1.2</t>
  </si>
  <si>
    <t>Штукатурка цементно - песчаная 15 мм</t>
  </si>
  <si>
    <t>3.5.1.3</t>
  </si>
  <si>
    <t>Пол МОП. Лифтовой холл, тамбур, коридор, колясочная, велосипедная 
- 1 этаж</t>
  </si>
  <si>
    <t>1. Финишная отделка (керамогранитная плитка+клей) - 20 мм
2. Монолитная железобетонная фундаментная плита</t>
  </si>
  <si>
    <t>3.5.1.4</t>
  </si>
  <si>
    <r>
      <rPr>
        <sz val="8"/>
        <color rgb="FF000000"/>
        <rFont val="Arial"/>
      </rPr>
      <t xml:space="preserve">Пол МОП. Холл, лифтовой холл, коридор, </t>
    </r>
    <r>
      <rPr>
        <sz val="8"/>
        <color rgb="FF000000"/>
        <rFont val="Arial"/>
      </rPr>
      <t>подъезды,</t>
    </r>
    <r>
      <rPr>
        <sz val="8"/>
        <color rgb="FF000000"/>
        <rFont val="Arial"/>
      </rPr>
      <t xml:space="preserve"> первый этаж</t>
    </r>
  </si>
  <si>
    <t>1. Финишная отделка (керамогранитная плитка + клей) - 20 мм
2. Стяжка из ц/п раствора М150 с полипропиленовой фиброй - 50 мм
3. Экструзионный пенополистирол плотностью 35 кг/м3 - 80 мм
4. Железобетонная плита перекрытия</t>
  </si>
  <si>
    <t>3.5.1.5</t>
  </si>
  <si>
    <t>Пол МОП. Входной тамбур, первый этаж</t>
  </si>
  <si>
    <t>3.5.1.6</t>
  </si>
  <si>
    <t>Пол МОП. Лестничный марш без финишной отделки, типовой этаж</t>
  </si>
  <si>
    <t>Без отделки, лестничный марш заводской готовности</t>
  </si>
  <si>
    <t>3.5.1.7</t>
  </si>
  <si>
    <t>Пол МОП. Лифтовой холл, коридор, типовой этаж</t>
  </si>
  <si>
    <t>1. Финишная отделка (керамогранитная плитка+клей) - 20 мм
2. Стяжка из ц/п раствора М200 с полипропиленовой фиброй с участками трубной разводки и рулонным материалом ИЗОДОМ ППИ-ПЛ с отражающей изоляции - 8 мм (над трубопроводами ВК, ОВ) - 95 мм (общая толщина стяжки)
3. Звукоизоляция Акуфлекс или Рулонная звукоизоляция пола Технониколь - 5 мм
4. Железобетонная плита перекрытия</t>
  </si>
  <si>
    <t>3.5.1.8</t>
  </si>
  <si>
    <t>Пол МОП. Лестничная площадка и лестничный марш с финишной отделкой, типовой этаж</t>
  </si>
  <si>
    <t>1. Финишная отделка (керамогранитная плитка+ клей) - 20 мм
2. Монолитный лестничный марш/Межэтажная железобетонная площадка</t>
  </si>
  <si>
    <t xml:space="preserve"> Внутренняя отделка коммерческие помещения</t>
  </si>
  <si>
    <t>3.5.2</t>
  </si>
  <si>
    <t>Коммерческие помещения:
Полы: черновые (верхний слой - стяжка). Предусмотреть грязезащиту.
Гидроизоляция мокрых зон (санузлов) выполняется силами и за счет собственника помещений.
Стены: Без отделки.
Потолок: Монолитная ж/б плита перекрытия класс поверхности А4 (без отделки).
Оконные и дверные откосы: без отделки (штукатурку не выполнять).</t>
  </si>
  <si>
    <t>3.5.2.1</t>
  </si>
  <si>
    <t>Пол Коммерческие помещения, - 1 этажа</t>
  </si>
  <si>
    <t>1. Финишная отделка (выполняется собственником) - 20 мм
2. Стяжка из ц/п раствора М150 с полипропиленовой фиброй - 50 мм
3. Экструзионный пенополистирол плотностью 35 кг/м3 - 50 мм
4. Монолитная железобетонная фундаментная плита</t>
  </si>
  <si>
    <t>3.5.2.2</t>
  </si>
  <si>
    <t>Пол Коммерческие помещения, первый этаж</t>
  </si>
  <si>
    <t>1. Финишная отделка (выполняется собственником) - 20 мм
2. Стяжка из ц/п раствора М150 с полипропиленовой фиброй - 50 мм
3. Экструзионный пенополистирол плотностью 35 кг/м3 - 80 мм
4. Железобетонная плита перекрытия</t>
  </si>
  <si>
    <t>3.5.2.3</t>
  </si>
  <si>
    <t>Пол. Коммерческие помещения, типовой этаж</t>
  </si>
  <si>
    <t>1. Финишная отделка (выполняется собственником) - 20 мм
2. Стяжка из ц/п раствора М200 с полипропиленовой фиброй - 50 мм
3. Полиэтиленовая пленка 200 мкм
4. Минераловатные плиты Технониколь Технофлор 25 мм, 2 слоя - 50 мм
5. Железобетонная плита перекрытия</t>
  </si>
  <si>
    <t xml:space="preserve"> Внутренняя отделка жилые помещения</t>
  </si>
  <si>
    <t>3.5.3</t>
  </si>
  <si>
    <r>
      <rPr>
        <b/>
        <sz val="8"/>
        <color rgb="FF000000"/>
        <rFont val="Arial"/>
      </rPr>
      <t xml:space="preserve">Квартиры: </t>
    </r>
    <r>
      <rPr>
        <sz val="8"/>
        <color rgb="FF000000"/>
        <rFont val="Arial"/>
      </rPr>
      <t xml:space="preserve">
Полы: черновые (верхний слой - стяжка). Гидроизоляция мокрых зон (санузлов) выполняется силами и за счет собственника помещений.
Стены: улучшенная гипсовая штукатурка 15 мм по кладке и 15 мм по монолитному железобетону, категория качества поверхностей не менее К2. 
В мокрых помещениях цементно-песчаная штукатурка 15 мм по кладке и 15 мм по монолитному железобетону, категория качества поверхностей К1.
Перегородки и зашивки ГКЛ без отделки.
Потолок: Монолитная ж/б плита перекрытия класс поверхности А4 (без отделки).
Оконные и дверные откосы: без отделки (штукатурку не выполнять).
</t>
    </r>
    <r>
      <rPr>
        <b/>
        <sz val="8"/>
        <color rgb="FF000000"/>
        <rFont val="Arial"/>
      </rPr>
      <t xml:space="preserve">Квартиры двухуровневые; с отдельным входом; с надстройкой на последнем этаже: </t>
    </r>
    <r>
      <rPr>
        <sz val="8"/>
        <color rgb="FF000000"/>
        <rFont val="Arial"/>
      </rPr>
      <t xml:space="preserve">
Полы: верхний слой - стяжка - двухуровневые, с отдельным входом.
Полы: черновые - с надстройкой на верхнем этаже.
Гидроизоляция мокрых зон (санузлов) выполняется силами и за счет собственника помещений.
Стены: Без отделки.
Потолок: Монолитная ж/б плита перекрытия класс поверхности А4 (без отделки).
Оконные и дверные откосы: без отделки (штукатурку не выполнять).
В двухуровневых квартирах (дуплексах) предусмотреть временные деревянные лестницы. </t>
    </r>
  </si>
  <si>
    <t>3.5.3.1</t>
  </si>
  <si>
    <t>3.5.3.2</t>
  </si>
  <si>
    <t>3.5.3.3</t>
  </si>
  <si>
    <t>Пол подсобные помещения для квартир, - 1 этаж</t>
  </si>
  <si>
    <t>3.5.3.4</t>
  </si>
  <si>
    <t>Пол Квартира, первый этаж</t>
  </si>
  <si>
    <r>
      <rPr>
        <sz val="8"/>
        <color theme="1"/>
        <rFont val="Arial"/>
      </rPr>
      <t>1. Финишная отделка (выполняется собственником) - 20 мм
2. Стяжка из ц/п раствора М150 с полипропиленовой фиброй - 50 мм
3. Экструзионный пенополистирол плотностью 35 кг/м3</t>
    </r>
    <r>
      <rPr>
        <b/>
        <sz val="8"/>
        <color theme="1"/>
        <rFont val="Arial"/>
      </rPr>
      <t xml:space="preserve"> </t>
    </r>
    <r>
      <rPr>
        <sz val="8"/>
        <color theme="1"/>
        <rFont val="Arial"/>
      </rPr>
      <t>- 80 мм
4. Железобетонная плита перекрытия</t>
    </r>
  </si>
  <si>
    <t>3.5.3.5</t>
  </si>
  <si>
    <t>Пол Квартира, типовой этаж</t>
  </si>
  <si>
    <t>3.5.3.6</t>
  </si>
  <si>
    <t>Пол террас 1 этаж (по грунту)</t>
  </si>
  <si>
    <t>1. Террасная доска, натуральная (лиственница) - 30 мм
2. Лаги деревянные, шаг 500 мм - 50 мм
3. Монолитная лента из бетона B25, сечением 150х150 мм по уплотненному грунту</t>
  </si>
  <si>
    <t>3.5.3.8</t>
  </si>
  <si>
    <t>Пол балкон (лоджия) Префаб</t>
  </si>
  <si>
    <t>Префаб - балконы с заводской отделкой</t>
  </si>
  <si>
    <t xml:space="preserve"> Внутренняя отделка паркинга</t>
  </si>
  <si>
    <t>3.5.4</t>
  </si>
  <si>
    <r>
      <rPr>
        <b/>
        <sz val="8"/>
        <color theme="1"/>
        <rFont val="Arial"/>
      </rPr>
      <t>Автостоянка:</t>
    </r>
    <r>
      <rPr>
        <sz val="8"/>
        <color theme="1"/>
        <rFont val="Arial"/>
      </rPr>
      <t xml:space="preserve">
Полы, стены, потолок: чистовая отделка согласно концепции и рабочей документации по интерьерам автостоянки.
В конструкции полов автостоянки не применять лотки, не выполнять разуклонку полов.</t>
    </r>
  </si>
  <si>
    <t>3.5.4.1</t>
  </si>
  <si>
    <t>3.5.4.2</t>
  </si>
  <si>
    <t>3.5.4.3</t>
  </si>
  <si>
    <t>Пол паркинг. Одноуровневый (Многоуровневый - нижний уровень)</t>
  </si>
  <si>
    <t>1. Смесь BASF MasterTop 450 серый или терракот - 20 мм
2. Пропитка укрепляющая для бетона MasterTop C714
3. Железобетонная фундаментная плита</t>
  </si>
  <si>
    <t>3.5.4.4</t>
  </si>
  <si>
    <t>Пол паркинг. Одноуровневый (парковочные места в периметре здания)</t>
  </si>
  <si>
    <t>1. Смесь BASF MasterTop 450 серый или терракот - 20 мм
2. Пропитка укрепляющая для бетона MasterTop C714
3. Плита перекрытия/ покрытия</t>
  </si>
  <si>
    <t>3.5.4.5</t>
  </si>
  <si>
    <t>Покрытие рампы паркинга (наружное)</t>
  </si>
  <si>
    <t>Покрытие шероховатое, исключающее скольжению. Укладка по типу "Елочкой"
1. Плитка тротуарная по типу Бехатон - 80 мм.
2. Цементно-песчаный раствор М150 - от 20 мм.
3. Цементно-песчаная стяжка М150 - 50 мм. - с участками электрокабеля обогрева рампы.
4. Гидроизоляция обмазочная в 2 слоя, Мастика гидроизоляционная ТЕХНОНИКОЛЬ №24
5. Праймер битумный ТЕХНОНИКОЛЬ №01
6. Железобетонная плита рампы</t>
  </si>
  <si>
    <t>3.5.4.6</t>
  </si>
  <si>
    <t>Покрытие рампы паркинга (внутреннее). Многоуровневый паркинг</t>
  </si>
  <si>
    <t>1. Смесь BASF MasterTop 450 серый или терракот - 20 мм
2. Пропитка укрепляющая для бетона MasterTop C714
3. Цементно-песчаная стяжка М300 - 80 мм
4. Железобетонная плита перекрытия/ фундаментная плита</t>
  </si>
  <si>
    <t>3.5.4.7</t>
  </si>
  <si>
    <t>Пол паркинг. Многоуровневый (верхний уровень)</t>
  </si>
  <si>
    <t>1. Смесь BASF MasterTop P 135 PF - 20мм
2. Эпоксидная грунтовка BASF MasterTop P 622 или BASF MasterTop P 615
3. Железобетонная плита перекрытия/ фундаментная плита</t>
  </si>
  <si>
    <t xml:space="preserve"> Внутренняя отделка технических помещений</t>
  </si>
  <si>
    <t>3.5.5</t>
  </si>
  <si>
    <t>Полы насосной, ИТП, венткамер подвала, КУИ: чистовая отделка (верхний слой керамогранитная плитка);
Полы техподполья, электрощитовых, помещений сетей связи, диспетчерской: без отделки (обеспыливающая гидрофобная пропитка по плите);
Полы чердака и венткамер чердака: черновые (верхний слой стяжка с обеспыливающей гидрофобной пропиткой)
Стены: Без отделки.
Потолок: Монолитная ж/б плита перекрытия класс поверхности А4 (без отделки).</t>
  </si>
  <si>
    <t>3.5.5.1</t>
  </si>
  <si>
    <t>Пол инженерные помещения подвал (Насосные, Узел ввода, ИТП, Венткамера, КУИ)</t>
  </si>
  <si>
    <t>1. Финишная отделка (керамогранитная плитка+клей) - 20 мм
2. Гидроизоляция окрасочная в 2 слоя Ceresit CL 51
3. Грунтовка глубокого проникновения Ceresit CT17
4. Монолитная ж/б плита фундамента</t>
  </si>
  <si>
    <t>3.5.5.2</t>
  </si>
  <si>
    <t>Пол инженерные помещения (Электрощитовая, Помещение сетей связи, Диспетчерская)</t>
  </si>
  <si>
    <t>1. Обеспыливающая гидрофобная пропитка
2. Монолитная ж/б плита фундамента</t>
  </si>
  <si>
    <t>3.5.5.3</t>
  </si>
  <si>
    <t>Пол подвала (техподполье)</t>
  </si>
  <si>
    <t>3.5.5.4</t>
  </si>
  <si>
    <t>Пол технический этаж (чердак)</t>
  </si>
  <si>
    <t>1. Обеспыливающая гидрофобная пропитка
2. Стяжка из ц/п раствора М150 с полипропиленовой фиброй - 60 мм
3. Экструзионный пенополистирол плотностью 35 кг/м3 - 50 мм
4. Железобетонная плита перекрытия</t>
  </si>
  <si>
    <t>3.5.5.5</t>
  </si>
  <si>
    <t>Пол вентиляционной камеры технический этаж (чердак)</t>
  </si>
  <si>
    <t>1. Обеспыливающая гидрофобная пропитка
2. Стяжка из ц/п раствора М200 с полипропиленовой фиброй - 60 мм
3. Полиэтиленовая пленка 200 мкм
4. Минераловатные плиты Технониколь Технофлор 25 мм, 2 слоя - 50 мм
5. Железобетонная плита перекрытия</t>
  </si>
  <si>
    <t xml:space="preserve"> Внутренняя отделка кладовых</t>
  </si>
  <si>
    <t>3.5.6</t>
  </si>
  <si>
    <t>Блоки кладовых:
Полы: без отделки (обеспыливающая гидрофобная пропитка по плите).
Стены: Без отделки.
Потолок: Монолитная ж/б плита перекрытия класс поверхности А6 (без отделки).</t>
  </si>
  <si>
    <t>3.5.6.1</t>
  </si>
  <si>
    <t>Пол. Кладовые, коридор кладовых</t>
  </si>
  <si>
    <t>3.6 Ограждения</t>
  </si>
  <si>
    <t xml:space="preserve"> Устройство ограждений внутренних</t>
  </si>
  <si>
    <t>3.6.1</t>
  </si>
  <si>
    <t>Стальные индивидуальные. Согласно концепции дизайна интерьеров.
Чертеж согласовать с Заказчиком.</t>
  </si>
  <si>
    <t>3.6.1.1</t>
  </si>
  <si>
    <t>Ограждение лестницы металлическое боковое крепление 1200 мм</t>
  </si>
  <si>
    <t>Стальные индивидуальные, боковое крепление. Высотой 1200 мм.</t>
  </si>
  <si>
    <t>3.6.1.2</t>
  </si>
  <si>
    <t>Ограждение кровли металлическое прямое</t>
  </si>
  <si>
    <t>1.Ширину отлива уточнить в соответствии с типом региона и шириной кирпича(для НВФ)
2.Покрытие: Полиэфирная порошковая краска толщина 200 мкм,RAL уточнить по проекту
3.Цвет отлива выполнить в соответствии с проектом
4.Подготовку металлических поверхностей перед нанесением покрытия осуществить по ГОСТ 9.402
5.Поверхности не должны иметь заусенцев, острых кромок( радиусом закругления менее 0,3 мм),прожогов,нарушений сплошности металла в виде трещин и т.п
6.Сварные швы по ГОСТ 14771-76
7.Сварочный материал -проволока Св-08Г2С ГОСТ2246-70
8.Трещины, полости, не провары на сварочном шве не допускаются, осуществить визуальный осмотр шва.
9.При использовании на фасаде массинга отлив должен повторять форму фасада</t>
  </si>
  <si>
    <t>3.7 Кровля, покрытия кровли</t>
  </si>
  <si>
    <t xml:space="preserve"> Схема устройства кровли</t>
  </si>
  <si>
    <t>3.7.1</t>
  </si>
  <si>
    <t>Предусмотреть установку кровельных аэраторов после устройства кровли жилого дома. Аэраторы устанавливать равномерно из расчета 1шт/100м2 кровли. Расстояние между аэраторами диаметром 100 мм - не более 10-12 м.
В проекте предусмотреть фразу: "После выполнения кровельных работ произвести диагностику герметичности гидроизоляции кровельным дефектоскопом Изотест 2.0"</t>
  </si>
  <si>
    <t>3.7.1.1</t>
  </si>
  <si>
    <t>Кровельный пирог Кровельный пирог Екатеринбург, Тюмень, Омск, Курган, Новосибирск</t>
  </si>
  <si>
    <t>Состав:
1. Техноэласт ЭКП - 4 мм
2. Техноэласт ЭПП - 4 мм
3. Праймер битумный Технониколь №1
4. Цементно-песчаная стяжка М150, армированная сеткой 4Вр-I 150х150 - 50 мм
5. Разуклонка из керамзита - от 30 мм 
6. Утеплитель ЭППС Технониколь - 200 мм
7. Пароизоляция Биполь
8. Монолитный железобетон (плита перекрытия)</t>
  </si>
  <si>
    <t>3.7.1.2</t>
  </si>
  <si>
    <t>Кровельный пирог паркинга</t>
  </si>
  <si>
    <t>Состав:
1. Слои благоустройства
2. Фильтрующий слой FIL 300 (Optigruen) - 1 мм
3. Дренажно-накопительная панель FKD 25 (Optigruen) отверстиями вниз с засыпкой гранитным щебнем фракции 5-10 мм - 25 мм
4. Защитный флис от протечек RSV 120 (Optigruen) - 1 мм
5. Утеплитель ЭППС ТЕХНОНИКОЛЬ CARBON PROF SOLID - 50 мм
6. Корнезащитная мембрана PELD (Optigruen) – 0,5 мм
7. Техноэласт ЭПП – 4 мм
8. Техноэласт ЭПП – 4 мм
9. Праймер битумный ТЕХНОНИКОЛЬ №01
10. Монолитная ж/б плита покрытия (с выравниванием 20 мм цементно-песчаным раствором)</t>
  </si>
  <si>
    <t>3.7.1.3</t>
  </si>
  <si>
    <t>Кровельный пирог. Проезд в арке</t>
  </si>
  <si>
    <r>
      <rPr>
        <sz val="8"/>
        <color theme="1"/>
        <rFont val="Arial"/>
      </rPr>
      <t xml:space="preserve">Состав:
1. Слои благоустройства
2. Профилированная мембрана Planter Geo
3. Утеплитель ЭППС Технониколь - 100 мм
4. Техноэласт ГРИН – 4 мм
5. Техноэласт ЭПП – 4 мм
6. Праймер битумный ТЕХНОНИКОЛЬ №01
7. Армированная цементная - песчаная стяжка, сеткой ВрI 50х50мм - 40 мм
</t>
    </r>
    <r>
      <rPr>
        <sz val="8"/>
        <color theme="1"/>
        <rFont val="Arial"/>
      </rPr>
      <t>8. Уклонообразующий слой из керамзита - от 50мм</t>
    </r>
    <r>
      <rPr>
        <sz val="8"/>
        <color theme="1"/>
        <rFont val="Arial"/>
      </rPr>
      <t xml:space="preserve">
9. Монолитный железобетон (плита перекрытия)</t>
    </r>
  </si>
  <si>
    <t>3.7.1.4</t>
  </si>
  <si>
    <t>Покрытие неэксплуатируемой кровли. Засыпка гравийным щебнем</t>
  </si>
  <si>
    <t>1. Сетка для защиты от птиц 17х19 мм
2. Гравийный щебень фракции 20-40 мм - от 80 мм
3. Мембрана Planter Standard - 8 мм
4. Пирог кровли</t>
  </si>
  <si>
    <t>3.7.1.5</t>
  </si>
  <si>
    <t>Покрытие неэксплуатируемой кровли. Ландшафт на кровле (Седумный мат)</t>
  </si>
  <si>
    <t>1. Системный субстрат "Седумный мат"/ посевной разнотравный газон - от 150 до 320 мм 
2. Фильтрующий флис FIL 300 (Optigruen) -1 мм
3. Дренажно-защитная и накопительная панель FKD40 (Optigruen) отверстиями вверх.
4. Защитный и влагонакопительный мат RSV 120 (Optigruen) - 4 мм
5. Корнезащитная мембрана PILD (Optigruen) – 0,5 мм
6. Пирог кровли</t>
  </si>
  <si>
    <t>3.7.1.6</t>
  </si>
  <si>
    <t>Покрытие эксплуатируемой кровли. Террасная доска натуральная на регулируемых опорах</t>
  </si>
  <si>
    <t>1. Террасная доска, натуральная (лиственница) - 30 мм
2. Лаги деревянные, шаг 500 мм - 50 мм
3. Регулируемые опоры с заполнением гравием на 50 мм, высота опор - от 40 мм до 210 мм
4. Геотекстиль 150 кг/м2 - 2 мм
5. Пирог кровли</t>
  </si>
  <si>
    <t>3.7.1.7</t>
  </si>
  <si>
    <t>Покрытие эксплуатируемой кровли. Брусчатка, тротуарная плитка</t>
  </si>
  <si>
    <t>1. Брусчатка (тротуарная плитка) - 30 мм
2. Песок крупнозернистый - 50 мм
3. Геотекстиль 150 кг/м3 - 2 мм
4. Гравийный щебень по уклону - от 100 мм
5. Геотекстиль 150 кг/м3 - 2 мм
6. Пирог кровли</t>
  </si>
  <si>
    <t>3.7.1.8</t>
  </si>
  <si>
    <t>Покрытие эксплуатируемой кровли. Тротуарная плитка на регулируемых опорах</t>
  </si>
  <si>
    <t>1. Тротуарная плитка для эксплуатируемой кровли (бетонная крошка мрамора и гранита) 500х500 мм - 50 мм
2. Регулируемые опоры - от 40 мм до 210 мм
3. Пирог кровли</t>
  </si>
  <si>
    <t>3.7а Технология и способы укладки террасной доски</t>
  </si>
  <si>
    <t>3.7а.1</t>
  </si>
  <si>
    <t>Укладка террасной доски
1 этап: Укладка регулируемых опор
На подготовленное основание укладываются регулируемые опоры. 
Опоры устанавливаются в шахматном порядке с шагом 500 мм, высотой от 40 до 210 мм.
Для установки опоры под лаги применяется крепление - небольшой диск, оснащенный монтажным бортиком.
2 этап: Сборка каркаса
На данном этапе используется устройство двухъярусной опорной системы.
1-й ярус- регулируемые опоры
2-й ярус - направляющие опорные лаги, закрепленные уголками. 
Размеры лаг 50*70*3000 мм(материал лиственница)
3 этап: Укладка террасной доски
Начиная от стены на лаге закрепляются уголки, далее монтаж первой доски, фиксация с другой стороны подходящим монтажным элементом. Фиксация второй и последующих досок происходит по такому же принципу.
Финишная отделка покрытия:
К установленной завершающей доске прикрепляется финишный профиль или уголок. Торцы пустотелых досок закрыть специальными декоративными заглушками.
Меры по защите древесины:
Обработку террасной доски из лиственницы производить любым средством для наружных работ:
•масло;
•масло-воск;
•твердый воск;
•лак;
•эмаль.
Рекомендуется выбирать морозостойкие составы.
Производители: Biofa, Belinka, Dulux, Tikkurilla.</t>
  </si>
  <si>
    <t>4.0 Определение уровня грунтовых вод</t>
  </si>
  <si>
    <t>Расчетный уровень грунтовых вод определить проектом исходя из отчета по инженерно- геологическим изысканиям с учетом естественных сезонных и многолетних колебаний уровней подземных вод (п. 5.4.1 СП 22.13330.2016).
В проекте принять: 
- Низкий уровень грунтовых вод (УГВ), если установившийся УГВ находится на расстоянии более 1,0м от уровня подошвы фундаментной плиты дома и сезонный подъем УГВ не превышает отметки подошвы фундаментной плиты дома;
- Сезонный подъем уровня грунтовых вод (УГВ), если установившийся УГВ находится на расстоянии более 1,0 м от уровня подошвы фундаментной плиты дома и сезонный подъем УГВ превышает отметки подошвы фундаментной плиты дома;
- Высокий уровень грунтовых вод (УГВ), если установившийся УГВ находится на расстоянии менее 1,0 м от уровня подошвы фундаментной плиты дома и сезонный подъем УГВ превышает отметку верха фундаментной плиты дома;</t>
  </si>
  <si>
    <r>
      <rPr>
        <b/>
        <sz val="9"/>
        <color rgb="FF000000"/>
        <rFont val="Arial"/>
      </rPr>
      <t>4</t>
    </r>
    <r>
      <rPr>
        <b/>
        <sz val="9"/>
        <color rgb="FF000000"/>
        <rFont val="Arial"/>
      </rPr>
      <t>.1 Временное водопонижение</t>
    </r>
  </si>
  <si>
    <t>4.1.1</t>
  </si>
  <si>
    <t>Определить необходимость дальнейшей разработки системы водопонижения на период выполнения строительно-монтажных работ.</t>
  </si>
  <si>
    <t>4.1.1.1</t>
  </si>
  <si>
    <t>Насос центробежный</t>
  </si>
  <si>
    <t>Откачку воды производить центробежными насосами типа ЭЦВ.</t>
  </si>
  <si>
    <t>4.1.1.2</t>
  </si>
  <si>
    <t>Колонна фильтровая стальная</t>
  </si>
  <si>
    <t>Фильтровая колонна из трубы электросварной по ГОСТ 10704-91 с сетчатым фильтром и гравийной обсыпкой фракцией 0,8 - 1,25 мм.</t>
  </si>
  <si>
    <r>
      <rPr>
        <b/>
        <sz val="9"/>
        <color rgb="FF000000"/>
        <rFont val="Arial"/>
      </rPr>
      <t>4</t>
    </r>
    <r>
      <rPr>
        <b/>
        <sz val="9"/>
        <color rgb="FF000000"/>
        <rFont val="Arial"/>
      </rPr>
      <t>.2 Дренаж</t>
    </r>
  </si>
  <si>
    <t>4.2.1</t>
  </si>
  <si>
    <t>При сезонном подъеме грунтовых вод выполнить систему дренажа: пластовый дренаж под автостоянкой, пристенный дренаж по наружному периметру здания.
Проектные решения согласовать с Заказчиком.
Дренажные и смотровые колодцы располагать вне парковочных мест автостоянки.</t>
  </si>
  <si>
    <t>4.2.1.1</t>
  </si>
  <si>
    <t>Постель дренажная пластового дренажа</t>
  </si>
  <si>
    <t>Состав:
1. Пол автостоянки.
2. Полиэтиленовая пленка 200 мкм - 2 слоя.
3. Щебень фракции 10..20 мм от 150 мм - водоотводящий слой.
4. Полотно нетканное иглопробивное "Геотекстиль".
5. Уплотненный (укрепленный) грунт.</t>
  </si>
  <si>
    <t>4.2.1.2</t>
  </si>
  <si>
    <t>Обсыпка трубчатой дрены пластового дренажа</t>
  </si>
  <si>
    <t>Состав:
1. Полиэтиленовая пленка 200 мкм - 2 слоя.
2. Полотно нетканное иглопробивное "Геотекстиль".
3. Щебень фракции 20..40 мм
4. Трубчатая дрена (не входит в состав данной строительной конструкции)
5. Полотно нетканное иглопробивное "Геотекстиль".
6. Щебень фракции 5..10 мм
7. Полотно нетканное иглопробивное "Геотекстиль".</t>
  </si>
  <si>
    <t>4.2.1.3</t>
  </si>
  <si>
    <t>Обсыпка трубчатой дрены пристенного дренажа</t>
  </si>
  <si>
    <t>Состав:
1. Полотно нетканное иглопробивное "Геотекстиль".
2. Щебень фракции 20..40 мм
3. Трубчатая дрена (не входит в состав данной строительной конструкции)
4. Полотно нетканное иглопробивное "Геотекстиль".
5. Щебень фракции 5..10 мм
6. Полотно нетканное иглопробивное "Геотекстиль".</t>
  </si>
  <si>
    <t>4.2.1.4</t>
  </si>
  <si>
    <t>Дрена трубчатая</t>
  </si>
  <si>
    <t>Труба дренажная перфорированная гофрированная полиэтиленовая, диаметр по расчёту.
Производители: "Корсис Перфокор"</t>
  </si>
  <si>
    <t>4.2.1.5</t>
  </si>
  <si>
    <t>Колодец железобетонный Ø 1000</t>
  </si>
  <si>
    <r>
      <rPr>
        <sz val="8"/>
        <color theme="1"/>
        <rFont val="Arial"/>
      </rPr>
      <t>Для эксплуатации трубчатых дрен.
Колодец заводского изготовления по типовому проекту 902-09-22.84 альбом 2 из сборных железобетонных элементов</t>
    </r>
    <r>
      <rPr>
        <sz val="8"/>
        <color rgb="FFFF0000"/>
        <rFont val="Arial"/>
      </rPr>
      <t>.</t>
    </r>
  </si>
  <si>
    <t>4.2.1.6</t>
  </si>
  <si>
    <t>Футляр из трубы ПНД гофрированной</t>
  </si>
  <si>
    <t>Применяется при проходе дрены через фундаментную плиту.</t>
  </si>
  <si>
    <t>4.2.4 Техническое задание на испытание свай</t>
  </si>
  <si>
    <t>4.2.4.1</t>
  </si>
  <si>
    <t>Цель испытаний</t>
  </si>
  <si>
    <t>Генпроектировщику необходимо выдать техническое задание на испытание свай руководителю проекта (подрядной организации для разработки программы на испытание свай) не менее чем за два месяца до получения разрешения на строительство.
Цель: получение результатов испытания свай до получения разрешения на строительство</t>
  </si>
  <si>
    <t>4.2.4.2</t>
  </si>
  <si>
    <t>Исходные данные</t>
  </si>
  <si>
    <t>Исходные данные:
- Инженерно - геологические изыскания
- Посадка объекта строительства
- Нагрузки для испытаний (в зависимости от морфотипа)</t>
  </si>
  <si>
    <t>4.2.4.3</t>
  </si>
  <si>
    <t>Техническое задание</t>
  </si>
  <si>
    <t>Техническое задание на проведение полевых испытаний грунтов сваями вдавливающими нагрузками на площадке строительства
1. Провести полевые испытания грунтов сваями с целью уточнения размеров свай и их несущей способности.
2. Нумерацию и расположение испытательных свай, а также привязку участков испытаний принять по проекту с использованием данных исполнительной документации:
- исполнительной схемы;
- журнал изготовления свай (для буронабивных свай, при использовании).
3. Испытания свай выполнить в соответствии с ГОСТ 5686-20. Максимальную вдавливающую нагрузку на каждую опытную сваю при ее испытании довести до значения, при котором общая осадка сваи составит не менее 40 мм или (Расчетной нагрузки х 1.2) тс. Нагружение испытываемых свай произвести ступенями согласно ГОСТ 5686-94.
4. Разгрузку свай произвести после достижения наибольшей нагрузки ступенями, равными удвоенным значениям ступеней нагружения, с выдержкой каждой ступени не менее 15 мин. После полной разгрузки (до нуля) наблюдения за упругим перемещением следует проводить в течение 30 мин. со снятием отсчетов каждые 15 мин.
5. Уточнить размеры свай, несущую способность сваи по результатам испытаний статическими вдавливающими нагрузками согласно СП 24.13330.2021 «Свайные фундаменты».
6. Выдать отчет о результатах контрольных испытаний свай статической вдавливающей нагрузкой с приложением графиков испытаний.
А также подготовить программу испытаний свай с конструкциями стенда, закрепелнием прогибомеров, конструкций свай и т.п.</t>
  </si>
  <si>
    <t>4.2.4.4</t>
  </si>
  <si>
    <t>Исполнительная документация испытания свай</t>
  </si>
  <si>
    <t>Основной документацией по результатам испытаний свай являются: 
– техническое задание, составленное проектной организацией; 
– проект производства работ по проведению испытаний; 
– план строительной площадки с размещенными на ней рабочими и испытательными сваями; 
– геологический разрез площадки с нанесением в соответствующем масштабе испытанными сваями и основные физико-механические свойства грунтов, составляющих геологический разрез; 
– журнал забивки или изготовления набивных свай (составляется мастером или прорабом при забивке или изготовлении сваи по форме, предусмотренной СНиП Ш-Б.6-62); 
– данные динамических испытаний забивных свай (если они проводились); 
– журнал статического испытания сваи, в котором должны быть указаны: наименование сооружения, номера свай, характеристика свай, материал, размеры, время изготовления, глубина погружения, характеристика измерительных приборов (точность, дата тарировки), отметки дна котлована и т. п.
В процессе испытания свай в журнал дополнительно записывают время наблюдения, величину ступени загрузки, показания приборов перемещения сваи за время очередной ступени загрузки, перемещение сваи, температуру окружающего воздуха, расход воды при замачивании просадочной толщи грунта вокруг сваи.</t>
  </si>
  <si>
    <t>4.2.5 Компоновка рампы</t>
  </si>
  <si>
    <t>4.2.5.1</t>
  </si>
  <si>
    <t>Компоновка рампы Класс В</t>
  </si>
  <si>
    <t>1. Стены монолитные толщиной 250мм, армированные сетками
2. Плита рампы толщиной 200мм, армированная сетками
3. Балки покрытия рампы 950х500(h) армированные отдельными стержнями
4. Плита покрытия рампы толщиной 180мм, армированная сетками</t>
  </si>
  <si>
    <t>4.2.6 Компоновка арки</t>
  </si>
  <si>
    <t>4.2.6.1</t>
  </si>
  <si>
    <t>Компоновка арки Класс B</t>
  </si>
  <si>
    <t>1. Стены монолитные толщиной 250мм, армированные сетками
2. Пилоны монолитные толщиной 250мм армированные сетками
3. Плита арки толщиной 180мм, армированная сетками
4. Балки покрытия арки 950х500(h) армированные отдельными стержнями
5. Плита покрытия арки толщиной 180мм, армированная сетками</t>
  </si>
  <si>
    <t>4.3 Каркас монолитный</t>
  </si>
  <si>
    <t xml:space="preserve"> Каркас монолитный секция до 28 метров</t>
  </si>
  <si>
    <t>4.3.1</t>
  </si>
  <si>
    <r>
      <rPr>
        <sz val="8"/>
        <color rgb="FF000000"/>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нормативные нагрузки: квартиры 150кг/м², офисы 200кг/м², пути эвакуации 300кг/м², торговые залы 400кг/м².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rgb="FF000000"/>
        <rFont val="Arial"/>
      </rPr>
      <t xml:space="preserve">Основные параметры каркаса:
</t>
    </r>
    <r>
      <rPr>
        <sz val="8"/>
        <color rgb="FF000000"/>
        <rFont val="Arial"/>
      </rPr>
      <t xml:space="preserve">Базовый шаг вертикальных конструкции 3450мм.
Предусмотреть деформационные швы на границе сблокированных секций при разнице высот секций в два и более этажей или при суммарной длине сблокированных секций более 55 м (16 базовых шагов по 3,45 м).
• Плита фундаментная монолитная </t>
    </r>
    <r>
      <rPr>
        <b/>
        <sz val="8"/>
        <color rgb="FF000000"/>
        <rFont val="Arial"/>
      </rPr>
      <t xml:space="preserve">- </t>
    </r>
    <r>
      <rPr>
        <sz val="8"/>
        <color rgb="FF000000"/>
        <rFont val="Arial"/>
      </rPr>
      <t>по расчету, но не более 500 мм
• Стена приямка лифтового монолитная 300 мм
• Плита приямка лифтового монолитная 300 мм
• Стена монолитная 250 мм - Наружная стена подвала, Стена арка, Стена рампа 
• Балка монолитная над въездной аркой, рампой - 950х500(h) мм (с учетом плиты перекрытия)
• Стена лестнично - лифтового узла монолитная 160 мм - (с -1 по 9 этаж)
• Пилон монолитный 250х1500; 250х1800 мм - Пилон каркаса переходной
• Пилон монолитный 250х900; 250х1200 мм - Пилон каркаса (с -1 по 9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</si>
  <si>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t>4.3.1.1</t>
  </si>
  <si>
    <t>Свая железобетонная 300х300</t>
  </si>
  <si>
    <t>Длиной от 6 000 до 18 000 м. По серии 1.011.1-10</t>
  </si>
  <si>
    <t>4.3.1.2</t>
  </si>
  <si>
    <t>Свая железобетонная 350х350</t>
  </si>
  <si>
    <t>Длиной от 7000 до 32 000 мм. По серии 1.011.1-10</t>
  </si>
  <si>
    <t>4.3.1.3</t>
  </si>
  <si>
    <t>Подготовка под фундамент бетонная 70 мм</t>
  </si>
  <si>
    <t>Устройство подготовки производить на уплотненный грунт (основание)
Бетон В7,5</t>
  </si>
  <si>
    <t>4.3.1.4</t>
  </si>
  <si>
    <r>
      <rPr>
        <sz val="8"/>
        <rFont val="Arial"/>
      </rPr>
      <t>Плита фундаментная монолитная 500 мм. (</t>
    </r>
    <r>
      <rPr>
        <sz val="8"/>
        <color rgb="FF1155CC"/>
        <rFont val="Arial"/>
      </rPr>
      <t>армирование сетками</t>
    </r>
    <r>
      <rPr>
        <sz val="8"/>
        <rFont val="Arial"/>
      </rPr>
      <t>)</t>
    </r>
  </si>
  <si>
    <t>Нижнее и верхнее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Нижнее и верхнее дополнительное армирование принять сварными двунаправленными (или однонаправленными, если рабочая арматура требуется в одном направлении) сетками. 
Армирование выполнять при помощи типовых сеток БСА.1-КЖ.И-Р1. На участках, где невозможно выполнить армирование при помощи типовых сеток - применять армирование отдельными стержнями.
Диаметр фоновой арматуры принять по минимальному проценту армирования (в противном случае обосновать расчетом).
Класс рабочей арматуры для сеток/каркасов/стержней А500С.
Бетон: B25 иную марку обосновать расчетом и согласовать с Заказчиком, (W - в зависимости от инженерно-геологических условий площадки строительства, F150, F200 - для Сургута)
Расход арматуры: не более 80 кг/м³</t>
  </si>
  <si>
    <t>4.3.1.5</t>
  </si>
  <si>
    <t>Стена приямка лифтового монолитная 300 мм</t>
  </si>
  <si>
    <t>Приямок с прямой стенкой и обратной засыпкой пазух щебнем фракции 20 - 40мм. 
Габариты лифтовой шахты и глубину приямка см. раздел подъемное оборудование.
Армирование выполнять отдельными стержнями арматуры классов А240; А500; А500С.
Бетон: B25 иную марку обосновать расчетом и согласовать с Заказчиком, (W - в зависимости от инженерно-геологических условий площадки строительства, F150, F200 - для Сургута)
Расход арматуры: не более 80 кг/м3</t>
  </si>
  <si>
    <t>4.3.1.6</t>
  </si>
  <si>
    <t>Плита приямка лифтового монолитная 300 мм</t>
  </si>
  <si>
    <t>Габариты лифтовой шахты и глубину приямка см. раздел подъемное оборудование.
Армирование выполнять отдельными стержнями арматуры классов А240; А500; А500С.
Бетон: B25 иную марку обосновать расчетом и согласовать с Заказчиком, (W - в зависимости от инженерно-геологических условий площадки строительства, F150, F200 - для Сургута)
Расход арматуры: не более 80 кг/м3</t>
  </si>
  <si>
    <t>4.3.1.7</t>
  </si>
  <si>
    <t>Приямок дренажный монолитный 800х800х800 (h)</t>
  </si>
  <si>
    <t>Предусмотреть в: 
- ИТП
Толщина стен: 300 мм
Толщина плиты: 300 мм
Армирование выполнять отдельными стержнями арматуры классов А240; А500; А500С.
Бетон: B25 иную марку обосновать расчетом и согласовать с Заказчиком, (W - в зависимости от инженерно-геологических условий площадки строительства, F150, F200 - для Сургута)
Расход арматуры: не более 80 кг/м3</t>
  </si>
  <si>
    <t>4.3.1.8</t>
  </si>
  <si>
    <t>Приямок дренажный монолитный 500х900х800 (h)</t>
  </si>
  <si>
    <t>Предусмотреть в: 
- Насосной хозяйственно - питьевого водоснабжения
- Насосной пожаротушения
Толщина стен: 300 мм
Толщина плиты: 300 мм
Армирование выполнять отдельными стержнями арматуры классов А240; А500; А500С.
Бетон: B25 иную марку обосновать расчетом и согласовать с Заказчиком, (W - в зависимости от инженерно-геологических условий площадки строительства, F150, F200 - для Сургута)
Расход арматуры: не более 80 кг/м3</t>
  </si>
  <si>
    <t>4.3.1.9</t>
  </si>
  <si>
    <t>Приямок дренажный монолитный 500х500х500 (h)</t>
  </si>
  <si>
    <t>Предусмотреть в: 
- Перед каждым выпуском сетей у наружной стены секции
- В коридоре подвала
Толщина стен: 300 мм
Толщина плиты: 300 мм
Армирование выполнять отдельными стержнями арматуры классов А240; А500; А500С.
Бетон: B25 иную марку обосновать расчетом и согласовать с Заказчиком, (W - в зависимости от инженерно-геологических условий площадки строительства, F150, F200 - для Сургута)
Расход арматуры: не более 80 кг/м3</t>
  </si>
  <si>
    <t>4.3.1.10</t>
  </si>
  <si>
    <t>Гидроизоляция и теплоизоляция вертикальная</t>
  </si>
  <si>
    <t>Для низкого и высокого уровня грунтовых вод:
Гидроизоляция стен подвала:
- Монолитная стена подвала
- Праймер битумный
- Гидроизоляция ТЕХНОЭЛАСТ ЭПП (в 2 слоя)
- Клей-пена Технониколь Professional для пенополистирола
- Экструзионный пенополистирол CARBON PROF SOLID - 150мм на глубину промерзания (для коммерческих помещений и подсобных помещений жилья); 100 мм на глубину промерзания (для остальных помещений); 50мм - ниже глубины промерзания.
- Профилированная мембрана Planter Standard (Planter Geo при наличии дренажной системы) - 8 мм. (поверх экструзионного пенополистирола)
В деформационных швах наружных стен, фундаментных плит, плит покрытия паркинга:
- Гидрошпонка Технониколь FM-140/50, FMR140/50
- Пенополистирол ППС25 - 50 мм
В рабочих швах бетонирования:
- Гидрошпонка ЕС-320-4
- Саморасширяющийся шнур Технониколь IC-SP 20х10 мм (для высокого УГВ)
Выполнить согласно альбомов:
- КР.КЖ-У
- КР.Ф-У</t>
  </si>
  <si>
    <t>4.3.1.11</t>
  </si>
  <si>
    <t>Гидроизоляция горизонтальная</t>
  </si>
  <si>
    <t>Для высокого уровня грунтовых вод:
Гидроизоляция фундаментной плиты:
- Фундаментная плита
- Защитный слой из тощего бетона В7.5 - 30 мм
- Гидроизоляция ТЕХНОЭЛАСТ ЭПП
- Огрунтовка праймером битумным по бетонной подготовке
- Бетонная подготовка 
- Уплотненный грунт основания
В деформационных швах наружных стен, фундаментных плит, плит покрытия паркинга:
- Гидрошпонка АКВАСТОП ДЗ-140/50-4/35 / Технониколь FM-140/50
- Пенополистирол ППС25 - 50 мм
В рабочих швах бетонирования:
- Гидрошпонка ЕС-320-4
- Саморасширяющийся шнур Технониколь IC-SP 20х10 мм
Выполнить согласно альбомов:
- КР.КЖ-У
- КР.Ф-У</t>
  </si>
  <si>
    <t>4.3.1.12</t>
  </si>
  <si>
    <r>
      <rPr>
        <sz val="8"/>
        <rFont val="Arial"/>
      </rPr>
      <t>Пилон монолитный 250х600 мм. (</t>
    </r>
    <r>
      <rPr>
        <sz val="8"/>
        <color rgb="FF1155CC"/>
        <rFont val="Arial"/>
      </rPr>
      <t>армирование сетками</t>
    </r>
    <r>
      <rPr>
        <sz val="8"/>
        <rFont val="Arial"/>
      </rPr>
      <t>)</t>
    </r>
  </si>
  <si>
    <r>
      <rPr>
        <sz val="8"/>
        <color rgb="FF000000"/>
        <rFont val="Arial"/>
      </rPr>
      <t xml:space="preserve">Армирование пилонов принять пространственными каркасами из сварных сеток по типовому альбому БСА.1-КЖ.И-Р1.
</t>
    </r>
    <r>
      <rPr>
        <sz val="8"/>
        <color rgb="FF000000"/>
        <rFont val="Arial"/>
      </rPr>
      <t xml:space="preserve">На участках, где невозможно выполнить армирование при помощи типовых сеток - выполнить армирование отдельными стержнями (обосновать расчетом).
</t>
    </r>
    <r>
      <rPr>
        <sz val="8"/>
        <color rgb="FF000000"/>
        <rFont val="Arial"/>
      </rPr>
      <t xml:space="preserve">
Диаметр основной продольной рабочей арматуры - 8, 10, 12, 16 мм (принять по расчету).
Диаметр дополнительной продольной арматуры - 10, 12, 16, 20, 25 мм (принять по расчету).
</t>
    </r>
    <r>
      <rPr>
        <sz val="8"/>
        <color rgb="FF000000"/>
        <rFont val="Arial"/>
      </rPr>
      <t>Диаметры</t>
    </r>
    <r>
      <rPr>
        <sz val="8"/>
        <color rgb="FF000000"/>
        <rFont val="Arial"/>
      </rPr>
      <t xml:space="preserve"> поперечной арматуры принять в соответствии с п.10.3.6, 10.3.12 СП 63.13330.2018. 
Шаг стержней принять максимально возможный (кратный 50 мм), по расчету.
Класс рабочей арматуры для сеток/каркасов А500С.
Бетон: B30, (W4, F150) - ниже плиты пола первого этажа
 B25, (W4, F150) - выше плиты пола первого этажа
Расход арматуры: не более 80 кг/м3</t>
    </r>
  </si>
  <si>
    <t>4.3.1.13</t>
  </si>
  <si>
    <r>
      <rPr>
        <sz val="8"/>
        <rFont val="Arial"/>
      </rPr>
      <t>Пилон монолитный 250х900 мм. (</t>
    </r>
    <r>
      <rPr>
        <sz val="8"/>
        <color rgb="FF1155CC"/>
        <rFont val="Arial"/>
      </rPr>
      <t>армирование сетками</t>
    </r>
    <r>
      <rPr>
        <sz val="8"/>
        <rFont val="Arial"/>
      </rPr>
      <t>)</t>
    </r>
  </si>
  <si>
    <r>
      <rPr>
        <sz val="8"/>
        <color rgb="FF000000"/>
        <rFont val="Arial"/>
      </rPr>
      <t xml:space="preserve">Армирование пилонов принять пространственными каркасами из сварных сеток по типовому альбому БСА.1-КЖ.И-Р1.
</t>
    </r>
    <r>
      <rPr>
        <sz val="8"/>
        <color rgb="FF000000"/>
        <rFont val="Arial"/>
      </rPr>
      <t>На участках, где невозможно выполнить армирование при помощи типовых сеток - выполнить армирование отдельными стержнями (обосновать расчетом).</t>
    </r>
    <r>
      <rPr>
        <sz val="8"/>
        <color rgb="FF000000"/>
        <rFont val="Arial"/>
      </rPr>
      <t xml:space="preserve">
Диаметр основной продольной рабочей арматуры - 8, 10, 12, 16 мм (принять по расчету).
Диаметр дополнительной продольной арматуры - 10, 12, 16, 20, 25 мм (принять по расчету).
Диаметры поперечной арматуры принять в соответствии с п.10.3.6, 10.3.12 СП 63.13330.2018. 
Шаг стержней принять максимально возможный (кратный 50 мм), по расчету.
Класс рабочей арматуры для сеток/каркасов А500С.
Бетон: B30, (W4, F150) - ниже плиты пола первого этажа
 B25, (W4, F150) - выше плиты пола первого этажа
Расход арматуры: не более 80 кг/м3</t>
    </r>
  </si>
  <si>
    <t>4.3.1.14</t>
  </si>
  <si>
    <r>
      <rPr>
        <sz val="8"/>
        <rFont val="Arial"/>
      </rPr>
      <t>Пилон монолитный 250х1200 мм. (</t>
    </r>
    <r>
      <rPr>
        <sz val="8"/>
        <color rgb="FF1155CC"/>
        <rFont val="Arial"/>
      </rPr>
      <t>армирование сетками</t>
    </r>
    <r>
      <rPr>
        <sz val="8"/>
        <rFont val="Arial"/>
      </rPr>
      <t>)</t>
    </r>
  </si>
  <si>
    <t>Армирование пилонов принять пространственными каркасами из сварных сеток по типовому альбому БСА.1-КЖ.И-Р1.
На участках, где невозможно выполнить армирование при помощи типовых сеток - выполнить армирование отдельными стержнями (обосновать расчетом). 
Диаметр основной продольной рабочей арматуры - 8, 10, 12, 16 мм (принять по расчету).
Диаметр дополнительной продольной арматуры - 10, 12, 16, 20, 25 мм (принять по расчету).
Диаметры поперечной арматуры принять в соответствии с п.10.3.6, 10.3.12 СП 63.13330.2018. 
Шаг стержней принять максимально возможный (кратный 50 мм), по расчету.
Класс рабочей арматуры для сеток/каркасов А500С.
Бетон: B30, (W4, F150) - ниже плиты пола первого этажа
 B25, (W4, F150) - выше плиты пола первого этажа
Расход арматуры: не более 80 кг/м3</t>
  </si>
  <si>
    <t>4.3.1.15</t>
  </si>
  <si>
    <r>
      <rPr>
        <sz val="8"/>
        <rFont val="Arial"/>
      </rPr>
      <t>Пилон монолитный 250х1500 мм. (</t>
    </r>
    <r>
      <rPr>
        <sz val="8"/>
        <color rgb="FF1155CC"/>
        <rFont val="Arial"/>
      </rPr>
      <t>армирование сетками</t>
    </r>
    <r>
      <rPr>
        <sz val="8"/>
        <rFont val="Arial"/>
      </rPr>
      <t>)</t>
    </r>
  </si>
  <si>
    <t>4.3.1.16</t>
  </si>
  <si>
    <r>
      <rPr>
        <sz val="8"/>
        <rFont val="Arial"/>
      </rPr>
      <t>Пилон монолитный 250х1800 мм. (</t>
    </r>
    <r>
      <rPr>
        <sz val="8"/>
        <color rgb="FF1155CC"/>
        <rFont val="Arial"/>
      </rPr>
      <t>армирование сетками</t>
    </r>
    <r>
      <rPr>
        <sz val="8"/>
        <rFont val="Arial"/>
      </rPr>
      <t>)</t>
    </r>
  </si>
  <si>
    <t>4.3.1.17</t>
  </si>
  <si>
    <r>
      <rPr>
        <sz val="8"/>
        <rFont val="Arial"/>
      </rPr>
      <t>Стена монолитная 250 мм. (</t>
    </r>
    <r>
      <rPr>
        <sz val="8"/>
        <color rgb="FF1155CC"/>
        <rFont val="Arial"/>
      </rPr>
      <t>армирование сетками</t>
    </r>
    <r>
      <rPr>
        <sz val="8"/>
        <rFont val="Arial"/>
      </rPr>
      <t>)</t>
    </r>
  </si>
  <si>
    <t>Наружная стена подвала - 1 этажа;
Стены рампы, арки
Армирование пилонов принять пространственными каркасами из сварных сеток по типовому альбому БСА.1-КЖ.И-Р1. 
На участках, где невозможно выполнить армирование при помощи типовых сеток - выполнить армирование отдельными стержнями.
Диаметр основной продольной рабочей арматуры - 8, 10, 12, 16 мм (принять по расчету).
Диаметр дополнительной продольной арматуры - 8, 10, 12, 16 мм (принять по расчету).
Диаметры поперечной арматуры принять в соответствии с п.10.3.6, 10.3.12 СП 63.13330.2018. 
Шаг стержней принять максимально возможный (кратный 50 мм), по расчету. 
Класс рабочей арматуры для сеток/каркасов А500С.
Бетон: B30, (W - в зависимости от инженерно-геологических условий площадки строительства, F150, F200 - для Сургута)
 В35, (W - в зависимости от инженерно-геологических условий площадки строительства, F150, F200 - для Сургута) - для отметки ниже 0,000
Расход арматуры: не более 80 кг/м3</t>
  </si>
  <si>
    <t>4.3.1.18</t>
  </si>
  <si>
    <r>
      <rPr>
        <sz val="8"/>
        <rFont val="Arial"/>
      </rPr>
      <t>Стена лестнично - лифтового узла монолитная 160 мм. (</t>
    </r>
    <r>
      <rPr>
        <sz val="8"/>
        <color rgb="FF1155CC"/>
        <rFont val="Arial"/>
      </rPr>
      <t>армирование сетками</t>
    </r>
    <r>
      <rPr>
        <sz val="8"/>
        <rFont val="Arial"/>
      </rPr>
      <t>)</t>
    </r>
  </si>
  <si>
    <t>Габариты лифтовой шахты и глубину приямка см. раздел подъемное оборудование.
Армирование пилонов принять пространственными каркасами из сварных сеток по типовому альбому БСА.1-КЖ.И-Р1. 
На участках, где невозможно выполнить армирование при помощи типовых сеток - выполнить армирование отдельными стержнями.
Диаметр основной продольной рабочей арматуры - 8, 10, 12, 16 мм (принять по расчету).
Диаметр дополнительной продольной арматуры - 8, 10, 12, 16 мм (принять по расчету).
Диаметр поперечной арматуры принять в соответствии с п.10.3.6, 10.3.12 СП 63.13330.2018. 
Шаг стержней принять максимально возможный (кратный 50 мм), по расчету. 
Класс рабочей арматуры для сеток/каркасов А500С.
Бетон: B30, (W4, F150) - ниже плиты пола первого этажа
 B25, (W4, F150) - выше плиты пола первого этажа
Расход арматуры: не более 80 кг/м3</t>
  </si>
  <si>
    <t>4.3.1.19</t>
  </si>
  <si>
    <r>
      <rPr>
        <sz val="8"/>
        <rFont val="Arial"/>
      </rPr>
      <t>Плита перекрытия монолитная 180 мм. (</t>
    </r>
    <r>
      <rPr>
        <sz val="8"/>
        <color rgb="FF1155CC"/>
        <rFont val="Arial"/>
      </rPr>
      <t>армирование сетками</t>
    </r>
    <r>
      <rPr>
        <sz val="8"/>
        <rFont val="Arial"/>
      </rPr>
      <t>)</t>
    </r>
  </si>
  <si>
    <t>Плита перекрытия между подвалом и первым этажом, типового этажа.
Нижнее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Дополнительное нижнее армирование принять сварными однонаправленными сетками (или двунаправленными, если рабочая арматура требуется в двух направлениях).
Верхнее рабочее армирование принять сварными двунаправленными сетками расположенными в зоне действия изгибающих моментов. Исключить фоновое армирование плит перекрытий в верхней сжатой зоне.
Армирование выполнять при помощи типовых сеток БСА.1-КЖ.И-Р1. На участках, где невозможно выполнить армирование при помощи типовых сеток - выполнить армирование отдельными стержнями.
Класс рабочей арматуры для сеток/каркасов А500С.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экструдированного пенополистирола ЭППС35.
В деформационных швах между плитами перекрытия установить пенополистирол ППС25.
Бетон: B25, (W4, F150)
Расход арматуры: не более 80 кг/м3</t>
  </si>
  <si>
    <t>4.3.1.20</t>
  </si>
  <si>
    <r>
      <rPr>
        <sz val="8"/>
        <rFont val="Arial"/>
      </rPr>
      <t>Плита перекрытия монолитная 200 мм. (</t>
    </r>
    <r>
      <rPr>
        <sz val="8"/>
        <color rgb="FF1155CC"/>
        <rFont val="Arial"/>
      </rPr>
      <t>армирование сетками</t>
    </r>
    <r>
      <rPr>
        <sz val="8"/>
        <rFont val="Arial"/>
      </rPr>
      <t>)</t>
    </r>
  </si>
  <si>
    <t>Для последнего этажа (между тех.этажом).
Нижнее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Дополнительное нижнее армирование принять сварными однонаправленными сетками (или двунаправленными, если рабочая арматура требуется в двух направлениях).
Верхнее рабочее армирование принять сварными двунаправленными сетками расположенными в зоне действия изгибающих моментов. Исключить фоновое армирование плит перекрытий в верхней сжатой зоне.
Армирование выполнять при помощи типовых сеток БСА.1-КЖ.И-Р1. На участках, где невозможно выполнить армирование при помощи типовых сеток - выполнить армирование отдельными стержнями.
Класс рабочей арматуры для сеток/каркасов А500С.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экструдированного пенополистирола ЭППС35.
В деформационных швах между плитами перекрытия установить пенополистирол ППС25.
Бетон: B25, (W4, F150)
Расход арматуры: не более 80 кг/м3</t>
  </si>
  <si>
    <t>4.3.1.21</t>
  </si>
  <si>
    <t>Балка перекрытия над въездной аркой, рампой - 950х500(h) (с учетом плиты перекрытия)</t>
  </si>
  <si>
    <t xml:space="preserve">Армирование выполнять отдельными стержнями арматуры классов А240; А500; А500С.
Бетон: B25, (W4, F150)
Расход арматуры: не более 80 кг/м3 </t>
  </si>
  <si>
    <t>4.3.1.22</t>
  </si>
  <si>
    <r>
      <rPr>
        <sz val="8"/>
        <rFont val="Arial"/>
      </rPr>
      <t>Плита покрытия монолитная 200 мм. (</t>
    </r>
    <r>
      <rPr>
        <sz val="8"/>
        <color rgb="FF1155CC"/>
        <rFont val="Arial"/>
      </rPr>
      <t>армирование сетками</t>
    </r>
    <r>
      <rPr>
        <sz val="8"/>
        <rFont val="Arial"/>
      </rPr>
      <t>)</t>
    </r>
  </si>
  <si>
    <t>Нижнее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Дополнительное нижнее армирование принять сварными однонаправленными сетками (или двунаправленными, если рабочая арматура требуется в двух направлениях).
Верхнее рабочее армирование принять сварными двунаправленными сетками расположенными в зоне действия изгибающих моментов. Исключить фоновое армирование плит перекрытий в верхней сжатой зоне.
Армирование выполнять при помощи типовых сеток БСА.1-КЖ.И-Р1. На участках, где невозможно выполнить армирование при помощи типовых сеток - выполнить армирование отдельными стержнями.
Класс рабочей арматуры для сеток/каркасов А500С.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экструдированного пенополистирола ЭППС35.
В деформационных швах между плитами перекрытия установить пенополистирол ППС25.
Бетон: B25, (W4, F150)
Расход арматуры: не более 80 кг/м3</t>
  </si>
  <si>
    <t>4.3.1.23</t>
  </si>
  <si>
    <t>Площадка межэтажная монолитная 160 мм</t>
  </si>
  <si>
    <r>
      <rPr>
        <sz val="8"/>
        <color theme="1"/>
        <rFont val="Arial"/>
      </rPr>
      <t xml:space="preserve">Между - 1 и 1 этажом, 1 и 2 этажом, между последним этажом и чердаком. 
</t>
    </r>
    <r>
      <rPr>
        <sz val="8"/>
        <color theme="1"/>
        <rFont val="Arial"/>
      </rPr>
      <t>Армирование выполнять отдельными стержнями.</t>
    </r>
    <r>
      <rPr>
        <sz val="8"/>
        <color theme="1"/>
        <rFont val="Arial"/>
      </rPr>
      <t xml:space="preserve">
</t>
    </r>
    <r>
      <rPr>
        <sz val="8"/>
        <color theme="1"/>
        <rFont val="Arial"/>
      </rPr>
      <t>Класс рабочей арматуры А500С.</t>
    </r>
    <r>
      <rPr>
        <sz val="8"/>
        <color theme="1"/>
        <rFont val="Arial"/>
      </rPr>
      <t xml:space="preserve">
Бетон: B25, (W4, F150)
Расход арматуры: не более 80 кг/м3</t>
    </r>
  </si>
  <si>
    <t>4.3.1.23.1</t>
  </si>
  <si>
    <t>Площадка межэтажная сборная 2540х1800х320</t>
  </si>
  <si>
    <r>
      <rPr>
        <sz val="8"/>
        <color rgb="FF000000"/>
        <rFont val="Arial"/>
      </rPr>
      <t>Для типового этажа префабрицированной лестничной клетки высотой 3 метра.
БЛП 2540х1800х320</t>
    </r>
    <r>
      <rPr>
        <sz val="8"/>
        <color rgb="FF000000"/>
        <rFont val="Arial"/>
      </rPr>
      <t xml:space="preserve">-Л - </t>
    </r>
    <r>
      <rPr>
        <sz val="8"/>
        <color rgb="FF000000"/>
        <rFont val="Arial"/>
      </rPr>
      <t>для прямой секции</t>
    </r>
    <r>
      <rPr>
        <sz val="8"/>
        <color rgb="FF000000"/>
        <rFont val="Arial"/>
      </rPr>
      <t xml:space="preserve">
</t>
    </r>
    <r>
      <rPr>
        <sz val="8"/>
        <color rgb="FF000000"/>
        <rFont val="Arial"/>
      </rPr>
      <t>БЛП 2540х1800х320-П - для прямой секции</t>
    </r>
    <r>
      <rPr>
        <sz val="8"/>
        <color rgb="FF000000"/>
        <rFont val="Arial"/>
      </rPr>
      <t xml:space="preserve">
Сборный железобетон заводского изготовления.
Согласно альбома БЛК-3.0-КЖ.Р1</t>
    </r>
  </si>
  <si>
    <t>4.3.1.23.2</t>
  </si>
  <si>
    <t>Площадка межэтажная сборная 1200х1800х320</t>
  </si>
  <si>
    <r>
      <rPr>
        <sz val="8"/>
        <color rgb="FF000000"/>
        <rFont val="Arial"/>
      </rPr>
      <t>Для типового этажа префабрицированной лестничной клетки высотой 3 метра.
БЛП 1200х1800х320</t>
    </r>
    <r>
      <rPr>
        <sz val="8"/>
        <color rgb="FF000000"/>
        <rFont val="Arial"/>
      </rPr>
      <t xml:space="preserve">-Л - </t>
    </r>
    <r>
      <rPr>
        <sz val="8"/>
        <color rgb="FF000000"/>
        <rFont val="Arial"/>
      </rPr>
      <t xml:space="preserve">для угловой секции
</t>
    </r>
    <r>
      <rPr>
        <sz val="8"/>
        <color rgb="FF000000"/>
        <rFont val="Arial"/>
      </rPr>
      <t>БЛП 1200х1800х320-П - для угловой секции</t>
    </r>
    <r>
      <rPr>
        <sz val="8"/>
        <color rgb="FF000000"/>
        <rFont val="Arial"/>
      </rPr>
      <t xml:space="preserve">
Сборный железобетон заводского изготовления.
Согласно альбома БЛК-3.0-КЖ.Р1</t>
    </r>
  </si>
  <si>
    <t>4.3.1.23.3</t>
  </si>
  <si>
    <t>Площадка межэтажная сборная 2540х1170х320</t>
  </si>
  <si>
    <t>Для типового этажа префабрицированной лестничной клетки высотой 3 метра.
БЛП 2540х1170х320-Л
БЛП 2540х1170х320-П
Сборный железобетон заводского изготовления.
Согласно альбома БЛК-3.0-КЖ.Р1</t>
  </si>
  <si>
    <t>4.3.1.24</t>
  </si>
  <si>
    <t>Марш лестничный монолитный 160 мм.</t>
  </si>
  <si>
    <t>Между - 1 и 1 этажом, 1 и 2 этажом, между последним этажом и чердаком. 
Армирование ступеней не предусматривать.
Армирование выполнять отдельными стержнями.
Класс рабочей арматуры А500С.
Бетон: B25, (W4, F150)
Расход арматуры: не более 80 кг/м3</t>
  </si>
  <si>
    <t>4.3.1.24.1</t>
  </si>
  <si>
    <t>Марш лестничный сборный 30.11.15</t>
  </si>
  <si>
    <t>Для типового этажа префабрицированной лестничной клетки высотой 3 метра.
БЛМ 30.11.15-Л
БЛМ 30.11.15-П
Сборный железобетон заводского изготовления.
Согласно альбома БЛК-3.0-КЖ.Р1</t>
  </si>
  <si>
    <t>4.3.1.25</t>
  </si>
  <si>
    <t>Парапет монолитный 250 мм</t>
  </si>
  <si>
    <t>Монолитный парапет по плите перекрытия над подвалом.
Высотой 470 мм; 700 мм или иной при наличии перепада отметок по рельефу.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</si>
  <si>
    <t>4.3.1.26</t>
  </si>
  <si>
    <t>Парапет монолитный 160 мм</t>
  </si>
  <si>
    <r>
      <rPr>
        <sz val="8"/>
        <color theme="1"/>
        <rFont val="Arial"/>
      </rPr>
      <t xml:space="preserve">Монолитный парапет по плите перекрытия, покрытия.
Высотой </t>
    </r>
    <r>
      <rPr>
        <sz val="8"/>
        <color theme="1"/>
        <rFont val="Arial"/>
      </rPr>
      <t>470 мм; 950 мм; 1650 мм.</t>
    </r>
    <r>
      <rPr>
        <sz val="8"/>
        <color theme="1"/>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</si>
  <si>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t>4.3.1.27</t>
  </si>
  <si>
    <t>Балкон - Префаб</t>
  </si>
  <si>
    <r>
      <rPr>
        <sz val="8"/>
        <rFont val="Arial"/>
      </rPr>
      <t xml:space="preserve">Балкон префабрицированный, заводского изготовления.
Согласно </t>
    </r>
    <r>
      <rPr>
        <sz val="8"/>
        <color rgb="FF1155CC"/>
        <rFont val="Arial"/>
      </rPr>
      <t>матрица префаб.балконов V2.0</t>
    </r>
    <r>
      <rPr>
        <sz val="8"/>
        <rFont val="Arial"/>
      </rPr>
      <t>.</t>
    </r>
  </si>
  <si>
    <t xml:space="preserve"> Каркас монолитный секция до 50 метров</t>
  </si>
  <si>
    <t>4.3.3</t>
  </si>
  <si>
    <r>
      <rPr>
        <sz val="8"/>
        <color rgb="FF000000"/>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нормативные нагрузки: квартиры 150кг/м², офисы 200кг/м², пути эвакуации 300кг/м², торговые залы 400кг/м².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rgb="FF000000"/>
        <rFont val="Arial"/>
      </rPr>
      <t xml:space="preserve">Основные параметры каркаса:
</t>
    </r>
    <r>
      <rPr>
        <sz val="8"/>
        <color rgb="FF000000"/>
        <rFont val="Arial"/>
      </rPr>
      <t xml:space="preserve">Базовый шаг вертикальных конструкции 3450мм.
Предусмотреть деформационные швы на границе сблокированных секций при разнице высот секций в два и более этажей или при суммарной длине сблокированных секций более 55 м (16 базовых шагов по 3,45 м).
• Плита фундаментная монолитная </t>
    </r>
    <r>
      <rPr>
        <b/>
        <sz val="8"/>
        <color rgb="FF000000"/>
        <rFont val="Arial"/>
      </rPr>
      <t xml:space="preserve">- </t>
    </r>
    <r>
      <rPr>
        <sz val="8"/>
        <color rgb="FF000000"/>
        <rFont val="Arial"/>
      </rPr>
      <t>по расчету, но не более 800 мм
• Стена приямка лифтового монолитная 300 мм
• Плита приямка лифтового монолитная 400 мм
• Стена монолитная 250 мм - Наружная стена подвала, Стена арка, Стена рампа 
• Стена лестнично - лифтового узла монолитная 160 мм - (с -1 по 16, 17 этаж)
• Пилон монолитный 250х1500; 250х1800 мм - Пилон каркаса переходной
• Пилон монолитный 250х900; 250х1200 мм - Пилон каркаса (с -1 по 16, 17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</si>
  <si>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t>4.3.3.1</t>
  </si>
  <si>
    <t>Длиной от 6 000 до 18 000 мм. По серии 1.011.1-10</t>
  </si>
  <si>
    <t>4.3.3.2</t>
  </si>
  <si>
    <t>4.3.3.3</t>
  </si>
  <si>
    <t>4.3.3.4</t>
  </si>
  <si>
    <r>
      <rPr>
        <sz val="8"/>
        <rFont val="Arial"/>
      </rPr>
      <t>Плита фундаментная монолитная 800 мм. (</t>
    </r>
    <r>
      <rPr>
        <sz val="8"/>
        <color rgb="FF1155CC"/>
        <rFont val="Arial"/>
      </rPr>
      <t>армирование сетками</t>
    </r>
    <r>
      <rPr>
        <sz val="8"/>
        <rFont val="Arial"/>
      </rPr>
      <t>)</t>
    </r>
  </si>
  <si>
    <t>4.3.3.5</t>
  </si>
  <si>
    <t>4.3.3.6</t>
  </si>
  <si>
    <t>Плита приямка лифтового монолитная 400 мм</t>
  </si>
  <si>
    <t>4.3.3.7</t>
  </si>
  <si>
    <t>4.3.3.8</t>
  </si>
  <si>
    <t>4.3.3.9</t>
  </si>
  <si>
    <t>4.3.3.10</t>
  </si>
  <si>
    <t>Для низкого и высокого уровня грунтовых вод:
Гидроизоляция стен подвала:
- Монолитная стена подвала
- Праймер битумный
- Гидроизоляция ТЕХНОЭЛАСТ ЭПП (в 2 слоя)
- Клей-пена Технониколь Professional для пенополистирола
- Экструзионный пенополистирол CARBON PROF SOLID - 150мм на глубину промерзания (для коммерческих помещений и подсобных помещений жилья); 100 мм на глубину промерзания (для остальных помещений); 50мм - ниже глубины промерзания.
- Профилированная мембрана Planter Standard (Planter Geo при наличии дренажной системы) - 8 мм. (поверх экструзионного пенополистирола)
В деформационных швах наружных стен, фундаментных плит, плит покрытия паркинга:
- Гидрошпонка Технониколь FM-140/50, FMR140/50
- Пенополистирол ППС25 - 50 мм
В рабочих швах бетонирования:
- Гидрошпонка ЕС-320-4
- Саморасширяющийся шнур Технониколь IC-SP 20х10 мм (для высокого УГВ)
Выполнить согласно альбомов:
- КР.КЖ-У
- КР.Ф-У</t>
  </si>
  <si>
    <t>4.3.3.11</t>
  </si>
  <si>
    <t>4.3.3.12</t>
  </si>
  <si>
    <r>
      <rPr>
        <sz val="8"/>
        <rFont val="Arial"/>
      </rPr>
      <t>Пилон монолитный 250х600 мм. (</t>
    </r>
    <r>
      <rPr>
        <sz val="8"/>
        <color rgb="FF1155CC"/>
        <rFont val="Arial"/>
      </rPr>
      <t>армирование сетками</t>
    </r>
    <r>
      <rPr>
        <sz val="8"/>
        <rFont val="Arial"/>
      </rPr>
      <t>)</t>
    </r>
  </si>
  <si>
    <r>
      <rPr>
        <sz val="8"/>
        <color rgb="FF000000"/>
        <rFont val="Arial"/>
      </rPr>
      <t xml:space="preserve">Армирование пилонов принять пространственными каркасами из сварных сеток по типовому альбому БСА.1-КЖ.И-Р1.
</t>
    </r>
    <r>
      <rPr>
        <sz val="8"/>
        <color rgb="FF000000"/>
        <rFont val="Arial"/>
      </rPr>
      <t xml:space="preserve">На участках, где невозможно выполнить армирование при помощи типовых сеток - выполнить армирование отдельными стержнями (обосновать расчетом).
</t>
    </r>
    <r>
      <rPr>
        <sz val="8"/>
        <color rgb="FF000000"/>
        <rFont val="Arial"/>
      </rPr>
      <t xml:space="preserve">
Диаметр основной продольной рабочей арматуры - 8, 10, 12, 16 мм (принять по расчету).
Диаметр дополнительной продольной арматуры - 10, 12, 16, 20, 25 мм (принять по расчету).
</t>
    </r>
    <r>
      <rPr>
        <sz val="8"/>
        <color rgb="FF000000"/>
        <rFont val="Arial"/>
      </rPr>
      <t>Диаметры</t>
    </r>
    <r>
      <rPr>
        <sz val="8"/>
        <color rgb="FF000000"/>
        <rFont val="Arial"/>
      </rPr>
      <t xml:space="preserve"> поперечной арматуры принять в соответствии с п.10.3.6, 10.3.12 СП 63.13330.2018. 
Шаг стержней принять максимально возможный (кратный 50 мм), по расчету.
Класс рабочей арматуры для сеток/каркасов А500С.
Бетон: B30, (W4, F150) - ниже плиты пола первого этажа
 B25, (W4, F150) - выше плиты пола первого этажа
Расход арматуры: не более 80 кг/м3</t>
    </r>
  </si>
  <si>
    <t>4.3.3.13</t>
  </si>
  <si>
    <r>
      <rPr>
        <sz val="8"/>
        <rFont val="Arial"/>
      </rPr>
      <t>Пилон монолитный 250х900 мм. (</t>
    </r>
    <r>
      <rPr>
        <sz val="8"/>
        <color rgb="FF1155CC"/>
        <rFont val="Arial"/>
      </rPr>
      <t>армирование сетками</t>
    </r>
    <r>
      <rPr>
        <sz val="8"/>
        <rFont val="Arial"/>
      </rPr>
      <t>)</t>
    </r>
  </si>
  <si>
    <r>
      <rPr>
        <sz val="8"/>
        <color rgb="FF000000"/>
        <rFont val="Arial"/>
      </rPr>
      <t xml:space="preserve">Армирование пилонов принять пространственными каркасами из сварных сеток по типовому альбому БСА.1-КЖ.И-Р1.
</t>
    </r>
    <r>
      <rPr>
        <sz val="8"/>
        <color rgb="FF000000"/>
        <rFont val="Arial"/>
      </rPr>
      <t>На участках, где невозможно выполнить армирование при помощи типовых сеток - выполнить армирование отдельными стержнями (обосновать расчетом).</t>
    </r>
    <r>
      <rPr>
        <sz val="8"/>
        <color rgb="FF000000"/>
        <rFont val="Arial"/>
      </rPr>
      <t xml:space="preserve">
Диаметр основной продольной рабочей арматуры - 8, 10, 12, 16 мм (принять по расчету).
Диаметр дополнительной продольной арматуры - 10, 12, 16, 20, 25 мм (принять по расчету).
Диаметры поперечной арматуры принять в соответствии с п.10.3.6, 10.3.12 СП 63.13330.2018. 
Шаг стержней принять максимально возможный (кратный 50 мм), по расчету.
Класс рабочей арматуры для сеток/каркасов А500С.
Бетон: B30, (W4, F150) - ниже плиты пола первого этажа
 B25, (W4, F150) - выше плиты пола первого этажа
Расход арматуры: не более 80 кг/м3</t>
    </r>
  </si>
  <si>
    <t>4.3.3.14</t>
  </si>
  <si>
    <r>
      <rPr>
        <sz val="8"/>
        <rFont val="Arial"/>
      </rPr>
      <t>Пилон монолитный 250х1200 мм. (</t>
    </r>
    <r>
      <rPr>
        <sz val="8"/>
        <color rgb="FF1155CC"/>
        <rFont val="Arial"/>
      </rPr>
      <t>армирование сетками</t>
    </r>
    <r>
      <rPr>
        <sz val="8"/>
        <rFont val="Arial"/>
      </rPr>
      <t>)</t>
    </r>
  </si>
  <si>
    <t>4.3.3.15</t>
  </si>
  <si>
    <r>
      <rPr>
        <sz val="8"/>
        <rFont val="Arial"/>
      </rPr>
      <t>Пилон монолитный 250х1500 мм. (</t>
    </r>
    <r>
      <rPr>
        <sz val="8"/>
        <color rgb="FF1155CC"/>
        <rFont val="Arial"/>
      </rPr>
      <t>армирование сетками</t>
    </r>
    <r>
      <rPr>
        <sz val="8"/>
        <rFont val="Arial"/>
      </rPr>
      <t>)</t>
    </r>
  </si>
  <si>
    <t>4.3.3.16</t>
  </si>
  <si>
    <r>
      <rPr>
        <sz val="8"/>
        <rFont val="Arial"/>
      </rPr>
      <t>Пилон монолитный 250х1800 мм. (</t>
    </r>
    <r>
      <rPr>
        <sz val="8"/>
        <color rgb="FF1155CC"/>
        <rFont val="Arial"/>
      </rPr>
      <t>армирование сетками</t>
    </r>
    <r>
      <rPr>
        <sz val="8"/>
        <rFont val="Arial"/>
      </rPr>
      <t>)</t>
    </r>
  </si>
  <si>
    <t>4.3.3.17</t>
  </si>
  <si>
    <r>
      <rPr>
        <sz val="8"/>
        <rFont val="Arial"/>
      </rPr>
      <t>Стена монолитная 250 мм. (</t>
    </r>
    <r>
      <rPr>
        <sz val="8"/>
        <color rgb="FF1155CC"/>
        <rFont val="Arial"/>
      </rPr>
      <t>армирование сетками</t>
    </r>
    <r>
      <rPr>
        <sz val="8"/>
        <rFont val="Arial"/>
      </rPr>
      <t>)</t>
    </r>
  </si>
  <si>
    <r>
      <rPr>
        <sz val="8"/>
        <color rgb="FF000000"/>
        <rFont val="Arial"/>
      </rPr>
      <t>Наружная стена подвала - 1 этажа;
Стены рампы, арки
Армирование пилонов принять пространственными каркасами из сварных сеток по типовому альбому БСА.1-КЖ.И-Р1. 
На участках, где невозможно выполнить армирование при помощи типовых сеток - выполнить армирование отдельными стержнями.
Диаметр основной продольной рабочей арматуры - 8, 10, 12, 16 мм (принять по расчету).
Диаметр дополнительной продольной арматуры - 8, 10, 12, 16 мм (принять по расчету).
Диаметры поперечной арматуры принять в соответствии с п.10.3.6, 10.3.12 СП 63.13330.2018. 
Шаг стержней принять максимально возможный (кратный 50 мм), по расчету. 
Класс рабочей арматуры для сеток/каркасов А500С.
Бетон</t>
    </r>
    <r>
      <rPr>
        <sz val="8"/>
        <color rgb="FF000000"/>
        <rFont val="Arial"/>
      </rPr>
      <t>: B30</t>
    </r>
    <r>
      <rPr>
        <sz val="8"/>
        <color rgb="FF000000"/>
        <rFont val="Arial"/>
      </rPr>
      <t>, (W - в зависимости от инженерно-геологических условий площадки строительства, F150, F200 - для Сургута)
 В35, (W - в зависимости от инженерно-геологических условий площадки строительства, F150, F200 - для Сургута) - для отметки ниже 0,000
Расход арматуры: не более 80 кг/м3</t>
    </r>
  </si>
  <si>
    <t>4.3.3.18</t>
  </si>
  <si>
    <r>
      <rPr>
        <sz val="8"/>
        <rFont val="Arial"/>
      </rPr>
      <t>Стена лестнично - лифтового узла монолитная 160 мм. (</t>
    </r>
    <r>
      <rPr>
        <sz val="8"/>
        <color rgb="FF1155CC"/>
        <rFont val="Arial"/>
      </rPr>
      <t>армирование сетками</t>
    </r>
    <r>
      <rPr>
        <sz val="8"/>
        <rFont val="Arial"/>
      </rPr>
      <t>)</t>
    </r>
  </si>
  <si>
    <t>4.3.3.19</t>
  </si>
  <si>
    <r>
      <rPr>
        <sz val="8"/>
        <rFont val="Arial"/>
      </rPr>
      <t>Плита перекрытия монолитная 180 мм. (</t>
    </r>
    <r>
      <rPr>
        <sz val="8"/>
        <color rgb="FF1155CC"/>
        <rFont val="Arial"/>
      </rPr>
      <t>армирование сетками</t>
    </r>
    <r>
      <rPr>
        <sz val="8"/>
        <rFont val="Arial"/>
      </rPr>
      <t>)</t>
    </r>
  </si>
  <si>
    <r>
      <rPr>
        <sz val="8"/>
        <color rgb="FF000000"/>
        <rFont val="Arial"/>
      </rPr>
      <t>Плита перекрытия между подвалом и первым этажом, типового этажа.
Нижнее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Дополнительное нижнее армирование принять сварными однонаправленными сетками</t>
    </r>
    <r>
      <rPr>
        <sz val="8"/>
        <color rgb="FF000000"/>
        <rFont val="Arial"/>
      </rPr>
      <t xml:space="preserve"> (или двунаправленными, если рабочая арматура требуется в двух направлениях).</t>
    </r>
    <r>
      <rPr>
        <sz val="8"/>
        <color rgb="FF000000"/>
        <rFont val="Arial"/>
      </rPr>
      <t xml:space="preserve">
Верхнее рабочее армирование принять сварными двунаправленными сетками расположенными в зоне действия изгибающих моментов. Исключить фоновое армирование плит перекрытий в верхней сжатой зоне.
Армирование выполнять при помощи типовых сеток БСА.1-КЖ.И-Р1. На участках, где невозможно выполнить армирование при помощи типовых сеток - выполнить армирование отдельными стержнями.
Класс рабочей арматуры для сеток/каркасов А500С.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экструдированного пенополистирола ЭППС35.
В деформационных швах между плитами перекрытия установить пенополистирол ППС25.
Бетон: B25, (W4, F150)
Расход арматуры: не более 80 кг/м3</t>
    </r>
  </si>
  <si>
    <t>4.3.3.20</t>
  </si>
  <si>
    <r>
      <rPr>
        <sz val="8"/>
        <rFont val="Arial"/>
      </rPr>
      <t>Плита перекрытия монолитная 200 мм. (</t>
    </r>
    <r>
      <rPr>
        <sz val="8"/>
        <color rgb="FF1155CC"/>
        <rFont val="Arial"/>
      </rPr>
      <t>армирование сетками</t>
    </r>
    <r>
      <rPr>
        <sz val="8"/>
        <rFont val="Arial"/>
      </rPr>
      <t>)</t>
    </r>
  </si>
  <si>
    <t>4.3.3.21</t>
  </si>
  <si>
    <r>
      <rPr>
        <sz val="8"/>
        <rFont val="Arial"/>
      </rPr>
      <t>Плита покрытия монолитная 200 мм. (</t>
    </r>
    <r>
      <rPr>
        <sz val="8"/>
        <color rgb="FF1155CC"/>
        <rFont val="Arial"/>
      </rPr>
      <t>армирование сетками</t>
    </r>
    <r>
      <rPr>
        <sz val="8"/>
        <rFont val="Arial"/>
      </rPr>
      <t>)</t>
    </r>
  </si>
  <si>
    <t>4.3.3.22</t>
  </si>
  <si>
    <r>
      <rPr>
        <sz val="8"/>
        <color theme="1"/>
        <rFont val="Arial"/>
      </rPr>
      <t xml:space="preserve">Между - 1 и 1 этажом, 1 и 2 этажом, между последним этажом и чердаком. 
</t>
    </r>
    <r>
      <rPr>
        <sz val="8"/>
        <color theme="1"/>
        <rFont val="Arial"/>
      </rPr>
      <t>Армирование выполнять отдельными стержнями.</t>
    </r>
    <r>
      <rPr>
        <sz val="8"/>
        <color theme="1"/>
        <rFont val="Arial"/>
      </rPr>
      <t xml:space="preserve">
</t>
    </r>
    <r>
      <rPr>
        <sz val="8"/>
        <color theme="1"/>
        <rFont val="Arial"/>
      </rPr>
      <t>Класс рабочей арматуры А500С.</t>
    </r>
    <r>
      <rPr>
        <sz val="8"/>
        <color theme="1"/>
        <rFont val="Arial"/>
      </rPr>
      <t xml:space="preserve">
Бетон: B25, (W4, F150)
Расход арматуры: не более 80 кг/м3</t>
    </r>
  </si>
  <si>
    <t>4.3.3.22.1</t>
  </si>
  <si>
    <t>Для типового этажа префабрицированной лестничной клетки высотой 3 метра.
БЛП 2540х1800х320-Л - для прямой секции
БЛП 2540х1800х320-П - для прямой секции
Сборный железобетон заводского изготовления.
Согласно альбома БЛК-3.0-КЖ.Р1</t>
  </si>
  <si>
    <t>4.3.3.23</t>
  </si>
  <si>
    <r>
      <rPr>
        <sz val="8"/>
        <color theme="1"/>
        <rFont val="Arial"/>
      </rPr>
      <t xml:space="preserve">Между - 1 и 1 этажом, 1 и 2 этажом, между последним этажом и чердаком. 
Армирование ступеней не предусматривать.
</t>
    </r>
    <r>
      <rPr>
        <sz val="8"/>
        <color theme="1"/>
        <rFont val="Arial"/>
      </rPr>
      <t>Армирование выполнять отдельными стержнями.
Класс рабочей арматуры А500С.</t>
    </r>
    <r>
      <rPr>
        <sz val="8"/>
        <color theme="1"/>
        <rFont val="Arial"/>
      </rPr>
      <t xml:space="preserve">
Бетон: B25, (W4, F150)
Расход арматуры: не более 80 кг/м3</t>
    </r>
  </si>
  <si>
    <t>4.3.3.23.1</t>
  </si>
  <si>
    <t>4.3.3.24</t>
  </si>
  <si>
    <t>4.3.3.25</t>
  </si>
  <si>
    <r>
      <rPr>
        <sz val="8"/>
        <color theme="1"/>
        <rFont val="Arial"/>
      </rPr>
      <t xml:space="preserve">Монолитный парапет по плите перекрытия, покрытия.
Высотой </t>
    </r>
    <r>
      <rPr>
        <sz val="8"/>
        <color theme="1"/>
        <rFont val="Arial"/>
      </rPr>
      <t>470 мм; 950 мм; 1650 мм.</t>
    </r>
    <r>
      <rPr>
        <sz val="8"/>
        <color theme="1"/>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</si>
  <si>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t>4.3.3.26</t>
  </si>
  <si>
    <r>
      <rPr>
        <sz val="8"/>
        <rFont val="Arial"/>
      </rPr>
      <t xml:space="preserve">Балкон префабрицированный, заводского изготовления.
Согласно </t>
    </r>
    <r>
      <rPr>
        <sz val="8"/>
        <color rgb="FF1155CC"/>
        <rFont val="Arial"/>
      </rPr>
      <t>матрица префаб.балконов V2.0</t>
    </r>
    <r>
      <rPr>
        <sz val="8"/>
        <rFont val="Arial"/>
      </rPr>
      <t>.</t>
    </r>
  </si>
  <si>
    <t xml:space="preserve"> Каркас монолитный башня до 75 метров</t>
  </si>
  <si>
    <t>4.3.4</t>
  </si>
  <si>
    <r>
      <rPr>
        <sz val="8"/>
        <color rgb="FF000000"/>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нормативные нагрузки: квартиры 150кг/м², офисы 200кг/м², пути эвакуации 300кг/м², торговые залы 400кг/м².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rgb="FF000000"/>
        <rFont val="Arial"/>
      </rPr>
      <t xml:space="preserve">Основные параметры каркаса:
</t>
    </r>
    <r>
      <rPr>
        <sz val="8"/>
        <color rgb="FF000000"/>
        <rFont val="Arial"/>
      </rPr>
      <t xml:space="preserve">Базовый шаг вертикальных конструкции 3450мм.
• Плита фундаментная монолитная </t>
    </r>
    <r>
      <rPr>
        <b/>
        <sz val="8"/>
        <color rgb="FF000000"/>
        <rFont val="Arial"/>
      </rPr>
      <t xml:space="preserve">- </t>
    </r>
    <r>
      <rPr>
        <sz val="8"/>
        <color rgb="FF000000"/>
        <rFont val="Arial"/>
      </rPr>
      <t>по расчету, но не более 900 мм
• Стена приямка лифтового монолитная 300 мм
• Плита приямка лифтового монолитная 500 мм
• Стена монолитная 250 мм - Наружная стена подвала, Стена арка, Стена рампа 
• Стена лестнично - лифтового узла монолитная 180 мм - (с -1 по 16, 17 этаж)
• Пилон монолитный 250х1500; 250х1800 мм - Пилон каркаса переходной
• Пилон монолитный 250х900; 250х1200 мм - Пилон каркаса (с -1 по 16, 17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</si>
  <si>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t>4.3.4.1</t>
  </si>
  <si>
    <t>4.3.4.2</t>
  </si>
  <si>
    <t>4.3.4.3</t>
  </si>
  <si>
    <t>4.3.4.4</t>
  </si>
  <si>
    <r>
      <rPr>
        <sz val="8"/>
        <rFont val="Arial"/>
      </rPr>
      <t>Плита фундаментная монолитная 900 мм. (</t>
    </r>
    <r>
      <rPr>
        <sz val="8"/>
        <color rgb="FF1155CC"/>
        <rFont val="Arial"/>
      </rPr>
      <t>армирование сетками</t>
    </r>
    <r>
      <rPr>
        <sz val="8"/>
        <rFont val="Arial"/>
      </rPr>
      <t>)</t>
    </r>
  </si>
  <si>
    <t>4.3.4.5</t>
  </si>
  <si>
    <t>4.3.4.6</t>
  </si>
  <si>
    <t>Плита приямка лифтового монолитная 500 мм</t>
  </si>
  <si>
    <t>4.3.4.7</t>
  </si>
  <si>
    <t>4.3.4.8</t>
  </si>
  <si>
    <t>4.3.4.9</t>
  </si>
  <si>
    <t>4.3.4.10</t>
  </si>
  <si>
    <t>4.3.4.11</t>
  </si>
  <si>
    <t>4.3.4.12</t>
  </si>
  <si>
    <r>
      <rPr>
        <sz val="8"/>
        <rFont val="Arial"/>
      </rPr>
      <t>Пилон монолитный 250х600 мм. (</t>
    </r>
    <r>
      <rPr>
        <sz val="8"/>
        <color rgb="FF1155CC"/>
        <rFont val="Arial"/>
      </rPr>
      <t>армирование сетками</t>
    </r>
    <r>
      <rPr>
        <sz val="8"/>
        <rFont val="Arial"/>
      </rPr>
      <t>)</t>
    </r>
  </si>
  <si>
    <r>
      <rPr>
        <sz val="8"/>
        <color rgb="FF000000"/>
        <rFont val="Arial"/>
      </rPr>
      <t xml:space="preserve">Армирование пилонов принять пространственными каркасами из сварных сеток по типовому альбому БСА.1-КЖ.И-Р1.
</t>
    </r>
    <r>
      <rPr>
        <sz val="8"/>
        <color rgb="FF000000"/>
        <rFont val="Arial"/>
      </rPr>
      <t xml:space="preserve">На участках, где невозможно выполнить армирование при помощи типовых сеток - выполнить армирование отдельными стержнями (обосновать расчетом).
</t>
    </r>
    <r>
      <rPr>
        <sz val="8"/>
        <color rgb="FF000000"/>
        <rFont val="Arial"/>
      </rPr>
      <t xml:space="preserve">
Диаметр основной продольной рабочей арматуры - 8, 10, 12, 16 мм (принять по расчету).
Диаметр дополнительной продольной арматуры - 10, 12, 16, 20, 25 мм (принять по расчету).
</t>
    </r>
    <r>
      <rPr>
        <sz val="8"/>
        <color rgb="FF000000"/>
        <rFont val="Arial"/>
      </rPr>
      <t>Диаметры</t>
    </r>
    <r>
      <rPr>
        <sz val="8"/>
        <color rgb="FF000000"/>
        <rFont val="Arial"/>
      </rPr>
      <t xml:space="preserve"> поперечной арматуры принять в соответствии с п.10.3.6, 10.3.12 СП 63.13330.2018. 
Шаг стержней принять максимально возможный (кратный 50 мм), по расчету.
Класс рабочей арматуры для сеток/каркасов А500С.
Бетон: B30, (W4, F150) - ниже плиты пола первого этажа
 B25, (W4, F150) - выше плиты пола первого этажа
Расход арматуры: не более 80 кг/м3</t>
    </r>
  </si>
  <si>
    <t>4.3.4.13</t>
  </si>
  <si>
    <r>
      <rPr>
        <sz val="8"/>
        <rFont val="Arial"/>
      </rPr>
      <t>Пилон монолитный 250х900 мм. (</t>
    </r>
    <r>
      <rPr>
        <sz val="8"/>
        <color rgb="FF1155CC"/>
        <rFont val="Arial"/>
      </rPr>
      <t>армирование сетками</t>
    </r>
    <r>
      <rPr>
        <sz val="8"/>
        <rFont val="Arial"/>
      </rPr>
      <t>)</t>
    </r>
  </si>
  <si>
    <r>
      <rPr>
        <sz val="8"/>
        <color rgb="FF000000"/>
        <rFont val="Arial"/>
      </rPr>
      <t xml:space="preserve">Армирование пилонов принять пространственными каркасами из сварных сеток по типовому альбому БСА.1-КЖ.И-Р1.
</t>
    </r>
    <r>
      <rPr>
        <sz val="8"/>
        <color rgb="FF000000"/>
        <rFont val="Arial"/>
      </rPr>
      <t>На участках, где невозможно выполнить армирование при помощи типовых сеток - выполнить армирование отдельными стержнями (обосновать расчетом).</t>
    </r>
    <r>
      <rPr>
        <sz val="8"/>
        <color rgb="FF000000"/>
        <rFont val="Arial"/>
      </rPr>
      <t xml:space="preserve">
Диаметр основной продольной рабочей арматуры - 8, 10, 12, 16 мм (принять по расчету).
Диаметр дополнительной продольной арматуры - 10, 12, 16, 20, 25 мм (принять по расчету).
Диаметры поперечной арматуры принять в соответствии с п.10.3.6, 10.3.12 СП 63.13330.2018. 
Шаг стержней принять максимально возможный (кратный 50 мм), по расчету.
Класс рабочей арматуры для сеток/каркасов А500С.
Бетон: B30, (W4, F150) - ниже плиты пола первого этажа
 B25, (W4, F150) - выше плиты пола первого этажа
Расход арматуры: не более 80 кг/м3</t>
    </r>
  </si>
  <si>
    <t>4.3.4.14</t>
  </si>
  <si>
    <r>
      <rPr>
        <sz val="8"/>
        <rFont val="Arial"/>
      </rPr>
      <t>Пилон монолитный 250х1200 мм. (</t>
    </r>
    <r>
      <rPr>
        <sz val="8"/>
        <color rgb="FF1155CC"/>
        <rFont val="Arial"/>
      </rPr>
      <t>армирование сетками</t>
    </r>
    <r>
      <rPr>
        <sz val="8"/>
        <rFont val="Arial"/>
      </rPr>
      <t>)</t>
    </r>
  </si>
  <si>
    <t>4.3.4.15</t>
  </si>
  <si>
    <r>
      <rPr>
        <sz val="8"/>
        <rFont val="Arial"/>
      </rPr>
      <t>Пилон монолитный 250х1500 мм. (</t>
    </r>
    <r>
      <rPr>
        <sz val="8"/>
        <color rgb="FF1155CC"/>
        <rFont val="Arial"/>
      </rPr>
      <t>армирование сетками</t>
    </r>
    <r>
      <rPr>
        <sz val="8"/>
        <rFont val="Arial"/>
      </rPr>
      <t>)</t>
    </r>
  </si>
  <si>
    <t>4.3.4.16</t>
  </si>
  <si>
    <r>
      <rPr>
        <sz val="8"/>
        <rFont val="Arial"/>
      </rPr>
      <t>Пилон монолитный 250х1800 мм. (</t>
    </r>
    <r>
      <rPr>
        <sz val="8"/>
        <color rgb="FF1155CC"/>
        <rFont val="Arial"/>
      </rPr>
      <t>армирование сетками</t>
    </r>
    <r>
      <rPr>
        <sz val="8"/>
        <rFont val="Arial"/>
      </rPr>
      <t>)</t>
    </r>
  </si>
  <si>
    <t>4.3.4.17</t>
  </si>
  <si>
    <r>
      <rPr>
        <sz val="8"/>
        <rFont val="Arial"/>
      </rPr>
      <t>Стена монолитная 250 мм. (</t>
    </r>
    <r>
      <rPr>
        <sz val="8"/>
        <color rgb="FF1155CC"/>
        <rFont val="Arial"/>
      </rPr>
      <t>армирование сетками</t>
    </r>
    <r>
      <rPr>
        <sz val="8"/>
        <rFont val="Arial"/>
      </rPr>
      <t>)</t>
    </r>
  </si>
  <si>
    <r>
      <rPr>
        <sz val="8"/>
        <color rgb="FF000000"/>
        <rFont val="Arial"/>
      </rPr>
      <t>Наружная стена подвала - 1 этажа;
Стены рампы, арки
Армирование пилонов принять пространственными каркасами из сварных сеток по типовому альбому БСА.1-КЖ.И-Р1. 
На участках, где невозможно выполнить армирование при помощи типовых сеток - выполнить армирование отдельными стержнями.
Диаметр основной продольной рабочей арматуры - 8, 10, 12, 16 мм (принять по расчету).
Диаметр дополнительной продольной арматуры - 8, 10, 12, 16 мм (принять по расчету).
Диаметры поперечной арматуры принять в соответствии с п.10.3.6, 10.3.12 СП 63.13330.2018. 
Шаг стержней принять максимально возможный (кратный 50 мм), по расчету. 
Класс рабочей арматуры для сеток/каркасов А500С.
Бетон</t>
    </r>
    <r>
      <rPr>
        <sz val="8"/>
        <color rgb="FF000000"/>
        <rFont val="Arial"/>
      </rPr>
      <t>: B30</t>
    </r>
    <r>
      <rPr>
        <sz val="8"/>
        <color rgb="FF000000"/>
        <rFont val="Arial"/>
      </rPr>
      <t>, (W - в зависимости от инженерно-геологических условий площадки строительства, F150, F200 - для Сургута)
 В35, (W - в зависимости от инженерно-геологических условий площадки строительства, F150, F200 - для Сургута) - для отметки ниже 0,000
Расход арматуры: не более 80 кг/м3</t>
    </r>
  </si>
  <si>
    <t>4.3.4.18</t>
  </si>
  <si>
    <r>
      <rPr>
        <sz val="8"/>
        <rFont val="Arial"/>
      </rPr>
      <t>Стена лестнично - лифтового узла монолитная 180 мм. (</t>
    </r>
    <r>
      <rPr>
        <sz val="8"/>
        <color rgb="FF1155CC"/>
        <rFont val="Arial"/>
      </rPr>
      <t>армирование сетками</t>
    </r>
    <r>
      <rPr>
        <sz val="8"/>
        <rFont val="Arial"/>
      </rPr>
      <t>)</t>
    </r>
  </si>
  <si>
    <t>4.3.4.19</t>
  </si>
  <si>
    <r>
      <rPr>
        <sz val="8"/>
        <rFont val="Arial"/>
      </rPr>
      <t>Плита перекрытия монолитная 180 мм. (</t>
    </r>
    <r>
      <rPr>
        <sz val="8"/>
        <color rgb="FF1155CC"/>
        <rFont val="Arial"/>
      </rPr>
      <t>армирование сетками</t>
    </r>
    <r>
      <rPr>
        <sz val="8"/>
        <rFont val="Arial"/>
      </rPr>
      <t>)</t>
    </r>
  </si>
  <si>
    <r>
      <rPr>
        <sz val="8"/>
        <color rgb="FF000000"/>
        <rFont val="Arial"/>
      </rPr>
      <t>Плита перекрытия между подвалом и первым этажом, типового этажа.
Нижнее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Дополнительное нижнее армирование принять сварными однонаправленными сетками</t>
    </r>
    <r>
      <rPr>
        <sz val="8"/>
        <color rgb="FF000000"/>
        <rFont val="Arial"/>
      </rPr>
      <t xml:space="preserve"> (или двунаправленными, если рабочая арматура требуется в двух направлениях).</t>
    </r>
    <r>
      <rPr>
        <sz val="8"/>
        <color rgb="FF000000"/>
        <rFont val="Arial"/>
      </rPr>
      <t xml:space="preserve">
Верхнее рабочее армирование принять сварными двунаправленными сетками расположенными в зоне действия изгибающих моментов. Исключить фоновое армирование плит перекрытий в верхней сжатой зоне.
Армирование выполнять при помощи типовых сеток БСА.1-КЖ.И-Р1. На участках, где невозможно выполнить армирование при помощи типовых сеток - выполнить армирование отдельными стержнями.
Класс рабочей арматуры для сеток/каркасов А500С.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экструдированного пенополистирола ЭППС35.
В деформационных швах между плитами перекрытия установить пенополистирол ППС25.
Бетон: B25, (W4, F150)
Расход арматуры: не более 80 кг/м3</t>
    </r>
  </si>
  <si>
    <t>4.3.4.20</t>
  </si>
  <si>
    <r>
      <rPr>
        <sz val="8"/>
        <rFont val="Arial"/>
      </rPr>
      <t>Плита перекрытия монолитная 200 мм. (</t>
    </r>
    <r>
      <rPr>
        <sz val="8"/>
        <color rgb="FF1155CC"/>
        <rFont val="Arial"/>
      </rPr>
      <t>армирование сетками</t>
    </r>
    <r>
      <rPr>
        <sz val="8"/>
        <rFont val="Arial"/>
      </rPr>
      <t>)</t>
    </r>
  </si>
  <si>
    <t>4.3.4.21</t>
  </si>
  <si>
    <r>
      <rPr>
        <sz val="8"/>
        <rFont val="Arial"/>
      </rPr>
      <t>Плита покрытия монолитная 200 мм. (</t>
    </r>
    <r>
      <rPr>
        <sz val="8"/>
        <color rgb="FF1155CC"/>
        <rFont val="Arial"/>
      </rPr>
      <t>армирование сетками</t>
    </r>
    <r>
      <rPr>
        <sz val="8"/>
        <rFont val="Arial"/>
      </rPr>
      <t>)</t>
    </r>
  </si>
  <si>
    <t>4.3.4.22</t>
  </si>
  <si>
    <r>
      <rPr>
        <sz val="8"/>
        <color theme="1"/>
        <rFont val="Arial"/>
      </rPr>
      <t xml:space="preserve">Между - 1 и 1 этажом, 1 и 2 этажом, между последним этажом и чердаком. 
</t>
    </r>
    <r>
      <rPr>
        <sz val="8"/>
        <color theme="1"/>
        <rFont val="Arial"/>
      </rPr>
      <t>Армирование выполнять отдельными стержнями.</t>
    </r>
    <r>
      <rPr>
        <sz val="8"/>
        <color theme="1"/>
        <rFont val="Arial"/>
      </rPr>
      <t xml:space="preserve">
</t>
    </r>
    <r>
      <rPr>
        <sz val="8"/>
        <color theme="1"/>
        <rFont val="Arial"/>
      </rPr>
      <t>Класс рабочей арматуры А500С.</t>
    </r>
    <r>
      <rPr>
        <sz val="8"/>
        <color theme="1"/>
        <rFont val="Arial"/>
      </rPr>
      <t xml:space="preserve">
Бетон: B25, (W4, F150)
Расход арматуры: не более 80 кг/м3</t>
    </r>
  </si>
  <si>
    <t>4.3.4.22.1</t>
  </si>
  <si>
    <t>Площадка межэтажная сборная 2540х1300х320</t>
  </si>
  <si>
    <t>Для типового этажа префабрицированной лестничной клетки высотой 3 метра.
БЛП 2540х1300х320-Л
БЛП 2540х1300х320-П
Сборный железобетон заводского изготовления.
Согласно альбома БЛК-3.0-КЖ.Р1</t>
  </si>
  <si>
    <t>4.3.4.23</t>
  </si>
  <si>
    <r>
      <rPr>
        <sz val="8"/>
        <color theme="1"/>
        <rFont val="Arial"/>
      </rPr>
      <t xml:space="preserve">Между - 1 и 1 этажом, 1 и 2 этажом, между последним этажом и чердаком. 
Армирование ступеней не предусматривать.
</t>
    </r>
    <r>
      <rPr>
        <sz val="8"/>
        <color theme="1"/>
        <rFont val="Arial"/>
      </rPr>
      <t>Армирование выполнять отдельными стержнями.
Класс рабочей арматуры А500С.</t>
    </r>
    <r>
      <rPr>
        <sz val="8"/>
        <color theme="1"/>
        <rFont val="Arial"/>
      </rPr>
      <t xml:space="preserve">
Бетон: B25, (W4, F150)
Расход арматуры: не более 80 кг/м3</t>
    </r>
  </si>
  <si>
    <t>4.3.4.23.1</t>
  </si>
  <si>
    <t>4.3.4.24</t>
  </si>
  <si>
    <t>4.3.4.25</t>
  </si>
  <si>
    <r>
      <rPr>
        <sz val="8"/>
        <color theme="1"/>
        <rFont val="Arial"/>
      </rPr>
      <t xml:space="preserve">Монолитный парапет по плите перекрытия, покрытия.
Высотой </t>
    </r>
    <r>
      <rPr>
        <sz val="8"/>
        <color theme="1"/>
        <rFont val="Arial"/>
      </rPr>
      <t>470 мм; 950 мм; 1650 мм.</t>
    </r>
    <r>
      <rPr>
        <sz val="8"/>
        <color theme="1"/>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</si>
  <si>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t>4.3.4.26</t>
  </si>
  <si>
    <r>
      <rPr>
        <sz val="8"/>
        <rFont val="Arial"/>
      </rPr>
      <t xml:space="preserve">Балкон префабрицированный, заводского изготовления.
Согласно </t>
    </r>
    <r>
      <rPr>
        <sz val="8"/>
        <color rgb="FF1155CC"/>
        <rFont val="Arial"/>
      </rPr>
      <t>матрица префаб.балконов V2.0</t>
    </r>
    <r>
      <rPr>
        <sz val="8"/>
        <rFont val="Arial"/>
      </rPr>
      <t>.</t>
    </r>
  </si>
  <si>
    <t xml:space="preserve"> Каркас монолитный паркинга</t>
  </si>
  <si>
    <t>4.3.6</t>
  </si>
  <si>
    <r>
      <rPr>
        <sz val="8"/>
        <color rgb="FF000000"/>
        <rFont val="Arial"/>
      </rPr>
      <t xml:space="preserve">Каркас из монолитных пилонов и стен(ограждающие стены автостоянки, соприкасающиеся с грунтом)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Гидроизоляцию принять на основании инженерно - геологических изысканий.
Требования к нагрузкам:
• Принять следующие временные, нормативные нагрузки: автостоянка и подъездные пути 350 кг/м², рампа 500 кг/м².
• Нагрузки от климатических воздействий согласно СП 20.13330.2016.
• Нагрузки от пожарных подразделений прикладывать только в зоне проезда и развертывания пожарного подразделения в виде линейной распределенной нагрузки и локальных поверхностных нагрузок под пятами аутригеров и не сочетанием данных видов нагрузки в одном нагружении.
• Расчет должен учитывать этапность возведения каркаса (порядок строительства и приложения расчетной нагрузки).
Не предусматривать монолитные стены и диафрагмы за исключением наружных стен смежных с грунтом.
Базовый шаг колонн/пилонов через 3 м/места (7500 мм в чистоте между внутренними гранями вертикальных конструкций). Допускается предусматривать колонны через 2 м/места (5000 мм в чистоте между внутренними гранями вертикальных конструкций) при условии увеличения общего количества м/мест от базового.
Предусмотреть деформационные швы при длине паркинга более 65 м (иной размер деформационного шва обосновать расчетом).
При устройстве консоли в плите перекрытия и плите покрытия ее размер не должен превышать 1/5 пролета.
</t>
    </r>
    <r>
      <rPr>
        <b/>
        <sz val="8"/>
        <color rgb="FF000000"/>
        <rFont val="Arial"/>
      </rPr>
      <t>Основные параметры каркаса:</t>
    </r>
    <r>
      <rPr>
        <sz val="8"/>
        <color rgb="FF000000"/>
        <rFont val="Arial"/>
      </rPr>
      <t xml:space="preserve">
• Фундамент монолитный столбчатый - габариты по расчету
• Плита монолитная 200 мм - плита пола между ростверками, устаивается в теле ростверков по верхней грани (Выполняется при высоком уровне грунтовых вод, при отсутствии системы дренажа)
• Плита монолитная 100 мм - устраивается сверху ростверков (Выполняется при низком уровне грунтовых вод при отсутствии системы дренажа)
• Фундамент монолитный ленточный - габариты по расчету
• Стена монолитная 250 мм - Наружная стена подвала
• Пилон монолитный 300х900 мм - Пилон каркаса
• Плита покрытия монолитная 250 мм
• Капитель монолитная 250 мм
• Плита рампы монолитная 200 мм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
Класс поверхности для лицевой (верхней) поверхности для фундаментных плит, плит перекрытия ниже нуля принять - А6 согласно приложения Х, СП 70.13330.2012.</t>
    </r>
  </si>
  <si>
    <t>4.3.6.1</t>
  </si>
  <si>
    <t>4.3.6.2</t>
  </si>
  <si>
    <t>4.3.6.3</t>
  </si>
  <si>
    <t>4.3.6.4</t>
  </si>
  <si>
    <t>Фундамент столбчатый монолитный</t>
  </si>
  <si>
    <t>Армирование в верхней (сжатой) зоне не выполнять.
Армирование выполнять отдельными стержнями из арматуры классов А240; А500; А500С.
Бетон: B25, (W - в зависимости от инженерно-геологических условий площадки строительства, F150, F200 - для Сургута)
Расход арматуры: не более 80 кг/м3</t>
  </si>
  <si>
    <t>4.3.6.5</t>
  </si>
  <si>
    <t>Плита монолитная 100 мм</t>
  </si>
  <si>
    <t>Применяется при низком уровне грунтовых вод или при сезонном подъеме грунтовых вод с системой пластового дренажа
Армирование выполнять отдельными стержнями из арматуры классов А240; А500; А500С.
Бетон: B25, (W - в зависимости от инженерно-геологических условий площадки строительства, F150, F200 - для Сургута)
Расход арматуры: не более 80 кг/м3</t>
  </si>
  <si>
    <t>4.3.6.6</t>
  </si>
  <si>
    <t>Плита монолитная 200 мм</t>
  </si>
  <si>
    <t>Применяется при высоком уровне грунтовых вод.
Армирование выполнять отдельными стержнями из арматуры классов А240; А500; А500С.
Бетон: B25, (W - в зависимости от инженерно-геологических условий площадки строительства, F150, F200 - для Сургута)
Расход арматуры: не более 80 кг/м3</t>
  </si>
  <si>
    <t>4.3.6.7</t>
  </si>
  <si>
    <t>Приямок дренажный монолитный 500х700х500 (h)</t>
  </si>
  <si>
    <t>Предусмотреть для системы дренажной канализации отвода стоков от системы автоматического пожаротушения паркинга и удалении воды при различных утечках.
2 приямка. на 1 пожарный отсек или минимальные размеры для установки дренажных насосов. 
Армирование выполнять отдельными стержнями арматуры классов А240; А500; А500С.
Бетон: B25, (W - в зависимости от инженерно-геологических условий площадки строительства, F150, F200 - для Сургута)
Расход арматуры: не более 80 кг/м3</t>
  </si>
  <si>
    <t>4.3.6.8</t>
  </si>
  <si>
    <r>
      <rPr>
        <sz val="8"/>
        <color rgb="FF1155CC"/>
        <rFont val="Arial"/>
      </rPr>
      <t>Гидроизоляция и теплоизоляция горизонтальная паркинга</t>
    </r>
    <r>
      <rPr>
        <sz val="8"/>
        <color rgb="FF000000"/>
        <rFont val="Arial"/>
      </rPr>
      <t xml:space="preserve"> </t>
    </r>
  </si>
  <si>
    <r>
      <rPr>
        <b/>
        <sz val="8"/>
        <color theme="1"/>
        <rFont val="Arial"/>
      </rPr>
      <t xml:space="preserve">Для низкого уровня грунтовых вод:
</t>
    </r>
    <r>
      <rPr>
        <sz val="8"/>
        <color theme="1"/>
        <rFont val="Arial"/>
      </rPr>
      <t xml:space="preserve">Выполнить обмазочную гидроизоляцию мастикой гидроизоляционной Технониколь №24 (в 2 слоя) по праймеру битумному Технониколь №01 - для отдельно стоящих ростверков.
В деформационных швах монолитной плиты пола паркинга:
- Пенополистирол ППС25 - 50 мм
</t>
    </r>
    <r>
      <rPr>
        <b/>
        <sz val="8"/>
        <color theme="1"/>
        <rFont val="Arial"/>
      </rPr>
      <t xml:space="preserve">Для высокого уровня грунтовых вод:
</t>
    </r>
    <r>
      <rPr>
        <sz val="8"/>
        <color theme="1"/>
        <rFont val="Arial"/>
      </rPr>
      <t>Гидроизоляция фундаментной плиты:
- Фундаментная плита монолитная
- Защитный слой из тощего бетона В7.5 - 30 мм
- Гидроизоляция ТЕХНОЭЛАСТ ЭПП
- Огрунтовка праймером битумным по бетонной подготовке
- Подготовка под фундамент бетонная 70 мм 
- Уплотненный грунт основания
В деформационных швах фундаментных плит, плит покрытия паркинга:
- Гидрошпонка АКВАСТОП ДЗ-140/50-4/35 / Технониколь FM-140/50
- Пенополистирол ППС25 - 50 мм
В рабочих швах бетонирования:
- Гидрошпонка ЕС-320-4
- Саморасширяющийся шнур Технониколь IC-SP 20х10 мм
Выполнить согласно альбомов:
- КР.КЖ-У
- КР.Ф-У</t>
    </r>
  </si>
  <si>
    <t>4.3.6.9</t>
  </si>
  <si>
    <t>Пилон монолитный 300х900 мм. (армирование отдельными стержнями)</t>
  </si>
  <si>
    <t>Армирование выполнять отдельными стержнями из арматуры классов А240; А500; А500С.
Бетон: B25, (W4, F150)
Расход арматуры: не более 80 кг/м3</t>
  </si>
  <si>
    <t>4.3.6.10</t>
  </si>
  <si>
    <t>Стена монолитная 250 мм. (армирование сетками)</t>
  </si>
  <si>
    <t>Наружная стена подвала - 1 этажа;
Стены рампы, арки
Армирование пилонов принять пространственными каркасами из сварных сеток по типовому альбому БСА.1-КЖ.И-Р1. 
На участках, где невозможно выполнить армирование при помощи типовых сеток - выполнить армирование отдельными стержнями (обосновать расчетом).
Диаметр основной продольной рабочей арматуры - 8, 10, 12, 16 мм (принять по расчету).
Диаметр дополнительной продольной арматуры - 8, 10, 12, 16 мм (принять по расчету).
Диаметра поперечной арматуры принять в соответствии с п.10.3.6, 10.3.12 СП 63.13330.2018. 
Шаг стержней принять максимально возможный (кратный 50 мм), по расчету. 
Класс рабочей арматуры для сеток/каркасов А500С.
Бетон: B30, (W - в зависимости от инженерно-геологических условий площадки строительства, F150, F200 - для Сургута)
Расход арматуры: не более 80 кг/м3</t>
  </si>
  <si>
    <t>4.3.6.11</t>
  </si>
  <si>
    <t>Плита перекрытия монолитная 250 мм. (армирование отдельными стержнями)</t>
  </si>
  <si>
    <t>Армирование выполнять отдельными стержнями из арматуры классов А240; А500; А500С.
Бетон: B25, (W - в зависимости от инженерно-геологических условий площадки строительства, F150, F200 - для Сургута)
 В35, (W - в зависимости от инженерно-геологических условий площадки строительства, F150, F200 - для Сургута) - для отметки ниже 0,000
Расход арматуры: не более 80 кг/м3</t>
  </si>
  <si>
    <t>4.3.6.12</t>
  </si>
  <si>
    <t>Капитель монолитная 250 мм</t>
  </si>
  <si>
    <t>Предусмотреть прямоугольной формы без излома, габаритами равными 1/3 - 1/4 пролета.
Армирование выполнять арматурой классов А240; А500; А500С.
Бетон: B25, (W - в зависимости от инженерно-геологических условий площадки строительства, F150)
Расход арматуры: не более 80 кг/м3</t>
  </si>
  <si>
    <t>4.3.6.13</t>
  </si>
  <si>
    <t>Плита покрытия монолитная 250 мм. (армирование отдельными стержнями)</t>
  </si>
  <si>
    <r>
      <rPr>
        <sz val="8"/>
        <color theme="1"/>
        <rFont val="Arial"/>
      </rPr>
      <t xml:space="preserve">Армирование выполнять отдельными стержнями из арматуры классов А240; А500; А500С.
</t>
    </r>
    <r>
      <rPr>
        <b/>
        <i/>
        <sz val="8"/>
        <color theme="1"/>
        <rFont val="Arial"/>
      </rPr>
      <t xml:space="preserve">
</t>
    </r>
    <r>
      <rPr>
        <sz val="8"/>
        <color theme="1"/>
        <rFont val="Arial"/>
      </rPr>
      <t xml:space="preserve">Бетон: B25, (W4, F150)
Расход арматуры: не более 80 кг/м3 </t>
    </r>
  </si>
  <si>
    <t>4.3.6.14</t>
  </si>
  <si>
    <t>Плита рампы монолитная 200 мм. (армирование отдельными стержнями)</t>
  </si>
  <si>
    <r>
      <rPr>
        <sz val="8"/>
        <color theme="1"/>
        <rFont val="Arial"/>
      </rPr>
      <t xml:space="preserve">Армирование выполнять отдельными стержнями из арматуры классов А240; А500; А500С.
</t>
    </r>
    <r>
      <rPr>
        <b/>
        <i/>
        <sz val="8"/>
        <color theme="1"/>
        <rFont val="Arial"/>
      </rPr>
      <t xml:space="preserve">
</t>
    </r>
    <r>
      <rPr>
        <sz val="8"/>
        <color theme="1"/>
        <rFont val="Arial"/>
      </rPr>
      <t xml:space="preserve">Бетон: B25, (W4, F150)
Расход арматуры: не более 80 кг/м3 </t>
    </r>
  </si>
  <si>
    <t>4.3.6.15</t>
  </si>
  <si>
    <t>Монолитный парапет по плите покрытия.
Высотой 300 мм - в деформационном шве плит покрытия;
Высотой 470 мм - по периметру плиты покрытия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</si>
  <si>
    <t>5. Электроснабжение</t>
  </si>
  <si>
    <t>5.1 Трубная разводка в железобетонных конструкциях. Электрооборудование и электроосвещение</t>
  </si>
  <si>
    <t>Разводка закладных в каркасе</t>
  </si>
  <si>
    <t>Для прокладки электрических сетей в монолитных стенах и перекрытиях предусмотреть каналы из рулонных ПНД труб, установочных коробок. 
Производители:
Труба: согласно вендор листу.
Коробки: согласно вендор листу.</t>
  </si>
  <si>
    <t>5.2 Электрооборудование и электроосвещение</t>
  </si>
  <si>
    <t xml:space="preserve">Электроснабжение проектируемого Объекта осуществить в соответствии с Техническими условиями энергоснабжающей организации. </t>
  </si>
  <si>
    <t>5.2.0</t>
  </si>
  <si>
    <t>Нагрузки электроснабжение</t>
  </si>
  <si>
    <t>При расчете обеспечить выполнение Приказа Минстрой РФ№919/пр от 30.12.2020г и снизить расчетные нагрузки: 
на 19% для Москвы и Московской области
на 9% для Екатеринбурга, Кургана, Новосибирска, Тюмени и Омска, Сургута
При проектировании учесть плановые нагрузки по данному объекту 1 006,55 кВт.
на коммерческие помещения
жилые помещения
паркинг</t>
  </si>
  <si>
    <t xml:space="preserve"> Система электроснабжения общее</t>
  </si>
  <si>
    <t>5.2.0.1</t>
  </si>
  <si>
    <t>Общая информация</t>
  </si>
  <si>
    <t>К потребителям I категории надежности электроснабжения здания отнести:
- оборудование насосных станций;
- оборудование ИТП;
- оборудование постов охраны, аппаратуры технических средств безопасности;
- лифты;
- оборудование сетей связи;
- электроприемники систем противопожарной защиты (включая аварийное освещение);
- огни светового ограждения;
- оборудование систем электрообогрева;
- силовые щиты цепей управления защиты от замораживания приточных установок.
Все остальные потребители относятся ко II категории по обеспечению надежности электроснабжения.</t>
  </si>
  <si>
    <t>5.2.0.2</t>
  </si>
  <si>
    <t>Питающие и распределительные 
линии 0,4 кВ - кабель</t>
  </si>
  <si>
    <t xml:space="preserve">Прокладку кабелей от ТП до ввода снаружи здания выполнить согласно технических условий, кабелем 0,4 кВт с алюминиевыми жилами, сечение согласно расчёта.
Прокладку кабельных линий от ввода здания до ВРУ в коридоре технического этажа (подвала) выполнить под потолком в лотках кабелем 0,4 кВт с алюминиевыми жилами. Избегать прокладки кабелей над кладовыми.
Для ввода и вывода из здания силовых цепей электроснабжения и наружного освещения предусмотреть устройство ПВХ-труб, диаметр подобрать из условия заполняемости кабелем не более 40 % от внутреннего диаметра трубы. Количество труб определить проектом.
При наличии транзитных участков из одного ПО через другой ПО необходимо использование ОКК с пределом огнестойкости ЕI не ниже огнестойкости прилегающих конструкций.
Стороны огнестойкого кабельного короба подобрать из каталога производителя в соответствии с прилегающими конструкциями. </t>
  </si>
  <si>
    <t xml:space="preserve"> Система электроснабжения Жилая часть</t>
  </si>
  <si>
    <t>Жилая часть - кабель</t>
  </si>
  <si>
    <t>Кабельные линии от ВРУ до щита этажного проложить под потолком коридора технического этажа.
Магистраль кабельных линий основной и СПЗ выполнить с разделением по коробам, лоткам, трубам.
Стояк кабельных линий основной и СПЗ выполнить в отдельных электротехнических нишах.
Не производить прокладку кабелей (разводку) в двухуровневых квартирах, квартирах с отдельным входом и квартирах с надстройкой на последних этажах.
Выполнить полную разводку внутриквартирных сетей в соответствии с разделением на группы. 
Счетчики учета потребителей квартир предусмотреть в этажных щитах.
Этажные распределительные щиты встраиваемого исполнения, устанавливаемые в электротехнические шахты. Предусмотреть в каждой шахте розетку от отдельной группы с защитой дифференциальным автоматическим выключателем.
Квартирные щиты расположение:
Навесные (накладные) 12 модулей - сбоку у входной двери.
Расчет электрических нагрузок кВт/ на квартиру выполнить по таблице 7.1 СП 256.1325800.
Питание квартир: однофазное.</t>
  </si>
  <si>
    <t>5.2.1.1</t>
  </si>
  <si>
    <t>ВРУ</t>
  </si>
  <si>
    <t>Количество ВРУ см. раздел 1.1 Требования к объемно-планировочным решениям, пункт 1.2. "Площади и расположение инженерных помещений" :
Подключение ВРУ на паркинг предусмотреть от ВРУ жилой части, наиболее близко расположенной к ТП.
Подключение смежных жилых секций от одного ВРУ выполнить из условия равномерного распределения электрической нагрузки по объекту строительства.
Все ВРУ разместить в электрощитовой.
ВРУ предусмотреть на базе электрооборудования согласно вендор листа.
Расчетный учет на границе балансовой принадлежности на стороне 0,4 кВ, на вводах в каждое ВРУ в соответствии с ТУ.
Производители: согласно вендор листа.</t>
  </si>
  <si>
    <t>5.2.1.2</t>
  </si>
  <si>
    <t>Щит этажный</t>
  </si>
  <si>
    <t>В составе этажного щита предусмотреть приборы учета электроэнергии на каждое жилое помещение.
Счетчики с цифровым дисплеем, класса точности 1, числом тарифов не менее 4, с возможностью подключения к системе диспетчеризации по интерфейсу RS 485.
Производители: согласно вендор листа.</t>
  </si>
  <si>
    <t>5.2.1.3</t>
  </si>
  <si>
    <t>Щит квартирный</t>
  </si>
  <si>
    <t>На вводе в щиток установить вводно коммутационное устройства (в соответствии с расчетной нагрузкой).
Для обеспечения питания роутера предусмотреть установку розетки 220 В рядом с оптической розеткой на той же высоте.
Производители: согласно вендор листа.</t>
  </si>
  <si>
    <t>5.2.1.4</t>
  </si>
  <si>
    <t>Оконечное оборудование электротехническое Жилая часть</t>
  </si>
  <si>
    <t>Не предусматривать установку оконечного оборудования (розетки, выключатели и т.д.)</t>
  </si>
  <si>
    <t>5.2.1.5</t>
  </si>
  <si>
    <t>Магистраль электроснабжения кабель</t>
  </si>
  <si>
    <t>Прокладку кабельных линий от ВРУ до ниши (шахты) ЭЛ, выполнить кабелем:
- с алюминиевыми жилами изоляцией типа LS к жилым помещениям;
Сечение кабелей согласно расчёта.
Прокладку выполнить в перфорированных лотках под потолком коридора технического этажа (подвала) до места выхода в стояки. Прокладка кабелей над кладовыми запрещена.
Производители: согласно вендор листа.</t>
  </si>
  <si>
    <t>5.2.1.6</t>
  </si>
  <si>
    <t>Стояк электроснабжения Жилая часть</t>
  </si>
  <si>
    <t>Прокладку кабельных линий от магистрали в нише ЭЛ выполнить кабелем:
- с алюминиевыми жилами изоляцией типа LS.
Сечение кабелей согласно расчёта.
Прокладку выполнить в нише ЭЛ на П-образном профиле.</t>
  </si>
  <si>
    <t>5.2.1.7</t>
  </si>
  <si>
    <t>Разводка электроснабжения от этажного щита до конечных потребителей жилая часть</t>
  </si>
  <si>
    <r>
      <rPr>
        <sz val="8"/>
        <color rgb="FF000000"/>
        <rFont val="Arial"/>
      </rPr>
      <t xml:space="preserve">Прокладку кабельных линий от щита этажного, распределительно до конечных потребителей, выполнить кабелем: 
 - с медными жилами с изоляцией LS.
Сечение согласно расчёта.
В каждом помещении квартиры предусмотреть установку ответвительных коробок для прокладки линий розеточной бытовой сети. Места установки коробок на стенах выбрать так, чтобы исключить прокладку линий на монолитных участках стен, а также в стяжке.
</t>
    </r>
    <r>
      <rPr>
        <b/>
        <sz val="8"/>
        <color rgb="FF000000"/>
        <rFont val="Arial"/>
      </rPr>
      <t>Линии освещения:</t>
    </r>
    <r>
      <rPr>
        <sz val="8"/>
        <color rgb="FF000000"/>
        <rFont val="Arial"/>
      </rPr>
      <t xml:space="preserve">
Прокладку выполнить:
В основных жилых помещениях - в ПНД трубе D20 в плите перекрытия.
В ванной - в ПНД трубе D25 в плите перекрытия.
В паркинге - в гофрированной ПВХ трубе D20 открытым способом.
В коридоре кладовых выполнить на перфорированным лотке 50х50 с огнезащитной перегородкой.
Выпуск кабеля после протяжки из плиты перекрытия выполнить длиной 400 мм и закончить клеммником
Сечение кабеля:
Освещение в основных жилых помещениях и МОП - 3х2,5
Освещение в ванной - 3х4
Опуски к выключателям - 2х2,5 (для одноклавишных), 3х2,5 (для двухклавишных)
</t>
    </r>
    <r>
      <rPr>
        <b/>
        <sz val="8"/>
        <color rgb="FF000000"/>
        <rFont val="Arial"/>
      </rPr>
      <t>Линии розеток:</t>
    </r>
    <r>
      <rPr>
        <sz val="8"/>
        <color rgb="FF000000"/>
        <rFont val="Arial"/>
      </rPr>
      <t xml:space="preserve">
Прокладку выполнить: в стяжке пола в гофрированной трубе.
На одну комнату предусмотреть устройство одной распределительной коробки. Места установки коробок на стенах выбрать так чтобы исключить прокладку линий на монолитных участках стен.
Опуски к выключателям и подъемы к розеткам расположенным на кирпичных стенах выполнить в штробе под затирку.
Опуски к выключателям и подъемы к розеткам расположенным на ГКЛ перегородках выполнить в гофрированной ПВХ трубе.
Не производить прокладку кабелей (разводку розеточных сетей) в двухуровневых квартирах, квартирах с отдельным входом и квартирах с надстройкой на последних этажах.
Сечение кабеля:
Для розеточных групп - 3х4
К конечным розеткам основных помещений - 3х2,5, для ванной 3х4
Для подключения кухонной плиты предусмотреть отдельный кабель сечением 3х10</t>
    </r>
  </si>
  <si>
    <t xml:space="preserve"> Система электроснабжения МОП</t>
  </si>
  <si>
    <t xml:space="preserve">Кабельные линии от ВРУ до стояков проложить под потолком коридора технического этажа.
Магистраль кабельных линий основной и СПЗ выполнить с разделением по коробам, лоткам, трубам.
Стояк кабельных линий основной и СПЗ выполнить в отдельных электротехнических нишах.
Учет в составе ВРУ жилой части.
Электропроводку следует проектировать сменяемой.
Светильники (тип, марка, серия) согласно дизайн проекта. </t>
  </si>
  <si>
    <t>5.2.2.1</t>
  </si>
  <si>
    <t>Оконечное оборудование электротехническое МОП</t>
  </si>
  <si>
    <t>Для помещений МОП светильники (тип, марка, серия) согласно дизайн проекта.
Производители: согласно вендор листа.</t>
  </si>
  <si>
    <t>5.2.2.2</t>
  </si>
  <si>
    <t>5.2.2.3</t>
  </si>
  <si>
    <t>Стояк электроснабжения</t>
  </si>
  <si>
    <t>Прокладку кабельных линий от магистрали электроснабжения до щитов этажных, распределительных выполнить кабелем:
- с алюминиевыми жилами изоляцией типа LS;
Сечение кабелей согласно расчёта.
Прокладка кабелей в нише производится на П-образном профиле.</t>
  </si>
  <si>
    <t>5.2.2.4</t>
  </si>
  <si>
    <t>Разводка электроснабжения от этажного щита до конечных потребителей - МОП</t>
  </si>
  <si>
    <r>
      <rPr>
        <sz val="8"/>
        <color rgb="FF000000"/>
        <rFont val="Arial"/>
      </rPr>
      <t xml:space="preserve">Прокладку кабельных линий от щита этажного, распределительно до конечных потребителей, выполнить кабелем: 
 - с медными жилами с изоляцией LS.
Сечение согласно расчёта.
</t>
    </r>
    <r>
      <rPr>
        <b/>
        <sz val="8"/>
        <color rgb="FF000000"/>
        <rFont val="Arial"/>
      </rPr>
      <t>Линии освещения:</t>
    </r>
    <r>
      <rPr>
        <sz val="8"/>
        <color rgb="FF000000"/>
        <rFont val="Arial"/>
      </rPr>
      <t xml:space="preserve">
Прокладку выполнить:
В МОП - в ПНД трубе D20 в плите перекрытия.
Управление освещением мест общего пользования жилой части (межквартирные коридоры, лифтовые холлы, вестибюли входных групп) предусмотреть:
Рабочее освещение:
- включается от датчика движения или звукового;
- местное (ручное) - с фасада щита освещения;
- телеуправление - с диспетчерского поста (при его наличии);
Аварийное/эвакуационное:
- включено постоянно.
Сечение кабеля:
Освещение в МОП - 3х2,5
Опуски к выключателям - 2х1,5 (для одноклавишных), 3х1,5 (для двухклави</t>
    </r>
    <r>
      <rPr>
        <b/>
        <sz val="8"/>
        <color rgb="FF000000"/>
        <rFont val="Arial"/>
      </rPr>
      <t xml:space="preserve">шных)
</t>
    </r>
    <r>
      <rPr>
        <sz val="8"/>
        <color rgb="FF000000"/>
        <rFont val="Arial"/>
      </rPr>
      <t>Опуски к выключателям и подъемы к розеткам расположенным на кирпичных стенах выполнить в штробе под затирку.
Опуски к выключателям и подъемы к розеткам расположенным на ГКЛ перегородках выполнить в гофрированной трубе.</t>
    </r>
  </si>
  <si>
    <t xml:space="preserve"> Система электроснабжения Коммерческие помещения</t>
  </si>
  <si>
    <t>Кабельные линии от ВРУ до щита помещения проложить под потолком коридора технического этажа.
Расчетная мощность коммерческих помещений (для расчетов при получении ТУ) - 54 Вт/м2. 
Расчетная мощность коммерческих помещений (для проекта рабочей документации) - 170 Вт/м2 (включая нагрузку на тепловые завесы). 
Для помещений менее 120м2 - минимальная нагрузка 10кВт, двухфазный ввод 220В
Для помещений более 120м2 - трехфазный ввод 380В
В каждом помещение предусмотреть распределительный щит с вводно коммутационным защитным аппаратом в соответствии с расчетной мощностью, а также аппаратов отходящих линий, необходимых для подключения инженерного оборудования и электроосвещения, необходимых для сдачи объекта. 
Разводка групповых сетей предусматривается силами собственника.</t>
  </si>
  <si>
    <t>5.2.3.1</t>
  </si>
  <si>
    <t>Щит навесной коммерческих помещений</t>
  </si>
  <si>
    <t xml:space="preserve">Расположить в глубине помещения, во вспомогательных или технических помещениях, не располагать вблизи входной группы.
В составе щита коммерческого помещения (ЩКП) предусмотреть прибор учета электроэнергии.
Счетчики электрической энергии с цифровым дисплеем, класса точности 1, числом тарифов не менее 4, с возможностью подключения к системе диспетчеризации по интерфейсу RS 485.
"Для помещений МОП и паркинга светильники (тип, марка, серия) согласно дизайн проекта.
Производители: согласно вендор листа."        </t>
  </si>
  <si>
    <t>5.2.3.2</t>
  </si>
  <si>
    <t>Прокладку кабельных линий ритейла выполнить от ВРУ до ЩКП кабелем с алюминиевыми жилами, по потолку тех. этажа (подвала) в гофрированной ПВХ трубе. 
Подъем кабеля к ЩМКП проложить через плиту перекрытия в ПВХ гофрированной трубе. 
Сечение кабельных линий выбрать согласно расчета (170Вт/м2 PS Мощность актуальна для подбора кабельных линий и аппаратов защиты, к расчету наргузок принять Руд=54 Вт/м2)</t>
  </si>
  <si>
    <t>5.2.3.3</t>
  </si>
  <si>
    <t>Прокладку кабельных линий коммерческих помщений выполнить от ВРУ до ЩКП кабелем с алюминиевыми жилами, по потолку тех. этажа( подвала ) в ПВХ гофрированной трубе.
Подъем кабеля к ЩМКП проложить через плиту перекрытия в ПВХ гофр. трубе. 
Сечение кабельных линий выбрать согласно расчета (170Вт/м2 PS Мощность актуальна для подбора кабельных линий и аппаратов защиты, к расчету нагрузок принять Руд=54 Вт/м2)</t>
  </si>
  <si>
    <t xml:space="preserve"> Система электроснабжения Паркинг</t>
  </si>
  <si>
    <r>
      <rPr>
        <sz val="8"/>
        <color rgb="FF000000"/>
        <rFont val="Arial"/>
      </rPr>
      <t xml:space="preserve">Кабельные линии проложить под потолком открыто в гофрированных ПВХ трубах с креплением к стенам и потолку.
Расчетную нагрузку потребителей автостоянки принять 0,2 кВт/машино-место.
Выполнить расчет электрических нагрузок в рабочем и аварийном (пожарном) режимах. Совмещение аварийного и пожарного режимов при расчете нагрузок не учитывать.
Учет в составе ВРУ паркинга. Счетчики с цифровым дисплеем, класса точности 1, с возможностью подключения к системе диспетчеризации по интерфейсу RS 485.
</t>
    </r>
    <r>
      <rPr>
        <strike/>
        <sz val="8"/>
        <color rgb="FF000000"/>
        <rFont val="Arial"/>
      </rPr>
      <t xml:space="preserve">
</t>
    </r>
    <r>
      <rPr>
        <sz val="8"/>
        <color rgb="FF000000"/>
        <rFont val="Arial"/>
      </rPr>
      <t xml:space="preserve">Светильники (тип, марка, серия) согласно дизайн проекта. </t>
    </r>
  </si>
  <si>
    <t>5.2.4.1</t>
  </si>
  <si>
    <t xml:space="preserve">ВРУ паркинга </t>
  </si>
  <si>
    <t>Подключение ВРУ паркинга предусмотреть от ВРУ жилой части, наиболее близко расположенной к ТП.
ВРУ разместить в электрощитовой паркинга.
Наполнение ВРУ предусмотреть на базе электрооборудования согласно вендор листа.
Расчетный учет на границе балансовой принадлежности на стороне 0,4 кВ, на вводах в каждое ВРУ в соответствии с ТУ.
В распределительных и групповых щитах предусмотреть 10% резерв автоматических выключателей, но не менее одного.
Производители: согласно вендор листа.</t>
  </si>
  <si>
    <t>5.2.4.2</t>
  </si>
  <si>
    <t>Оконечное оборудование электротехническое Паркинг</t>
  </si>
  <si>
    <t>Для помещений паркинга светильники (тип, марка, серия) согласно дизайн проекта.
Производители: согласно вендор листа.</t>
  </si>
  <si>
    <t>5.2.4.3</t>
  </si>
  <si>
    <t>Магистраль электроснабжения</t>
  </si>
  <si>
    <t>Прокладку выполнить в перфорированных лотках под потолком коридора технического этажа (подвала). Прокладка над кладовыми запрещена.</t>
  </si>
  <si>
    <t xml:space="preserve"> Система электроснабжения: Технической части</t>
  </si>
  <si>
    <r>
      <rPr>
        <sz val="8"/>
        <color theme="1"/>
        <rFont val="Arial"/>
      </rPr>
      <t xml:space="preserve">Кабельные линии от ВРУ до стояков проложить </t>
    </r>
    <r>
      <rPr>
        <sz val="8"/>
        <color theme="1"/>
        <rFont val="Arial"/>
      </rPr>
      <t>в перфорированных лотках</t>
    </r>
    <r>
      <rPr>
        <sz val="8"/>
        <color theme="1"/>
        <rFont val="Arial"/>
      </rPr>
      <t xml:space="preserve"> под потолком коридора технического этажа.
Магистраль кабельных линий основной и СПЗ выполнить с разделением по коробам, лоткам, трубам.
Стояк кабельных линий основной и СПЗ выполнить в отдельных электротехнических нишах.
Учет в составе ВРУ жилой части.
Электропроводку следует проектировать сменяемой.</t>
    </r>
  </si>
  <si>
    <t>5.2.5.1</t>
  </si>
  <si>
    <t>Щит технические помещения</t>
  </si>
  <si>
    <t xml:space="preserve">Щит электропитания в составе с блоком защиты и управления электропитанием заградительных огней. 
Блок управления светозаграждением (БУЗО) установить на кровле. 
Питание выполнить по I категории электроснабжения панели СПЗ ВРУ. 
Российского производства </t>
  </si>
  <si>
    <t>5.2.5.2</t>
  </si>
  <si>
    <t>Оконечное оборудование электротехническое Технические помещения</t>
  </si>
  <si>
    <t>Производители светильников технических помещений неопеределенные дизайн проектом принять согласно вендор листа.</t>
  </si>
  <si>
    <t>5.2.5.3</t>
  </si>
  <si>
    <t>Огни заградительные</t>
  </si>
  <si>
    <r>
      <rPr>
        <sz val="8"/>
        <color rgb="FF000000"/>
        <rFont val="Arial"/>
      </rPr>
      <t xml:space="preserve">На кровле здания предусмотреть заградительные огни согласно приказа "Расположение и количество заградительных огней, уровней светового ограждения высотных и протяженных объектов, представляющих угрозу безопасности воздушного движения" а также иных действующих нормативных требований.
</t>
    </r>
    <r>
      <rPr>
        <sz val="8"/>
        <color rgb="FF000000"/>
        <rFont val="Arial"/>
      </rPr>
      <t xml:space="preserve">
</t>
    </r>
    <r>
      <rPr>
        <sz val="8"/>
        <color rgb="FF000000"/>
        <rFont val="Arial"/>
      </rPr>
      <t xml:space="preserve">Прокладку кабеля к заградительным огням выполнить в атмосферостойкой трубе d25 с креплением к внутренней части стены ограждения кровли. Само крепление осуществляется оцинкованными металлическими скобами за слоем утеплителя. 
</t>
    </r>
    <r>
      <rPr>
        <sz val="8"/>
        <color rgb="FF000000"/>
        <rFont val="Arial"/>
      </rPr>
      <t xml:space="preserve">
</t>
    </r>
    <r>
      <rPr>
        <sz val="8"/>
        <color rgb="FF000000"/>
        <rFont val="Arial"/>
      </rPr>
      <t>Распределительные коробки установить в доступном месте с расчётом на дальнейшее обслуживание.</t>
    </r>
    <r>
      <rPr>
        <sz val="8"/>
        <color rgb="FF000000"/>
        <rFont val="Arial"/>
      </rPr>
      <t xml:space="preserve">
Светодиодный с рассеивателем из ударопрочного поликарбоната </t>
    </r>
    <r>
      <rPr>
        <sz val="8"/>
        <color rgb="FF000000"/>
        <rFont val="Arial"/>
      </rPr>
      <t xml:space="preserve">в сдвоенном исполнении.
</t>
    </r>
    <r>
      <rPr>
        <sz val="8"/>
        <color rgb="FF000000"/>
        <rFont val="Arial"/>
      </rPr>
      <t xml:space="preserve">
Российского производства</t>
    </r>
  </si>
  <si>
    <t>5.2.5.4</t>
  </si>
  <si>
    <t>Прокладку кабельных линий от ВРУ до ниши (шахты) ЭЛ выполнить кабелем:
- с медными жилами изоляцией типа FRLS к потребителям СПЗ;
- с алюминиевыми жилами изоляцией типа LS для остальных потребителей.
Сечение кабелей согласно расчёта.
Прокладку выполнить в перфорированных лотках под потолком коридора технического этажа (подвала) до места выхода в стояки. Прокладка кабелей над кладовыми запрещена.
Производители: согласно вендор листа.</t>
  </si>
  <si>
    <t>5.2.5.5</t>
  </si>
  <si>
    <t>Прокладку кабельных линий от магистрали электроснабжения до щитов этажных, распределительных выполнить кабелем: 
- с медными жилами изоляцией типа FRLS к потребителям СПЗ;
- с алюминиевыми жилами изоляцией типа LS для остальных потребителей.
Сечение кабелей согласно расчёта.
Прокладку выполнить в нише ЭЛ, СС на П-образном профиле с расстоянием между профилями L=1 м.</t>
  </si>
  <si>
    <t xml:space="preserve"> Система электроснабжения дополнительные требования</t>
  </si>
  <si>
    <t>Общие требования</t>
  </si>
  <si>
    <t>Прокладку кабелей через перекрытия выполнить в отрезках труб с последующей заделкой зазора легко удаляемой массой из несгораемого материала.
В местах прохода инженерных коммуникаций через пожарные преграды предусмотреть мероприятия по защите строительных конструкций той же степени огнестойкости, что строительные конструкции.</t>
  </si>
  <si>
    <t>Внутреннее электроосвещение</t>
  </si>
  <si>
    <t>Расположение и тип светильников в местах общего пользования (МОП) предусмотреть в соответствии с действующими нормативно-правовыми документами на основании дизайн-проекта (план расстановки светильников который предоставляется в качестве исходных данных на стадии Р). Для остальных зон применить светильники производства «Белый свет», IEK, «Световые технологии». Светильники следует применять преимущественно светодиодные. Светильники в общедомовых помещениях и лестничных клетках расположить на потолках.
На проектируемом Объекте должны быть предусмотрены следующие виды освещения: рабочее, эвакуационное, аварийное, ремонтное, а также освещение фасадов (при необходимости, согласно дизайн-проекту).
Определить уровни освещения в помещениях согласно действующих норм и правил. Технические характеристики светильников должны соответствовать категориям помещений. 
Производители светильников технических помещений неопеределенные дизайн проектом принять согласно вендор листа.</t>
  </si>
  <si>
    <t>Управление освещением лестничных клеток</t>
  </si>
  <si>
    <t>Предусмотреть:
Рабочее освещение:
- включено постоянно;
Аварийное/эвакуационное:
- включено постоянно;
- местное (ручное) - с фасада щита освещения;
- телеуправление - с диспетчерского поста (при его наличии).</t>
  </si>
  <si>
    <t>Управление освещением мест общего пользования жилой части (межквартирные коридоры, лифтовые холлы, вестибюли входных групп)</t>
  </si>
  <si>
    <t>Предусмотреть:
Рабочее освещение:
- включается от датчика движения или звукового;
- местное (ручное) - с фасада щита освещения;
- телеуправление - с диспетчерского поста (при его наличии);
Аварийное/эвакуационное:
- включено постоянно.</t>
  </si>
  <si>
    <t>Управление освещением автостоянки</t>
  </si>
  <si>
    <t>Предусмотреть:
Рабочее освещение:
- по проездам: телеуправление - с диспетчерского поста (при его наличии);
- над машиноместами: автоматическое, от датчиков движения;
- местное (ручное) - с щита освещения.
Аварийное/эвакуационное:
- включено постоянно;
- местное (ручное) - с щита освещения.</t>
  </si>
  <si>
    <t>Управление освещением входов в здание, номерных знаков, указателей пожарных гидрантов и заграждений:</t>
  </si>
  <si>
    <t>Предусмотреть:
- автоматическое - от сумеречных датчиков или астрореле;
- местное (ручное) - с щита освещения;
- телеуправление - с диспетчерского поста (при его наличии).</t>
  </si>
  <si>
    <t>Управление освещением санузлов, служебных, подсобных и технических помещений:</t>
  </si>
  <si>
    <t>Предусмотреть:
Рабочее освещение:
-местное, из помещений. 
-аварийное/эвакуационное:
В проходных коридорах, в помещениях в подвале с двумя входами предусмотреть проходные выключатели.</t>
  </si>
  <si>
    <t>Дополнительные требования Коммерческие помещения:</t>
  </si>
  <si>
    <t>Указать в примечании: аварийное освещение встроенных помещений выполняется силами арендатора (собственника) после ввода объекта в эксплуатацию по индивидуальному проекту.
Эвакуационное освещение выполняется проектом.</t>
  </si>
  <si>
    <t xml:space="preserve">Наружное освещение.
Внутридворовое (ландшафтное) освещение.
</t>
  </si>
  <si>
    <r>
      <rPr>
        <sz val="8"/>
        <color rgb="FF000000"/>
        <rFont val="Arial"/>
      </rPr>
      <t xml:space="preserve">Систему наружного освещения Объекта запроектировать в соответствии с действующими нормами.
Предусмотреть возможность подключения щита управления архитектурным освещением Объекта, </t>
    </r>
    <r>
      <rPr>
        <sz val="8"/>
        <color rgb="FF000000"/>
        <rFont val="Arial"/>
      </rPr>
      <t xml:space="preserve">либо </t>
    </r>
    <r>
      <rPr>
        <sz val="8"/>
        <color rgb="FF000000"/>
        <rFont val="Arial"/>
      </rPr>
      <t>для этого необходимый резерв электрической мощности.</t>
    </r>
  </si>
  <si>
    <t>5.3 Система молниезащиты и заземления</t>
  </si>
  <si>
    <t>5.3.1</t>
  </si>
  <si>
    <r>
      <rPr>
        <sz val="8"/>
        <color rgb="FF000000"/>
        <rFont val="Arial"/>
      </rPr>
      <t xml:space="preserve">Предусмотреть систему защитного заземления Объекта по типу TN-C-S.
Предусмотреть пассивную систему молниезащиты.
</t>
    </r>
    <r>
      <rPr>
        <b/>
        <i/>
        <sz val="8"/>
        <color rgb="FF000000"/>
        <rFont val="Arial"/>
      </rPr>
      <t>Молниеприемники:</t>
    </r>
    <r>
      <rPr>
        <sz val="8"/>
        <color rgb="FF000000"/>
        <rFont val="Arial"/>
      </rPr>
      <t xml:space="preserve">
- Молниеприемную сетку выполнить для каждой секции жилого дома. Шаг ячейки сетки 10х10м из круглой стали диаметром не менее 8 мм. Молниеприемная сетка укладывается по конструкции кровли (в слое гравийной засыпки) таким образом чтобы исключить контакт молниеприемников с горючими материалами кровли.
- Молниеприемная сетка укладывается на всех отметках кровли и по парапетам кровли. Молниеприемные контуры, расположенные на разных отметках кровли, соединить между собой не менее чем в двух точках.
- Металлические элементы выступающие над кровлей (вентиляторы, стремянки, ограждения кровли) присоединить к молниеприемной сетке.
</t>
    </r>
    <r>
      <rPr>
        <b/>
        <i/>
        <sz val="8"/>
        <color rgb="FF000000"/>
        <rFont val="Arial"/>
      </rPr>
      <t xml:space="preserve">Прокладка молниеприемников:
</t>
    </r>
    <r>
      <rPr>
        <sz val="8"/>
        <color rgb="FF000000"/>
        <rFont val="Arial"/>
      </rPr>
      <t xml:space="preserve">- Вертикальные молниеотводы из круглой стали диаметром 8 мм прокладываются в теле(слое) утеплителя. Молниеотводы расположить равномерно по периметру здания так, чтобы расстояние между ними было не более 20 метров.
- Молниеотводы соединяются горизонтальными поясами вблизи земли и через каждые 20 метров по высоте здания горизонтальным поясом из стали диаметром 8 мм. 
</t>
    </r>
    <r>
      <rPr>
        <b/>
        <i/>
        <sz val="8"/>
        <color rgb="FF000000"/>
        <rFont val="Arial"/>
      </rPr>
      <t xml:space="preserve">Контур заземления: 
</t>
    </r>
    <r>
      <rPr>
        <sz val="8"/>
        <color rgb="FF000000"/>
        <rFont val="Arial"/>
      </rPr>
      <t>- Контур из горизонтально уложенной стальной оцинкованной полосы 40х5 мм, на глубину не менее 0,5 м от поверхности земли, по периметру здания, на расстояние 1 метра от здания.
- Заземляющие устройства из уголка 40х40х4 длиной 3 метра.</t>
    </r>
  </si>
  <si>
    <t>5.3.2</t>
  </si>
  <si>
    <r>
      <rPr>
        <b/>
        <sz val="8"/>
        <color rgb="FF000000"/>
        <rFont val="Arial"/>
      </rPr>
      <t>Система уравнивания потенциалов:</t>
    </r>
    <r>
      <rPr>
        <sz val="8"/>
        <color rgb="FF000000"/>
        <rFont val="Arial"/>
      </rPr>
      <t xml:space="preserve">
На вводе в здание выполняется система уравнивания потенциала (СУП), соединяющая между собой проводящие части: ГЗШ, проводник заземления (внутренний и наружные контуры), металлические трубы коммуникаций (ГВС, ХВС, канализация, отопление).
</t>
    </r>
    <r>
      <rPr>
        <b/>
        <sz val="8"/>
        <color rgb="FF000000"/>
        <rFont val="Arial"/>
      </rPr>
      <t>Дополнительная система уравнивания потенциалов:</t>
    </r>
    <r>
      <rPr>
        <sz val="8"/>
        <color rgb="FF000000"/>
        <rFont val="Arial"/>
      </rPr>
      <t xml:space="preserve">
В помещениях ВРУ, ИТП, водомерных узлах, насосных станций предусмотреть контур СУП из стальной полосы сечением 25х4 мм по периметру помещений на высоте 30 см от уровня чистого пола. Контур СУП соединить с ГЗШ.
В ванных помещениях предусмотреть дополнительную систему уравнивания потенциалов путем установки в зоне 3 (согласно классификации ГОСТ Р 50571.7.701) каждого ванного помещения коробки дополнительного уравнивания потенциалов (КУП).</t>
    </r>
  </si>
  <si>
    <t>5.3.3</t>
  </si>
  <si>
    <t>Дополнительные требования</t>
  </si>
  <si>
    <t>На фасаде с шагом ~50 м предусмотреть встраиваемые щиты, закамуфлированные под материал и цвет фасада, с установкой в нем дифференциального автоматического выключателя и розетки для подключения газонокосилок, электроинструмента и т.п.</t>
  </si>
  <si>
    <t>6. Водоснабжение и водоотведение</t>
  </si>
  <si>
    <t>6.1. Водоснабжение</t>
  </si>
  <si>
    <t>6.1.0.1</t>
  </si>
  <si>
    <t>Инженерные системы водоснабжения</t>
  </si>
  <si>
    <t>В проектной и рабочей документации (модели) предусматривать следующее буквенно-цифровое обозначение внутренних систем:
В1.1_Жилье_ХВС - 1 зона
В1.2_Жилье_ХВС - 2 зона
В1_Ритейл_ХВС
В1.3_МОП_ХВС(полив.)
Т3.1_Жилье_ГВС - 1 зона
Т3.2_Жилье_ГВС - 2 зона
Т3_Ритейл_ГВС
Т4.1_Жилье_ГВС(циркул.) - 1 зона
Т4.2_Жилье_ГВС(циркул.) - 2 зона
Т4_Ритейл_ГВС(циркул.)</t>
  </si>
  <si>
    <t>6.1.0.2</t>
  </si>
  <si>
    <t>Нагрузки водоснабжения</t>
  </si>
  <si>
    <t>При проектировании учесть плановые нагрузки по данному объекту 283,47 м3/сут. 
Расчет выполнить на основании СП30.13330 Приложение А. таб.А.2
на коммерческие помещения
жилые помещения
паркинг
При расчете не учитывать расход на полив.</t>
  </si>
  <si>
    <t xml:space="preserve"> Система холодного водоснабжения коллекторная однозонная</t>
  </si>
  <si>
    <t>6.1.1</t>
  </si>
  <si>
    <t>Коллекторная с нижней разводкой горизонтальных магистралей под потолком техподполья и вертикальными стояками в межквартирном коридоре.
На каждую квартиру от коллектора водоснабжения к помещению кухне и санузлам предусмотреть трубопровод в стяжке пола.
Поэтажные коллекторы с поквартирным учетом расположить в межквартирном коридоре, предусмотреть не более 2 поэтажных шкафов на всех собственников. 
Предусмотреть индивидуальный узел учета водоснабжения на каждое коммерческое помещение и КУИ.
Коммерческие помещения, помещения КУИ и полив на благоустройство запитать от магистрали водоснабжения жилых помещений.
В помещениях КУИ устанавливать душевые поддоны, унитазы, раковины, подключение санитарных приборов полипропиленовыми трубами открытым способом.
Установка санитарных приборов и разводка по санузлам, кухням жилых и коммерческих помещений выполняется силами и за средства собственника помещения. 
В помещении насосной предусмотреть место для установки накопительных баков системы автополива площадью 5м2. Для системы автополив предусмотреть узел учета с устройством на конце заглушки. Система автополив проектируется в разделе ландшафт.</t>
  </si>
  <si>
    <t>6.1.1.1</t>
  </si>
  <si>
    <t>Насосная станция питьевого водоснабжения</t>
  </si>
  <si>
    <t>Применить комплексные установки в полной комплектации с учетом расхода на ГВС.
К насосным установкам предусмотреть гибкие вставки (вибровставки).
На вводе в здание предусмотреть учет расходов воды ХВС с импульсным выходом.
Состав:
1. Переход с ПЭ на сталь
2. Задвижка с обрезиненным клином фланцевая
3. Фильтр сетчатый чугунный фланцевый
4. Счетчик водоснабжения с импульсным выходом
5. Кран трехходовой для манометра
6. Манометр класс точности 1,5
Обвязка насосной станции питьевого водоснабжения из стальной нержавеющей трубы ГОСТ 9941-81. 
Диаметр (наружный): 22; 27; 34; 42; 48; 60; 76; 89; 114; 140; 170; 220 в тепловой изоляции из вспененного каучука толщиной 13 мм.
Применять приварные соединительные детали стальных трубопроводов:
- Отводы под углами 15°/45°/90°;
Принцип работы и тип присоединения счетчика водоснабжения: 
- Крыльчатый, муфтовое соединение - DN15 - DN40,
- Турбинный, фланцевое соединение - DN50 и более.
Тип присоединения запорной и регулирующей арматуры : 
- Муфтовое соединение - DN15 - DN50,
- Фланцевое соединение - DN65 и более. 
Производители: насосной станции, счетчиков согласно вендор листа</t>
  </si>
  <si>
    <t>6.1.1.2</t>
  </si>
  <si>
    <t>Коллектор водоснабжения заводского изготовления</t>
  </si>
  <si>
    <t>Подключение от стояка через комбинированную муфту ПП-НР.
Состав коллектора:
1. Кран шаровой латунный муфтовый бабочка НР-ВР, DN32 (для подключения к стояку) 
2. Фильтр сетчатый латунный ВР-ВР, DN32
3. Ниппель латунный НР-НР DN32
4. Балка коллекторная DN40 из нержавеющей стали 
5. Кран шаровой латунный муфтовый бабочка ВР-ВР DN15 (для подключения к разводке) 
6. Клапан редукционный ВР-ВР DN15 (наличие редукционного клапана определить по расчету)
7. Счетчик универсальный с импульсным выходом и присоединительным комплектом
8. Обратный клапан пружинный (штоковый) латунный ВР-ВР DN15
9. Кран трехходовой для манометра DN15 
10. Манометр общетехнический, класс точности 1,5 
11. Муфта (штуцер) с переходом на НР (пресс фитинг - для МП, надвижной фитинг - для СП)
На коллекторе предусмотреть теплоизоляцию из вспененного каучука.
Производители: 
Коллектор: АкваСмарт
Счетчики: Пульсар
Изоляция: K-Flex, Armacell</t>
  </si>
  <si>
    <t>6.1.1.3</t>
  </si>
  <si>
    <t>Узел учета водоснабжения индивидуальный</t>
  </si>
  <si>
    <r>
      <rPr>
        <sz val="8"/>
        <color rgb="FF000000"/>
        <rFont val="Arial"/>
      </rPr>
      <t xml:space="preserve">Для коммерческих помещений и КУИ
Располагать выше 1200 мм от чистого пола для возможности установки инсталляции.
Подключение от стояка через комбинированный отвод ПП-НР DN20-15.
</t>
    </r>
    <r>
      <rPr>
        <b/>
        <sz val="8"/>
        <color rgb="FF000000"/>
        <rFont val="Arial"/>
      </rPr>
      <t xml:space="preserve">
Состав узла:</t>
    </r>
    <r>
      <rPr>
        <sz val="8"/>
        <color rgb="FF000000"/>
        <rFont val="Arial"/>
      </rPr>
      <t xml:space="preserve">
1. Кран шаровой латунный муфтовый бабочка НР-ВР DN15 (для подключения к стояку и для подключения УВП)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Тройник латунный ВР-ВР DN15 (для подключения разводки в помещении С/У и для подключения УВП)
8. Заглушка ПП НР DN15
9. Муфта (штуцер) с переходом на НР (надвижной фитинг - для СП)
Производители: Пульсар</t>
    </r>
  </si>
  <si>
    <t>6.1.1.4</t>
  </si>
  <si>
    <t>Магистраль из труб ПП PN25</t>
  </si>
  <si>
    <t>Полипропиленовые PN25 армированные стекловолокном в тепловой изоляции из вспененного каучука, толщиной 13 мм для ХВС, 19 мм для ГВС.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 Кран шаровой полнопроходной сливной со штуцером: с резьбой тип (НР), тип рукоятки "рычаг",
На выходе из помещения насосной станции переход со стальной трубы на полипропиленовую выполнить с помощью фланца с буртом.
Производители: Труб, Изоляции, Арматуры согласно вендор листу</t>
  </si>
  <si>
    <t>6.1.1.5</t>
  </si>
  <si>
    <t>Стояк из труб ПП PN25 до 28 метров</t>
  </si>
  <si>
    <t>DN 50 - с 1 по 9 этаж 
При ином количестве этажей исключать нижний этаж.
Полипропиленовые PN25 армированные стекловолокном в тепловой изоляции из вспененного каучука, толщиной 13 мм для ХВС, 19 мм для ГВС.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Производители: Труб, Изоляции, Арматуры согласно вендор листу</t>
  </si>
  <si>
    <t>6.1.1.6</t>
  </si>
  <si>
    <t>Стояк из труб ПП PN25 до 50 метров, один однозонный</t>
  </si>
  <si>
    <t>DN 63 - с 1 по 16 этаж - один однозонный стояк
При ином количестве этажей исключать нижний этаж.
Полипропиленовые PN25 армированные стекловолокном в тепловой изоляции из вспененного каучука, толщиной 13 мм для ХВС, 19 мм для ГВС.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Производители: Труб, Изоляции, Арматуры согласно вендор листу</t>
  </si>
  <si>
    <t>6.1.1.7</t>
  </si>
  <si>
    <t>Стояк из труб ПП PN25, до 50 метров, два однозонных</t>
  </si>
  <si>
    <t>DN 50 - с 1 по 16 этаж - два однозонных стояка
При ином количестве этажей исключать нижний этаж.
Полипропиленовые PN25 армированные стекловолокном в тепловой изоляции из вспененного каучука, толщиной 13 мм для ХВС, 19 мм для ГВС.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Производители: Труб, Изоляции, Арматуры согласно вендор листу</t>
  </si>
  <si>
    <t>6.1.1.8</t>
  </si>
  <si>
    <t>Разводка из труб СП</t>
  </si>
  <si>
    <t>Сшитый полиэтилен PN10 в тепловой изоляции из вспененного полиэтилена 9 мм в МОП, по квартирам в защитной гофрированной трубе с устройством на конце муфты (штуцера) с ВР (надвижной фитинг) и заглушкой ПП с НР.
Все повороты выполнять изгибами труб (без применения отводов). 
Производители: Труб, Изоляции, согласно вендор листу</t>
  </si>
  <si>
    <t>6.1.1.9</t>
  </si>
  <si>
    <t>Разводка из труб ПП (КУИ)</t>
  </si>
  <si>
    <t>Полипропиленовые PN25 армированные стекловолокном прокладка открытым способом.
Предусмотреть в помещении КУИ
Производители: Труб согласно вендор листу</t>
  </si>
  <si>
    <t>6.1.1.10</t>
  </si>
  <si>
    <t>Гильзы</t>
  </si>
  <si>
    <t>В местах пересечения трубопроводами внутренних стен, перегородок, перекрытий следует предусматривать гильзы из стальных труб:
- для трубопроводов DN15-DN32 применить гильзу DN50
- для трубопроводов DN40-DN50 применить гильзу DN65
- для трубопроводов DN65 применить гильзу DN80
- для трубопроводов DN80 применить гильзу DN100
- для трубопроводов DN100 применить гильзу DN125
- для трубопроводов DN125 применить гильзу DN150
- для трубопроводов DN150 применить гильзу DN200</t>
  </si>
  <si>
    <t xml:space="preserve"> Система холодного водоснабжения коллекторная двухзонная</t>
  </si>
  <si>
    <t>Коллекторная с нижней разводкой горизонтальных магистралей под потолком техподполья и вертикальными стояками в межквартирном коридоре.
На каждую квартиру от коллектора водоснабжения к помещению кухне и санузлам предусмотреть трубопровод в стяжке пола.
Поэтажные коллекторы с поквартирным учетом расположить в межквартирном коридоре, предусмотреть не более 2 поэтажных шкафов на всех собственников. 
Предусмотреть индивидуальный узел учета водоснабжения на каждое коммерческое помещение и КУИ.
Коммерческие помещения и помещения КУИ запитать от магистрали водоснабжения жилых помещений.
В помещениях КУИ устанавливать душевые поддоны, унитазы, раковины, подключение санитарных приборов полипропиленовыми трубами открытым способом.
Установка санитарных приборов и разводка по санузлам, кухням жилых и коммерческих помещений выполняется силами и за средства собственника помещения. 
В помещении насосной предусмотреть место для установки накопительных баков системы автополива площадью 5м2. Для системы автополив предусмотреть узел учета с устройством на конце заглушки. Система автополив проектируется в разделе ландшафт.</t>
  </si>
  <si>
    <r>
      <rPr>
        <sz val="8"/>
        <color rgb="FF000000"/>
        <rFont val="Arial"/>
      </rPr>
      <t xml:space="preserve">Для коммерческих помещений и КУИ
</t>
    </r>
    <r>
      <rPr>
        <sz val="8"/>
        <color rgb="FF000000"/>
        <rFont val="Arial"/>
      </rPr>
      <t xml:space="preserve">Располагать выше 1200 мм от чистого пола для возможности установки инсталляции.
Подключение от стояка через комбинированный отвод ПП-НР DN20-15.
</t>
    </r>
    <r>
      <rPr>
        <b/>
        <sz val="8"/>
        <color rgb="FF000000"/>
        <rFont val="Arial"/>
      </rPr>
      <t xml:space="preserve">
Состав узла:</t>
    </r>
    <r>
      <rPr>
        <sz val="8"/>
        <color rgb="FF000000"/>
        <rFont val="Arial"/>
      </rPr>
      <t xml:space="preserve">
1. Кран шаровой латунный муфтовый бабочка НР-ВР DN15 (для подключения к стояку и для подключения УВП)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Тройник латунный ВР-ВР DN15 (для подключения разводки в помещении С/У и для подключения УВП)
8. Заглушка ПП НР DN15
9. Муфта (штуцер) с переходом на НР (надвижной фитинг - для СП)
Производители: Пульсар</t>
    </r>
  </si>
  <si>
    <t>Стояк из труб ПП PN25 до 75 метров</t>
  </si>
  <si>
    <t>Первая зона:
DN 50 - с 1 по 12 этаж
Вторая зона:
DN 50 - с 13 по 24 этаж
При ином количестве этажей исключать нижний этаж.
Полипропиленовые PN25 армированные стекловолокном в тепловой изоляции из вспененного каучука, толщиной 13 мм для ХВС, 19 мм для ГВС.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Производители: Труб, Изоляции, Арматуры согласно вендор листу</t>
  </si>
  <si>
    <t>Сшитый полиэтилен PN10 в тепловой изоляции из вспененного полиэтилена 9 мм в МОП, по квартирам в защитной гофрированной трубе с устройством на конце муфты (штуцера) с ВР (надвижной фитинг) и заглушкой ПП с НР.
Все повороты выполнять изгибами труб (без применения отводов). 
Производители: Труб, Изоляции согласно вендор листу</t>
  </si>
  <si>
    <t xml:space="preserve"> Система горячего водоснабжения коллекторная однозонная</t>
  </si>
  <si>
    <t>6.1.2</t>
  </si>
  <si>
    <t xml:space="preserve">Коллекторная с нижней разводкой горизонтальных магистралей под потолком техподполья и вертикальными стояками в межквартирном коридоре.
На каждую квартиру от коллектора водоснабжения к помещению кухне и санузлу предусмотреть трубопровод в стяжке пола.
Поэтажные коллекторы с поквартирным учетом расположить в межквартирном коридоре, предусмотреть не более 2 поэтажных шкафов на всех собственников. 
Предусмотреть индивидуальный узел учета водоснабжения на каждое коммерческое помещение и КУИ.
Коммерческие помещения, помещения КУИ и полив на благоустройство запитать от магистрали водоснабжения жилых помещений.
В помещениях КУИ устанавливать душевые поддоны, унитазы, раковины, подключение санитарных приборов полипропиленовыми трубами открытым способом.
Установка санитарных приборов и разводка по санузлам, кухням жилых и коммерческих помещений выполняется силами и за средства собственника помещения. 
Не предусматривать полотенцесушители и отводы на полотенцесушители.
Компенсаторы:
- Магистрали - П - образные.
- Стояки - П - образные.
Закольцовку циркуляции ГВС выполнить в нише в межквартирном коридоре. </t>
  </si>
  <si>
    <t>6.1.2.1</t>
  </si>
  <si>
    <t>ИТП</t>
  </si>
  <si>
    <t>См. подраздел Тепломеханические решения (ИТП)</t>
  </si>
  <si>
    <t>6.1.2.2</t>
  </si>
  <si>
    <r>
      <rPr>
        <sz val="8"/>
        <color rgb="FF000000"/>
        <rFont val="Arial"/>
      </rPr>
      <t xml:space="preserve">Подключение от стояка через комбинированную муфту ПП-НР.
Состав коллектора:
1. Кран шаровой латунный муфтовый бабочка НР-ВР, DN32 (для подключения к стояку) 
2. Фильтр сетчатый латунный ВР-ВР DN32
3. Ниппель латунный НР-НР DN32
4. Балка коллекторная </t>
    </r>
    <r>
      <rPr>
        <sz val="8"/>
        <color rgb="FF000000"/>
        <rFont val="Arial"/>
      </rPr>
      <t xml:space="preserve">DN40 из нержавеющей стали </t>
    </r>
    <r>
      <rPr>
        <sz val="8"/>
        <color rgb="FF000000"/>
        <rFont val="Arial"/>
      </rPr>
      <t xml:space="preserve">
5. Кран шаровой латунный муфтовый бабочка ВР-ВР DN15 (для подключения к разводке) 
6. Клапан редукционный ВР-ВР DN15 (наличие редукционного клапана определить по расчету)
7. Счетчик универсальный с импульсным выходом и присоединительным комплектом
8. Обратный клапан пружинный (штоковый) латунный ВР-ВР DN15
9. Кран трехходовой для манометра DN15 
10. Манометр общетехнический, класс точности 1,5 
11. Муфта (штуцер) с переходом на НР (пресс фитинг - для МП, надвижной фитинг - для СП)
На коллекторе предусмотреть теплоизоляцию из вспененного каучука.
Производители: 
Коллектор: АкваСмарт
Счетчики: Пульсар
Изоляция: K-Flex, Armacell</t>
    </r>
  </si>
  <si>
    <t>6.1.2.3</t>
  </si>
  <si>
    <r>
      <rPr>
        <sz val="8"/>
        <color rgb="FF000000"/>
        <rFont val="Arial"/>
      </rPr>
      <t xml:space="preserve">Для коммерческих помещений и КУИ
</t>
    </r>
    <r>
      <rPr>
        <sz val="8"/>
        <color rgb="FF000000"/>
        <rFont val="Arial"/>
      </rPr>
      <t xml:space="preserve">Располагать выше 1200 мм от чистого пола для возможности установки инсталляции.
Подключение от стояка через комбинированный отвод ПП-НР DN20-15.
</t>
    </r>
    <r>
      <rPr>
        <b/>
        <sz val="8"/>
        <color rgb="FF000000"/>
        <rFont val="Arial"/>
      </rPr>
      <t xml:space="preserve">
Состав узла:</t>
    </r>
    <r>
      <rPr>
        <sz val="8"/>
        <color rgb="FF000000"/>
        <rFont val="Arial"/>
      </rPr>
      <t xml:space="preserve">
1. Кран шаровой латунный муфтовый бабочка НР-ВР DN15 (для подключения к стояку и для подключения УВП)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Тройник латунный ВР-ВР DN15 (для подключения разводки в помещении С/У и для подключения УВП)
8. Заглушка ПП НР DN15
9. Муфта (штуцер) с переходом на НР (пресс фитинг - для МП, надвижной фитинг - для СП)
Производители: Пульсар</t>
    </r>
  </si>
  <si>
    <t>6.1.2.4</t>
  </si>
  <si>
    <t>Магистраль из труб стальных
(для Новосибирска)</t>
  </si>
  <si>
    <t>Труба ГОСТ 3262-75* диаметр и толщина стенки: 15х2,8; 20х2,8; 25х3,2; 32х3,2; 40х3,5,
труба ГОСТ 10704-91 диаметр и толщина стенки: 57х3,5; 76х3,5; 89х4,0; 108х4,0; 133х4,5;159х4,5; 219х4,5, в тепловой изоляции из вспененного каучука, толщиной 13 мм для ХВС, 19 мм для ГВС.
Антикоррозийная защита: 
- Трубопроводы в изоляции: краска БТ-177 ГОСТ 5631-79 в два слоя, по грунту ГФ-021 ГОСТ 25129-82 в один слой.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 Кран шаровой полнопроходной сливной со штуцером: с резьбой тип (НР), тип рукоятки "рычаг",
На выходе из помещения насосной станции переход со стальной трубы на полипропиленовую выполнить с помощью фланца с буртом.
Производители: Труб, Изоляции, Арматуры согласно вендор листу</t>
  </si>
  <si>
    <t>6.1.2.5</t>
  </si>
  <si>
    <t>Стояк из труб стальных до 28 метров
(для Новосибирска)</t>
  </si>
  <si>
    <t>Для ГВС:
DN 50 - с 1 по 9 этаж 
Для циркуляции ГВС
DN 25 - с 1 по 9 этаж 
При ином количестве этажей исключать нижний этаж.
Труба ГОСТ 3262-75* диаметр и толщина стенки: 25х3,2, труба ГОСТ 10704-91 диаметр и толщина стенки: 57х3,5, в тепловой изоляции из вспененного каучука, толщиной 13 мм для ХВС, 19 мм для ГВС.
Антикоррозийная защита:
- Трубопроводы в изоляции: краска БТ-177 ГОСТ 5631-79 в два слоя, по грунту ГФ-021 ГОСТ 25129-82 в один слой.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Производители:
Трубопровод: Труб, Изоляции, Арматуры согласно вендор листу</t>
  </si>
  <si>
    <t>6.1.2.6</t>
  </si>
  <si>
    <t>Стояк из труб стальных до 50 метров, один однозонный (для Новосибирска)</t>
  </si>
  <si>
    <t>Для ГВС:
DN 63 - с 1 по 16 этаж - один однозонный стояк
Для циркуляции ГВС
DN 32 - с 1 по 16 этаж  - один однозонный стояк 
При ином количестве этажей исключать нижний этаж.
Труба ГОСТ 3262-75* диаметр и толщина стенки: 32х3,2, труба ГОСТ 10704-91 диаметр и толщина стенки: 76х3,5, в тепловой изоляции из вспененного каучука, толщиной 13 мм для ХВС, 19 мм для ГВС.
Антикоррозийная защита: 
- Трубопроводы в изоляции: краска БТ-177 ГОСТ 5631-79 в два слоя, по грунту ГФ-021 ГОСТ 25129-82 в один слой.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Производители: Труб, Изоляции, Арматуры согласно вендор листу</t>
  </si>
  <si>
    <t>6.1.2.7</t>
  </si>
  <si>
    <t>Стояк из труб стальных до 50 метров, два однозонных (для Новосибирска)</t>
  </si>
  <si>
    <r>
      <rPr>
        <sz val="8"/>
        <color rgb="FF000000"/>
        <rFont val="Arial"/>
      </rPr>
      <t xml:space="preserve">Для ГВС:
DN 50 - с 1 по 16 этаж - два однозонных стояка
Для циркуляции ГВС
DN 25 - с 1 по 16 этаж - два однозонных стояка  
При ином количестве этажей исключать нижний этаж.
Труба ГОСТ 3262-75* диаметр и толщина стенки: 25х3,2, труба ГОСТ 10704-91 диаметр и толщина стенки: 57х3,5, в тепловой изоляции из вспененного каучука, толщиной 13 мм для ХВС, 19 мм для ГВС.
Антикоррозийная защита: 
- Трубопроводы в изоляции: краска БТ-177 ГОСТ 5631-79 в два слоя, по грунту ГФ-021 ГОСТ 25129-82 в один слой.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Производители: Труб, Изоляции, Арматуры </t>
    </r>
    <r>
      <rPr>
        <sz val="8"/>
        <color rgb="FF000000"/>
        <rFont val="Arial"/>
      </rPr>
      <t>согласно вендор листу</t>
    </r>
  </si>
  <si>
    <t>6.1.2.8</t>
  </si>
  <si>
    <t>6.1.2.9</t>
  </si>
  <si>
    <t>6.1.2.10</t>
  </si>
  <si>
    <t xml:space="preserve"> Система горячего водоснабжения коллекторная двухзонная</t>
  </si>
  <si>
    <r>
      <rPr>
        <sz val="8"/>
        <color rgb="FF000000"/>
        <rFont val="Arial"/>
      </rPr>
      <t xml:space="preserve">Подключение от стояка через комбинированную муфту ПП-НР.
Состав коллектора:
1. Кран шаровой латунный муфтовый бабочка НР-ВР, DN32 (для подключения к стояку) 
2. Фильтр сетчатый латунный ВР-ВР DN32
3. Ниппель латунный НР-НР DN32
4. Балка коллекторная </t>
    </r>
    <r>
      <rPr>
        <sz val="8"/>
        <color rgb="FF000000"/>
        <rFont val="Arial"/>
      </rPr>
      <t xml:space="preserve">DN40 из нержавеющей стали </t>
    </r>
    <r>
      <rPr>
        <sz val="8"/>
        <color rgb="FF000000"/>
        <rFont val="Arial"/>
      </rPr>
      <t xml:space="preserve">
5. Кран шаровой латунный муфтовый бабочка ВР-ВР DN15 (для подключения к разводке) 
6. Клапан редукционный ВР-ВР DN15 (наличие редукционного клапана определить по расчету)
7. Счетчик универсальный с импульсным выходом и присоединительным комплектом
8. Обратный клапан пружинный (штоковый) латунный ВР-ВР DN15
9. Кран трехходовой для манометра DN15 
10. Манометр общетехнический, класс точности 1,5 
11. Муфта (штуцер) с переходом на НР (пресс фитинг - для МП, надвижной фитинг - для СП)
На коллекторе предусмотреть теплоизоляцию из вспененного каучука.
Производители: 
Коллектор: АкваСмарт
Счетчики: Пульсар
Изоляция: K-Flex, Armacell</t>
    </r>
  </si>
  <si>
    <r>
      <rPr>
        <sz val="8"/>
        <color rgb="FF000000"/>
        <rFont val="Arial"/>
      </rPr>
      <t xml:space="preserve">Для коммерческих помещений и КУИ
</t>
    </r>
    <r>
      <rPr>
        <sz val="8"/>
        <color rgb="FF000000"/>
        <rFont val="Arial"/>
      </rPr>
      <t xml:space="preserve">Располагать выше 1200 мм от чистого пола для возможности установки инсталляции.
Подключение от стояка через комбинированный отвод ПП-НР DN20-15.
</t>
    </r>
    <r>
      <rPr>
        <b/>
        <sz val="8"/>
        <color rgb="FF000000"/>
        <rFont val="Arial"/>
      </rPr>
      <t xml:space="preserve">
Состав узла:</t>
    </r>
    <r>
      <rPr>
        <sz val="8"/>
        <color rgb="FF000000"/>
        <rFont val="Arial"/>
      </rPr>
      <t xml:space="preserve">
1. Кран шаровой латунный муфтовый бабочка НР-ВР DN15 (для подключения к стояку и для подключения УВП)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Тройник латунный ВР-ВР DN15 (для подключения разводки в помещении С/У и для подключения УВП)
8. Заглушка ПП НР DN15
9. Муфта (штуцер) с переходом на НР (пресс фитинг - для МП, надвижной фитинг - для СП)
Производители: Пульсар</t>
    </r>
  </si>
  <si>
    <t>Труба ГОСТ 3262-75* диаметр и толщина стенки: 15х2,8; 20х2,8; 25х3,2; 32х3,2; 40х3,5,
труба ГОСТ 10704-91 диаметр и толщина стенки: 57х3,5; 76х3,5; 89х4,0; 108х4,0; 133х4,5;159х4,5; 219х4,5, в тепловой изоляции из вспененного каучука, толщиной 13 мм для ХВС, 19 мм для ГВС.
Антикоррозийная защита: 
- Трубопроводы в изоляции: краска БТ-177 ГОСТ 5631-79 в два слоя, по грунту ГФ-021 ГОСТ 25129-82 в один слой.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 Кран шаровой полнопроходной сливной со штуцером: с резьбой тип (НР), тип рукоятки "рычаг",
На выходе из помещения насосной станции переход со стальной трубы на полипропиленовую выполнить с помощью фланца с буртом.
Производители: Труб, Изоляции, Арматуры согласно вендор листу</t>
  </si>
  <si>
    <t>Стояк из труб стальных до 75 метров
(для Новосибирска)</t>
  </si>
  <si>
    <t>Для ГВС:
Первая зона:
DN 50 - с 1 по 12 этаж
Вторая зона:
DN 50 - с 13 по 24 этаж
Для циркуляции ГВС:
Первая зона:
DN 32 - с 1 по 12 этаж
Вторая зона:
DN 32 - с 13 по 24 этаж
При ином количестве этажей исключать нижний этаж.
Труба ГОСТ 3262-75* диаметр и толщина стенки: 32х3,2, труба ГОСТ 10704-91 диаметр и толщина стенки: 57х3,5, в тепловой изоляции из вспененного каучука, толщиной 13 мм для ХВС, 19 мм для ГВС.
Антикоррозийная защита:
- Трубопроводы в изоляции: краска БТ-177 ГОСТ 5631-79 в два слоя, по грунту ГФ-021 ГОСТ 25129-82 в один слой.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Производители: Труб, Изоляции, Арматуры согласно вендор листу</t>
  </si>
  <si>
    <t>6.2 Пожаротушение</t>
  </si>
  <si>
    <t>6.2.0.1</t>
  </si>
  <si>
    <t>Инженерные системы пожаротушения</t>
  </si>
  <si>
    <t>В проектной и рабочей документации (модели) предусматривать следующее буквенно-цифровое обозначение внутренних систем:
В2.1_Жилье_Пожаротушение - 1 зона
В2.2_Жилье_Пожаротушение - 2 зона
В2.3_Ритейл_Пожаротушение
В2.4_Паркинг_Пожаротушение
В2.5_Паркинг_АПТ_Пожаротушение
В2.6_Сухотруб_Пожаротушение
В2.7_Кладовые_АПТ_Пожаротушение</t>
  </si>
  <si>
    <t xml:space="preserve"> Система внутреннего пожарного водопровода однозонная</t>
  </si>
  <si>
    <t>6.2.1</t>
  </si>
  <si>
    <t>Стояк проложить в нише межквартирного коридора.
Магистраль проложить под потолком технического этажа (подвала) с выводом патрубков на фасад здания для подключения пожарных машин.
Пожарные шкафы установить в межквартирном коридоре.
При недостаточном давлении предусмотреть насосную установку.</t>
  </si>
  <si>
    <t>6.2.1.1</t>
  </si>
  <si>
    <t>Насосная станция пожаротушения</t>
  </si>
  <si>
    <r>
      <rPr>
        <sz val="8"/>
        <color rgb="FF000000"/>
        <rFont val="Arial"/>
      </rPr>
      <t xml:space="preserve">Применить комплексные установки в полной комплектации.
К насосным установкам предусмотреть гибкие вставки (вибровставки).
Производители: Wilo, Grundfos </t>
    </r>
    <r>
      <rPr>
        <sz val="8"/>
        <color rgb="FF000000"/>
        <rFont val="Arial"/>
      </rPr>
      <t>либо аналог идентичный по технических характеристикам согласовать с Заказчиком</t>
    </r>
    <r>
      <rPr>
        <sz val="8"/>
        <color rgb="FF000000"/>
        <rFont val="Arial"/>
      </rPr>
      <t>.
На вводе предусмотреть:
- Задвижку с обрезиненным клином и электроприводом фланцевая
- Клапан обратный чугунный межфланцевый</t>
    </r>
  </si>
  <si>
    <t>6.2.1.2</t>
  </si>
  <si>
    <t>Пожарный шкаф встраиваемый</t>
  </si>
  <si>
    <r>
      <rPr>
        <sz val="8"/>
        <color rgb="FF000000"/>
        <rFont val="Arial"/>
      </rPr>
      <t>Способ установки пожарных шкафов:
- МОП - встраиваемый,
- Паркинг - навесной.</t>
    </r>
    <r>
      <rPr>
        <sz val="8"/>
        <color rgb="FF000000"/>
        <rFont val="Arial"/>
      </rPr>
      <t xml:space="preserve">
Производитель: НПО Пульс.
Модель: 
</t>
    </r>
    <r>
      <rPr>
        <sz val="8"/>
        <color rgb="FF000000"/>
        <rFont val="Arial"/>
      </rPr>
      <t>- Встраиваемый:</t>
    </r>
    <r>
      <rPr>
        <sz val="8"/>
        <color rgb="FF000000"/>
        <rFont val="Arial"/>
      </rPr>
      <t xml:space="preserve"> ШПК-Пульс-320-21ВЗБ, ШПК-Пульс-320-12ВЗБ</t>
    </r>
    <r>
      <rPr>
        <sz val="8"/>
        <color rgb="FF000000"/>
        <rFont val="Arial"/>
      </rPr>
      <t>, ШПК-Пульс-320-ВЗБ0, ШПК-Пульс-310-ВЗБ,</t>
    </r>
    <r>
      <rPr>
        <sz val="8"/>
        <color rgb="FF000000"/>
        <rFont val="Arial"/>
      </rPr>
      <t xml:space="preserve">
</t>
    </r>
    <r>
      <rPr>
        <sz val="8"/>
        <color rgb="FF000000"/>
        <rFont val="Arial"/>
      </rPr>
      <t>- Навесной: ШПК-Пульс-320-21НЗБ, ШПК-Пульс-320-12НЗБ, ШПК-Пульс-320-НЗБ, ШПК-Пульс-310-НЗБ</t>
    </r>
    <r>
      <rPr>
        <sz val="8"/>
        <color rgb="FF000000"/>
        <rFont val="Arial"/>
      </rPr>
      <t>.</t>
    </r>
  </si>
  <si>
    <t>6.2.1.3</t>
  </si>
  <si>
    <t>Магистраль из труб стальных пожаротушение</t>
  </si>
  <si>
    <t>Стальные неоцинкованные водогазопроводные трубы по ГОСТ 3262-75 (диаметр и толщина стенки: 15х2,8; 20х2,8; 25х3,2; 32х3,2; 40х3,5) и стальные неоцинкованные электросварные по ГОСТ 10704-91 (диаметр и толщина стенки: 57х3,5; 76х3,5; 89х4,0; 108х4,0; 133х4,5;159х4,5; 219х4,5). Предусмотреть грунтовку трубопроводов. Покраска будет выполняться по дизайн проекту.</t>
  </si>
  <si>
    <t>6.2.1.4</t>
  </si>
  <si>
    <t>Стояк из труб стальных пожаротушение до 50 метров</t>
  </si>
  <si>
    <r>
      <rPr>
        <sz val="8"/>
        <color theme="1"/>
        <rFont val="Arial"/>
      </rPr>
      <t xml:space="preserve">DN 57 - с 1 по 16 этаж
</t>
    </r>
    <r>
      <rPr>
        <sz val="8"/>
        <color theme="1"/>
        <rFont val="Arial"/>
      </rPr>
      <t>С</t>
    </r>
    <r>
      <rPr>
        <sz val="8"/>
        <color theme="1"/>
        <rFont val="Arial"/>
      </rPr>
      <t>тальные неоцинкованные электросварные по ГОСТ 10704-91 (диаметр и толщина стенки: 57х3,5). Предусмотреть грунтовку трубопроводов. Покраска будет выполняться по дизайн проекту.</t>
    </r>
  </si>
  <si>
    <t>6.2.1.5</t>
  </si>
  <si>
    <t>В местах пересечения трубопроводами внутренних стен (по подвалу), перекрытий следует предусматривать гильзы из стальных труб:
Для трубопровода DN (применять гильзу):
- DN15-DN32 (DN50), DN40-DN50 (DN65), DN65 (DN80), DN80 (DN100), DN100 (DN125), DN125 (DN150), DN150 (DN200)</t>
  </si>
  <si>
    <t xml:space="preserve"> Система внутреннего пожарного водопровода двухзонная</t>
  </si>
  <si>
    <t>6.2.2</t>
  </si>
  <si>
    <t>6.2.2.1</t>
  </si>
  <si>
    <r>
      <rPr>
        <sz val="8"/>
        <color rgb="FF000000"/>
        <rFont val="Arial"/>
      </rPr>
      <t xml:space="preserve">Применить комплексные установки в полной комплектации.
К насосным установкам предусмотреть гибкие вставки (вибровставки).
Производители: Wilo, Grundfos </t>
    </r>
    <r>
      <rPr>
        <sz val="8"/>
        <color rgb="FF000000"/>
        <rFont val="Arial"/>
      </rPr>
      <t>либо аналог идентичный по технических характеристикам согласовать с Заказчиком</t>
    </r>
    <r>
      <rPr>
        <sz val="8"/>
        <color rgb="FF000000"/>
        <rFont val="Arial"/>
      </rPr>
      <t>.
На вводе предусмотреть:
- Задвижку с обрезиненным клином и электроприводом фланцевая
- Клапан обратный чугунный межфланцевый</t>
    </r>
  </si>
  <si>
    <t>6.2.2.2</t>
  </si>
  <si>
    <r>
      <rPr>
        <sz val="8"/>
        <color rgb="FF000000"/>
        <rFont val="Arial"/>
      </rPr>
      <t>Способ установки пожарных шкафов:
- МОП - встраиваемый,
- Паркинг - навесной.</t>
    </r>
    <r>
      <rPr>
        <sz val="8"/>
        <color rgb="FF000000"/>
        <rFont val="Arial"/>
      </rPr>
      <t xml:space="preserve">
Производитель: НПО Пульс.
Модель: 
</t>
    </r>
    <r>
      <rPr>
        <sz val="8"/>
        <color rgb="FF000000"/>
        <rFont val="Arial"/>
      </rPr>
      <t>- Встраиваемый:</t>
    </r>
    <r>
      <rPr>
        <sz val="8"/>
        <color rgb="FF000000"/>
        <rFont val="Arial"/>
      </rPr>
      <t xml:space="preserve"> ШПК-Пульс-320-21ВЗБ, ШПК-Пульс-320-12ВЗБ</t>
    </r>
    <r>
      <rPr>
        <sz val="8"/>
        <color rgb="FF000000"/>
        <rFont val="Arial"/>
      </rPr>
      <t>, ШПК-Пульс-320-ВЗБ0, ШПК-Пульс-310-ВЗБ,</t>
    </r>
    <r>
      <rPr>
        <sz val="8"/>
        <color rgb="FF000000"/>
        <rFont val="Arial"/>
      </rPr>
      <t xml:space="preserve">
</t>
    </r>
    <r>
      <rPr>
        <sz val="8"/>
        <color rgb="FF000000"/>
        <rFont val="Arial"/>
      </rPr>
      <t>- Навесной: ШПК-Пульс-320-21НЗБ, ШПК-Пульс-320-12НЗБ, ШПК-Пульс-320-НЗБ, ШПК-Пульс-310-НЗБ</t>
    </r>
    <r>
      <rPr>
        <sz val="8"/>
        <color rgb="FF000000"/>
        <rFont val="Arial"/>
      </rPr>
      <t>.</t>
    </r>
  </si>
  <si>
    <t>6.2.2.3</t>
  </si>
  <si>
    <t>6.2.2.4</t>
  </si>
  <si>
    <t>Стояк из труб стальных пожаротушение от 50 до 75 метров</t>
  </si>
  <si>
    <t>Первая зона:
DN 57 - с 1 по 16 этаж
Вторая зона:
DN 57 - с 1 по 24 этаж
Стальные неоцинкованные электросварные по ГОСТ 10704-91 (диаметр и толщина стенки: 57х3,5). Предусмотреть грунтовку трубопроводов. Покраска будет выполняться по дизайн проекту.</t>
  </si>
  <si>
    <t>6.2.2.5</t>
  </si>
  <si>
    <t xml:space="preserve"> Система внутреннего пожарного водопровода с автоматическим пожаротушением Паркинг</t>
  </si>
  <si>
    <t>Спринклерная кольцевая воздушная система пожаротушения.
Принять минимальное количество спринклерных оросителей с учетом нормируемого шага.
Размещение и минимальное количество пожарных кранов предусмотреть с учетом соблюдения требований СП10.
При недостаточном давлении предусмотреть насосную установку.
Предусмотреть патрубки на фасаде для подключения пожарных машин.</t>
  </si>
  <si>
    <r>
      <rPr>
        <sz val="8"/>
        <color rgb="FF000000"/>
        <rFont val="Arial"/>
      </rPr>
      <t xml:space="preserve">Применить комплексные установки в полной комплектации.
К насосным установкам предусмотреть гибкие вставки (вибровставки).
Производители: Wilo, Grundfos </t>
    </r>
    <r>
      <rPr>
        <sz val="8"/>
        <color rgb="FF000000"/>
        <rFont val="Arial"/>
      </rPr>
      <t>либо аналог идентичный по технических характеристикам согласовать с Заказчиком</t>
    </r>
    <r>
      <rPr>
        <sz val="8"/>
        <color rgb="FF000000"/>
        <rFont val="Arial"/>
      </rPr>
      <t>.
На вводе предусмотреть:
- Задвижку с обрезиненным клином и электроприводом фланцевая
- Клапан обратный чугунный межфланцевый</t>
    </r>
  </si>
  <si>
    <t xml:space="preserve">Шкаф пожарный </t>
  </si>
  <si>
    <t>Способ установки пожарных шкафов:
- МОП - встраиваемый,
- Паркинг - навесной.
Производитель: НПО Пульс.
Модель: 
- Встраиваемый: ШПК-Пульс-320-21ВЗБ, ШПК-Пульс-320-12ВЗБ, ШПК-Пульс-320-ВЗБ0, ШПК-Пульс-310-ВЗБ,
- Навесной: ШПК-Пульс-320-21НЗБ, ШПК-Пульс-320-12НЗБ, ШПК-Пульс-320-НЗБ, ШПК-Пульс-310-НЗБ.</t>
  </si>
  <si>
    <t>Ороситель пожарный</t>
  </si>
  <si>
    <t>Спринклерный ороситель водяной тип "СВУ" 
Дренчерный ороситель водяной тип "ДВУ"
Производитель: Спецавтоматика, Бийск.</t>
  </si>
  <si>
    <t>6.3 Водоотведение</t>
  </si>
  <si>
    <t>6.3.0.1</t>
  </si>
  <si>
    <t>Инженерные системы водоотведения</t>
  </si>
  <si>
    <t>В проектной и рабочей документации (модели) предусматривать следующее буквенно-цифровое обозначение внутренних систем:
К1_Жилье_Канализация
К1н_Жилье_Канализация(напорн.)
К1.1_Ритейл_Канализация
К2_Жилье_Канализация
К2.1_Паркинг_Канализация
К3_Ритейл_Канализация(произв.)
К13н_Жилье_Канализация(напорн.)
К14_Жилье_Канализация(кондиц.)
К15_Жилье_Канализация
К15нп_Паркинг_Канализация(напорн.)</t>
  </si>
  <si>
    <t xml:space="preserve"> Система бытовой канализации до 75 метров</t>
  </si>
  <si>
    <t>6.3.1</t>
  </si>
  <si>
    <r>
      <rPr>
        <sz val="8"/>
        <color theme="1"/>
        <rFont val="Arial"/>
      </rPr>
      <t xml:space="preserve">С нижней разводкой горизонтальных магистралей под потолком технического этажа и вертикальными стояками в коммуникационных шахтах. 
Стояки в санитарном узле выполнить без зашивки, в кухне с зашивкой. В двухуровневых квартирах, квартирах с отдельным входом и квартирах с надстройкой на последних этажах везде без зашивки.
Раздельные системы для жилой части здания (включая помещения МОП) и коммерческих помещений.
</t>
    </r>
    <r>
      <rPr>
        <sz val="8"/>
        <color theme="1"/>
        <rFont val="Arial"/>
      </rPr>
      <t>Отдельный выпуск в городскую сеть. Максимальное количество выпусков: 2 шт. на прямую секцию, 3 шт. на угловую секцию. Расстояние между выпусками принимать 14-18м. 
Разводку по жилым и коммерческим помещениям не предусматривать.
В помещениях КУИ выполнить разводку и установить душевые поддоны, унитазы, раковины.</t>
    </r>
    <r>
      <rPr>
        <sz val="8"/>
        <color theme="1"/>
        <rFont val="Arial"/>
      </rPr>
      <t xml:space="preserve">
Избегать прокладки через пожарный отсек автостоянки. При прокладке в границах автостоянки, стояки и магистраль выполнить из чугунных безраструбных труб SML.
</t>
    </r>
    <r>
      <rPr>
        <sz val="8"/>
        <color theme="1"/>
        <rFont val="Arial"/>
      </rPr>
      <t>Вытяжные части стояков объединяются в помещение технического этажа (чердака) в один фановый стояк с выброс на улицу через вытяжную шахту</t>
    </r>
  </si>
  <si>
    <t>6.3.1.1</t>
  </si>
  <si>
    <t>Оконечное оборудование сантехническое</t>
  </si>
  <si>
    <t>Предусмотреть в помещении КУИ:
- Поддон душевой 800х800 со смесителем и сифоном
- Раковина керамическая 500х420 (550х450) со смесителем и сифоном
- Унитаз прямой (косой) выпуск 
КУИ общедомовой (основной) - раковина, унитаз, душевой поддон,
КУИ секционный - унитаз, раковина,
КУИ паркинга - раковина,
Комната отдыха с гардеробом - унитаз, раковина, душевой поддон,
Помещение дворника - раковина.</t>
  </si>
  <si>
    <t>6.3.1.2</t>
  </si>
  <si>
    <t>Магистраль из труб ПП раструбных</t>
  </si>
  <si>
    <t>Предусмотреть размещение ревизий и прочисток согласно СП 30.13330.2020 пункт 18.30, На горизонтальных участках сети канализации наибольшее допустимое расстояние между ревизиями 15 метров, между прочистками 10 метров. 
Узлы поворотов самотечных трубопроводов в горизонтальной плоскости следует выполнять не менее чем из двух фасонных частей (два отвода или более, тройник и отвод и т. д.).
Крепление горизонтального трубопровода в месте перехода стояка предусмотреть неподвижными хомутами (опорами).
Производители: Труб согласно вендор листу</t>
  </si>
  <si>
    <t>6.3.1.3</t>
  </si>
  <si>
    <t>Магистраль из труб НПВХ раструбных</t>
  </si>
  <si>
    <t>Канализационный выпуск Ø110 мм. (выполнить из НПВХ трубы для наружной канализации).
Производители:
Трубопровод: ГОСТ 54475-2011</t>
  </si>
  <si>
    <t>6.3.1.4</t>
  </si>
  <si>
    <r>
      <rPr>
        <sz val="8"/>
        <color rgb="FF000000"/>
        <rFont val="Arial"/>
      </rPr>
      <t xml:space="preserve">Стояк из труб ПП </t>
    </r>
    <r>
      <rPr>
        <sz val="8"/>
        <color rgb="FF000000"/>
        <rFont val="Arial"/>
      </rPr>
      <t xml:space="preserve">малошумных </t>
    </r>
    <r>
      <rPr>
        <sz val="8"/>
        <color rgb="FF000000"/>
        <rFont val="Arial"/>
      </rPr>
      <t>раструбных до 75 метров</t>
    </r>
  </si>
  <si>
    <t>DN 110 - с 1 по 24 этаж
В местах прохода стояков через перекрытия предусмотреть противопожарные муфты.
При переходе стояка в горизонтальный трубопровод запрещается применять отвод 90° (87,5°). Нижний отвод стояка следует монтировать не менее чем из двух отводов по 45° или трех отводов по 30° или из четырех отводов по 22,5°.
В каждой квартире предусмотреть компенсационный патрубок, для компенсации температурных расширений и изменения положения тройника относительно горизонтальных частей системы (для выставления необходимого уклона канализации). 
Производители: Труб, Противопожарных муфт согласно вендор листу</t>
  </si>
  <si>
    <t>6.3.1.5</t>
  </si>
  <si>
    <t>Разводка из труб ПП раструбных</t>
  </si>
  <si>
    <t>Предусмотреть в помещении КУИ, разводка от санитарных приборов.
Производители: Труб согласно вендор листу</t>
  </si>
  <si>
    <t>6.3.1.6</t>
  </si>
  <si>
    <r>
      <rPr>
        <sz val="8"/>
        <color rgb="FF000000"/>
        <rFont val="Arial"/>
      </rPr>
      <t xml:space="preserve">Разводка из труб ПП </t>
    </r>
    <r>
      <rPr>
        <sz val="8"/>
        <color rgb="FF000000"/>
        <rFont val="Arial"/>
      </rPr>
      <t xml:space="preserve">PN20 </t>
    </r>
    <r>
      <rPr>
        <sz val="8"/>
        <color rgb="FF000000"/>
        <rFont val="Arial"/>
      </rPr>
      <t>водоотведение (КУИ)</t>
    </r>
  </si>
  <si>
    <t>Предусмотреть в помещении КУИ от насосной установки Sololift до врезки в магистральный трубопровод.
Производители: Труб согласно вендор листу</t>
  </si>
  <si>
    <t xml:space="preserve"> Система производственной канализации</t>
  </si>
  <si>
    <t>6.3.2</t>
  </si>
  <si>
    <t>Отдельная производственная канализация для помещений общественного питания.
Отдельный выпуск в городскую сеть. 
Разводку не предусматривать, в проекте предусмотреть место для установки жироуловителя, установка производиться силами собственника коммерческого помещения.</t>
  </si>
  <si>
    <t>6.3.2.1</t>
  </si>
  <si>
    <t>6.3.2.2</t>
  </si>
  <si>
    <t xml:space="preserve"> Система ливневой канализации Жилая часть</t>
  </si>
  <si>
    <t>6.3.3</t>
  </si>
  <si>
    <r>
      <rPr>
        <sz val="8"/>
        <color rgb="FF000000"/>
        <rFont val="Arial"/>
      </rPr>
      <t xml:space="preserve">Трубопроводы объединяются в помещении технического этажа (чердак), стояк расположен в шахте (зашивке) МОП, с опуском в технический этаж (подвал).
Ливневая канализация с летних помещений (с балконов - слив наружу </t>
    </r>
    <r>
      <rPr>
        <sz val="8"/>
        <color rgb="FF000000"/>
        <rFont val="Arial"/>
      </rPr>
      <t>в составе префабрицированных балконов</t>
    </r>
    <r>
      <rPr>
        <sz val="8"/>
        <color rgb="FF000000"/>
        <rFont val="Arial"/>
      </rPr>
      <t xml:space="preserve">, с террас - ливневая канализация минимального диаметра в слое тепловой изоляции фасада здания). 
Отдельный выпуск в городскую сеть.
</t>
    </r>
    <r>
      <rPr>
        <sz val="8"/>
        <color rgb="FF000000"/>
        <rFont val="Arial"/>
      </rPr>
      <t xml:space="preserve">В состав спецификации учитывать единый шкаф управления электрообогрева воронок и трапов (один на секцию). 
</t>
    </r>
    <r>
      <rPr>
        <sz val="8"/>
        <color rgb="FF000000"/>
        <rFont val="Arial"/>
      </rPr>
      <t xml:space="preserve">
Производители: 
Трубопровод: ГОСТ 18599-2001</t>
    </r>
  </si>
  <si>
    <t>6.3.3.1</t>
  </si>
  <si>
    <t>Магистраль из труб ПЭ</t>
  </si>
  <si>
    <r>
      <rPr>
        <sz val="8"/>
        <color rgb="FF000000"/>
        <rFont val="Arial"/>
      </rPr>
      <t>Трубопроводы в тепловой изоляции из вспененного каучука толщиной 9</t>
    </r>
    <r>
      <rPr>
        <sz val="8"/>
        <color rgb="FFFF0000"/>
        <rFont val="Arial"/>
      </rPr>
      <t xml:space="preserve"> </t>
    </r>
    <r>
      <rPr>
        <sz val="8"/>
        <color rgb="FF000000"/>
        <rFont val="Arial"/>
      </rPr>
      <t>мм.
Производители:
Трубопровод: ГОСТ 18599-2001
Изоляция: "K-Flex"</t>
    </r>
  </si>
  <si>
    <t>6.3.3.2</t>
  </si>
  <si>
    <r>
      <rPr>
        <sz val="8"/>
        <color rgb="FF000000"/>
        <rFont val="Arial"/>
      </rPr>
      <t xml:space="preserve">Стояк из труб </t>
    </r>
    <r>
      <rPr>
        <sz val="8"/>
        <color rgb="FF000000"/>
        <rFont val="Arial"/>
      </rPr>
      <t>ПЭ</t>
    </r>
    <r>
      <rPr>
        <sz val="8"/>
        <color rgb="FF000000"/>
        <rFont val="Arial"/>
      </rPr>
      <t xml:space="preserve"> до 100 метров</t>
    </r>
  </si>
  <si>
    <t>DN 110 - с 1 по 32 этаж
Трубопроводы в тепловой изоляции из вспененного каучука, толщиной 9 мм.
Воронки, пристенные воронки с листвоуловителями, теплоизоляцией, гидроизоляционным полотном и электрообогревом.
Производители: Труб, Изоляции, Водосточных воронок согласно вендор листу</t>
  </si>
  <si>
    <t>6.3.3.3</t>
  </si>
  <si>
    <t>Стояк из труб ПЭ ливневая канализация с террас до 100 метров</t>
  </si>
  <si>
    <t>Трапы с электрообогревом
DN 50 - с 1 по 32 этаж
Производители: Труб, Изоляции, Водосточных воронок согласно вендор листу</t>
  </si>
  <si>
    <t xml:space="preserve"> Система ливневой канализации Паркинг</t>
  </si>
  <si>
    <t>6.3.4</t>
  </si>
  <si>
    <t>Отвод стоков через водосточные воронки, трубопроводы от водосточных воронок проложить под потолком автостоянки.
Водосточные воронки следует размещать с шагом не более 15х15 метров.
Отдельный выпуск в городскую сеть.</t>
  </si>
  <si>
    <t>6.3.4.1</t>
  </si>
  <si>
    <t>Магистраль из труб стальных ливневой канализации</t>
  </si>
  <si>
    <t>Трубопроводы стальные неоцинкованные электросварные ГОСТ 10704-91 (диаметр и толщина стенки: 57х3,5; 76х3,5; 89х4,0; 108х4,0; 133х4,5;159х4,5, 219х4,5).
Трубопроводы в тепловой изоляции из вспененного каучука, толщиной 9 (трубки) и 10 мм (рулон) для труб ˃ DN160.
Предусмотреть размещение ревизий и прочисток согласно СП 30.13330.2020 пункт 18.30, а также после перехода стояка (опуска воронки) в горизонтальный трубопровод (магистраль).
Производители: Труб, Изоляции, Водосточных воронок согласно вендор листу</t>
  </si>
  <si>
    <t xml:space="preserve"> Система дренажной канализации аварийных и случайных стоков</t>
  </si>
  <si>
    <t>6.3.5</t>
  </si>
  <si>
    <r>
      <rPr>
        <sz val="8"/>
        <color rgb="FF000000"/>
        <rFont val="Arial"/>
      </rPr>
      <t xml:space="preserve">В ИТП, насосной предусмотреть приямки с погружными насосами.
Размеры приямков:
- ИТП: </t>
    </r>
    <r>
      <rPr>
        <sz val="8"/>
        <color rgb="FF000000"/>
        <rFont val="Arial"/>
      </rPr>
      <t xml:space="preserve">800х800х800h </t>
    </r>
    <r>
      <rPr>
        <sz val="8"/>
        <color rgb="FF000000"/>
        <rFont val="Arial"/>
      </rPr>
      <t xml:space="preserve">мм для двух насосов.
- В насосной: 500х900х800h мм, для двух насосов.
- Под каждым выпуском канализации: 500х500х500h мм.
- Предусмотреть один приямок на секцию, по центру коридора (по длине): 500х500х500h мм.
В технических помещениях предусмотреть трубопровод (прокладка открытым способом) от дренажных (сбросных) кранов инженерного оборудования до дренажного приямка для выполнения ремонтных и профилактических работ на оборудовании. </t>
    </r>
  </si>
  <si>
    <t>6.3.5.1</t>
  </si>
  <si>
    <t>Дренажный насос</t>
  </si>
  <si>
    <r>
      <rPr>
        <sz val="8"/>
        <color rgb="FF000000"/>
        <rFont val="Arial"/>
      </rPr>
      <t xml:space="preserve">Насос с поплавковым выключателем </t>
    </r>
    <r>
      <rPr>
        <sz val="8"/>
        <color rgb="FF000000"/>
        <rFont val="Arial"/>
      </rPr>
      <t>и шкафом управления.</t>
    </r>
    <r>
      <rPr>
        <sz val="8"/>
        <color rgb="FF000000"/>
        <rFont val="Arial"/>
      </rPr>
      <t xml:space="preserve">
Производители:
"Wilo"</t>
    </r>
  </si>
  <si>
    <t>6.3.5.2</t>
  </si>
  <si>
    <t>Магистраль из труб стальных дренажной системы аварийных и случайных стоков</t>
  </si>
  <si>
    <t>Трубопроводы стальные неоцинкованные водогазопроводные ГОСТ 3262-75 (диаметр и толщина стенки: 32х3,2; 40х3,5).</t>
  </si>
  <si>
    <t xml:space="preserve"> Система дренажной канализации от системы кондиционирования</t>
  </si>
  <si>
    <t>6.3.6</t>
  </si>
  <si>
    <t>Стояки расположить в слое тепловой изоляции фасада здания.
Магистрали расположить под потолком технического этажа с отводом дренажа в ближайшие к стояку дренажные приямки.
Расход принять не более 2,5 л/ч на один кондиционер.</t>
  </si>
  <si>
    <t>6.3.6.1</t>
  </si>
  <si>
    <t>Магистраль из труб ПП PN20 дренажной системы кондиционирования</t>
  </si>
  <si>
    <t>Производители: Труб согласно вендор листу</t>
  </si>
  <si>
    <t>6.3.6.2</t>
  </si>
  <si>
    <t>Стояк из труб ПП PN20 дренажной системы кондиционирования до 50 метров</t>
  </si>
  <si>
    <t>DN 25 - с 1 по 16 этаж
Производители: Труб согласно вендор листу</t>
  </si>
  <si>
    <t>6.3.6.3</t>
  </si>
  <si>
    <t>Стояк из труб ПП PN20 дренажной системы кондиционирования от 50 до 100 метров</t>
  </si>
  <si>
    <t>DN 32 - с 1 по 32 этаж
Производители: Труб согласно вендор листу</t>
  </si>
  <si>
    <t xml:space="preserve"> Система дренажной канализации отвода стоков от системы автоматического пожаротушения Паркинг</t>
  </si>
  <si>
    <t>6.3.7</t>
  </si>
  <si>
    <t>Предусмотреть отдельную систему дренажной канализации для откачки воды при тушении пожара, удалении воды при различных утечках.
Отвод воды от погружных насосов приямков предусмотрено горизонтальными трубопроводами в конструкции пола паркинга. 
Вертикальные трубопроводы расположены у колонн паркинга с последующим отводом через напорные трубопроводы под потолком паркинга.
Трубопроводы из стальных труб. В приямках предусмотреть погружные насосы оборудованные автоматическими поплавковыми выключателями, пескоуловители. 
Устройство приямков для сбора и удаления воды с пола автостоянки, организовать вне парковочных мест.
Размеры приямков:
- 500х700х500h мм. с шагом не более 30 метров.</t>
  </si>
  <si>
    <t>6.3.7.1</t>
  </si>
  <si>
    <t>Насос с поплавковым выключателем
Производители:
"Wilo"</t>
  </si>
  <si>
    <t>6.3.7.2</t>
  </si>
  <si>
    <t>Трубопроводы стальные неоцинкованные водогазопроводные ГОСТ 3262-75 (диаметр и толщина стенки: 15х2,8; 20х2,8; 25х3,2; 32х3,2; 40х3,5) и стальные неоцинкованные электросварные ГОСТ 10704-91 (диаметр и толщина стенки: 57х3,5; 76х3,5; 89х4,0; 108х4,0; 133х4,5;159х4,5).</t>
  </si>
  <si>
    <t>7.1 Отопление</t>
  </si>
  <si>
    <t>7.1.0.1</t>
  </si>
  <si>
    <t>Инженерные системы отопления</t>
  </si>
  <si>
    <t>В проектной и рабочей документации (модели) предусматривать следующее буквенно-цифровое обозначение внутренних систем:
Т1_Теплоснабжение_Ввод_Подача
Т2_Теплоснабжение_Ввод_Обратка
Т1.1_Отопление_Жилье_Подача - 1 зона
Т1.2_Отопление_Жилье_Подача - 2 зона
Т2.1_Отопление_Жилье_Обратка - 1 зона
Т2.2_Отопление_Жилье_Обратка - 2 зона
Т1.3_Отопление_Ритейл_Подача
Т2.3_Отопление_Ритейл_Обратка
Т1.4_Отопление_МОП_Подача
Т2.4_Отопление_МОП_Обратка
Т1.6_Теплоснабжение_Вентиляция_Подача
Т2.6_Теплоснабжение_Вентиляция_Обратка</t>
  </si>
  <si>
    <t>7.1.0.2</t>
  </si>
  <si>
    <t>Нагрузки отопление</t>
  </si>
  <si>
    <t>При проектировании учесть плановые нагрузки по данному объекту 2,185 Гкал/час с учётом на ГВС. 
Расчет выполнить на основании СП50.13330 таб.14
При расчете обеспечить выполнение Приказа Минстрой РФ№1551/пр от 17.11.2017г и снизить расчетные нагрузки на Отопление и Вентиляцию на 20%.
на коммерческие помещения
жилые помещения
паркинг
Ком.помещения - ТС + рекуперация на вент.установки</t>
  </si>
  <si>
    <t xml:space="preserve"> Система отопления однозонная Жилая часть</t>
  </si>
  <si>
    <t>7.1.1</t>
  </si>
  <si>
    <r>
      <rPr>
        <sz val="8"/>
        <color rgb="FF000000"/>
        <rFont val="Arial"/>
      </rPr>
      <t>Двухтрубная с магистральными трубопроводами в технический этаж (подвал).
Стояки расположить в нише межквартирного коридора около лестничного лифтового узла.
Разводка по квартирам тупиковая в стяжке пола, в квартиру заводить через входную дверь. 
Поэтажные коллекторы с индивидуальным поквартирным учетом расположить в межквартирном коридоре, предусмотреть не более 2 поэтажных шкафов на всех собственников.
При расположении квартир на 1 этаже и отсутствии доступа к инженерным нишам ОВ из МОП 1 этажа - обеспечить доступ к нишам на минус 1 этаже.
При подборе учитывать высоту подоконного пространства и наличие подоконного вентиляционного клапана. 
При расчете теплопотерь учитывать расход на нагрев воздуха (приток через вентиляционный клапан) в размере 0,35 кр. от общего объема квартиры, учитывая бытовые тепловыделения.</t>
    </r>
    <r>
      <rPr>
        <strike/>
        <sz val="8"/>
        <color rgb="FF000000"/>
        <rFont val="Arial"/>
      </rPr>
      <t xml:space="preserve">
</t>
    </r>
    <r>
      <rPr>
        <sz val="8"/>
        <color rgb="FF000000"/>
        <rFont val="Arial"/>
      </rPr>
      <t xml:space="preserve">
Прокладку трубопроводов через помещения ванных комнат и санузлов, ниш инженерных сетей не выполнять.
В местах балконных дверей и остекления «в пол» отопительные приборы располагать на ближайшем от окна простенке или перегородке, перед остеклением "в пол" прокладку трубопровода в конструкции пола от отопительного прибора выполнить "змейкой" шириной 250 мм вдоль окна.
В двухуровневых квартирах, квартирах с отдельным входом и квартирах с надстройкой у окон в пол применять внутрипольные конвекторы с механической конвекцией
В двухуровнивых квартирах подключение к поэтажному коллектору осуществляется с нижнего этажа 
В квартирах на последнем этаже с выходом на террасу (кровлю) подключение осуществляется от разводки нижележащего этажа предпочтительно в зоне санузел или в непосредственной близости ко входу в квартиру (в зоне пилона, в штробе в стене, в зоне будущей зашивки).</t>
    </r>
  </si>
  <si>
    <t>7.1.1.1</t>
  </si>
  <si>
    <t>Оборудование и элементы ИТП</t>
  </si>
  <si>
    <t>См. раздел тепломеханические решения (ИТП)</t>
  </si>
  <si>
    <t>7.1.1.2</t>
  </si>
  <si>
    <t>Коллектор отопления</t>
  </si>
  <si>
    <r>
      <rPr>
        <sz val="8"/>
        <color rgb="FF000000"/>
        <rFont val="Arial"/>
      </rPr>
      <t xml:space="preserve">Заводского изготовления
В составе предусмотреть учет тепла (теплосчетчик с открытым протоколом системы диспетчеризации), балансировку, дренаж, удаление воздуха, перекрытие теплоносителя.
</t>
    </r>
    <r>
      <rPr>
        <sz val="8"/>
        <color rgb="FF000000"/>
        <rFont val="Arial"/>
      </rPr>
      <t>1. Кран шаровый латунный муфтовый бабочка НР-ВР DN25, DN32 (для подключения к стояку) 
2. Фильтр сетчатый латунный ВР-ВР DN25, DN32
3. Балка коллекторная DN50
4. Вставка запорная латунная 
5. Клапан балансировочный автоматический (обратный трубопровод) DN20, DN25.
6. Дренажный кран
7. Кронштейн
8. Теплосчетчик отопления (теплосчетчик с открытым протоколом системы диспетчеризации)
9. Клапан балансировочный ручной DN15
10. Воздухоотводчик
11. Муфта (штуцер) с переходом на НР (пресс фитинг - для МП, обжимной фитинг - для СП)</t>
    </r>
    <r>
      <rPr>
        <sz val="8"/>
        <color rgb="FF000000"/>
        <rFont val="Arial"/>
      </rPr>
      <t xml:space="preserve">
На коллекторе предусмотреть теплоизоляцию из вспененного каучука.
Производители: 
Коллектор: "Ридан"
Теплосчетчик: "Пульсар"
Изоляция: K-Flex, Armacell</t>
    </r>
  </si>
  <si>
    <t>7.1.1.3</t>
  </si>
  <si>
    <t>Радиатор стальной нижнее подключение</t>
  </si>
  <si>
    <r>
      <rPr>
        <sz val="8"/>
        <color rgb="FF000000"/>
        <rFont val="Arial"/>
      </rPr>
      <t xml:space="preserve">Стальные панельные радиаторы с нижним подключением в комплекте с термостатическим клапаном и термоголовкой (в помещениях МОП термоголовки не предусматривать).
В пределах одного помещения следует предусматривать радиаторы единой глубины и высоты, переменной длины.
</t>
    </r>
    <r>
      <rPr>
        <b/>
        <i/>
        <sz val="8"/>
        <color rgb="FF000000"/>
        <rFont val="Arial"/>
      </rPr>
      <t>Для жилой части и коммерческих помещений:</t>
    </r>
    <r>
      <rPr>
        <sz val="8"/>
        <color rgb="FF000000"/>
        <rFont val="Arial"/>
      </rPr>
      <t xml:space="preserve">
</t>
    </r>
    <r>
      <rPr>
        <strike/>
        <sz val="8"/>
        <color rgb="FF000000"/>
        <rFont val="Arial"/>
      </rPr>
      <t xml:space="preserve">
</t>
    </r>
    <r>
      <rPr>
        <sz val="8"/>
        <color rgb="FF000000"/>
        <rFont val="Arial"/>
      </rPr>
      <t xml:space="preserve">- Применять радиаторы тип 11: 
 ● высотой 300 длиной от 700 до 2000,
 ● высотой 900 длиной от 400 до 800,
- Применять радиаторы тип 22: 
 ● высотой 300 длиной от 700 до 2000,
 ● высотой 900 длиной от 400 до 800.
- Применять радиаторы тип 33: 
 ● высотой 300 длиной от 700 до 2000,
 ● высотой 900 длиной от 400 до 800.
</t>
    </r>
    <r>
      <rPr>
        <b/>
        <i/>
        <sz val="8"/>
        <color rgb="FF000000"/>
        <rFont val="Arial"/>
      </rPr>
      <t xml:space="preserve">Для МОП:
</t>
    </r>
    <r>
      <rPr>
        <sz val="8"/>
        <color rgb="FF000000"/>
        <rFont val="Arial"/>
      </rPr>
      <t>- Для лестничной клетки применять радиаторы тип 33 (если по расчёту не подходит тип 22).
Применять радиаторы высотой 500 мм. 
Радиаторы высотой 300 мм применять при высоте подоконного пространства менее 650 мм.
Радиаторы высотой 900 мм применять в местах балконных дверей и остекления «в пол» (при невозможности использования высотой 500 мм), располагать на ближайшем от окна простенке или перегородке.
На планах рабочей документации все отопительные приборы отобразить в масштабе.
Узел нижнего подключения отопительного прибора:
- Клапан угловой запорный радиаторный двойной без байпаса;
- Адаптер (евроконус) соединительный с ВР.
- Для входного вестибюля после первого тамбура и лифтового холла применять стальные дизайн радиаторы высотой 2 метра, длина по расчёту, места установки и габариты согласовать с Заказчиком.
Производители: 
Радиаторы: 
Стальные панельные - Buderus
Стальные дизайн - KZTO - Гармония А40
Термоголовка и запорный клапан: Danfoss</t>
    </r>
  </si>
  <si>
    <t>7.1.1.4</t>
  </si>
  <si>
    <t>Внутрипольный конвектор</t>
  </si>
  <si>
    <t>Конвектор с механической конвекцией.
Габариты: Высота 75 мм, Ширина 180/230 мм, Длина по расчёту, от 1000мм до 2500мм
Производитель: Kermi</t>
  </si>
  <si>
    <t>7.1.1.5</t>
  </si>
  <si>
    <t>Магистраль из труб стальных</t>
  </si>
  <si>
    <r>
      <rPr>
        <sz val="8"/>
        <color rgb="FF000000"/>
        <rFont val="Arial"/>
      </rPr>
      <t xml:space="preserve">Труба ГОСТ 3262-75* диаметр и толщина стенки: 15х2,8; 20х2,8; 25х3,2; 32х3,2; 40х3,5,
труба ГОСТ 10704-91 диаметр и толщина стенки: 57х3,5; 76х3,5; 89х4,0; 108х4,0; 133х4,5;159х4,5; 219х4,5. 
В тепловой изоляции из вспененного каучука 19мм. 
Прокладка трубопроводов открытая.
Компенсаторы: П - образные.
Антикоррозийная защита: 
- Трубопроводы: краска БТ-177 ГОСТ 5631-79 в два слоя, грунт ГФ-021 ГОСТ 25129-82 в один слой. 
На магистральных трубопроводах применить опоры по серии 5.903-13. 
Трубопроводная арматура:
- Воздухоотводчик: автоматический прямой с (боковым/верхним) выпуском,
- Кран шаровой полнопроходной: с резьбой тип (ВР-ВР), тип рукоятки "рычаг", для спускных кранов и кранов перед воздухоотводчиками тип рукоятки "бабочка".
- Клапан латунный балансировочный ручной/автоматический применять для регулировки системы в МОП или коммерческие помещения.
Тип присоединения запорной и регулирующей арматуры : 
- Муфтовое соединение - DN15 - DN50,
- Фланцевое соединение - DN65 и более.
Производители:
Изоляция: K-Flex, Armacell.
Трубопроводная арматура: Danfoss, </t>
    </r>
    <r>
      <rPr>
        <sz val="8"/>
        <color rgb="FF000000"/>
        <rFont val="Arial"/>
      </rPr>
      <t xml:space="preserve">LD, </t>
    </r>
    <r>
      <rPr>
        <sz val="8"/>
        <color rgb="FF000000"/>
        <rFont val="Arial"/>
      </rPr>
      <t>Valtec, ADL, Naval, Broen Ballomax, Bugatti, Flamco, Giacomini</t>
    </r>
  </si>
  <si>
    <t>7.1.1.6</t>
  </si>
  <si>
    <t>Стояк из труб стальных до 28 метров</t>
  </si>
  <si>
    <t>DN 65 - с 1 по 5 этаж 
DN 50 - с 6 по 8 этаж
DN 32 - 9 этаж
При ином количестве этажей исключать нижний этаж.
Труба ГОСТ 3262-75* диаметр и толщина стенки: 32х3,2,
труба ГОСТ 10704-91 диаметр и толщина стенки: 57х3,5; 76х3. 
В тепловой изоляции из вспененного каучука 19мм. 
Прокладка трубопроводов открытая.
Компенсаторы: сильфонные.
Опоры: неподвижные.
Антикоррозийная защита: 
- Трубопроводы: краска БТ-177 ГОСТ 5631-79 в два слоя, грунт ГФ-021 ГОСТ 25129-82 в один слой. 
Трубопроводная арматура:
- Воздухоотводчик: автоматический прямой с (боковым/верхним) выпуском,
- Кран шаровой полнопроходной: с резьбой тип (ВР-ВР), тип рукоятки "рычаг", для спускных кранов и кранов перед воздухоотводчиками тип рукоятки "бабочка".
- Клапан латунный балансировочный ручной/автоматический применять для регулировки системы в МОП или коммерческие помещения.
Производители:
Изоляция: K-Flex, Armacell.
Трубопроводная арматура: Danfoss, Valtec, LD, ADL, Naval, Broen Ballomax, Bugatti, Flamco, Giacomini, АкваСмарт (КФРД).
Компенсатор: "Протон - Энергия"</t>
  </si>
  <si>
    <t>7.1.1.7</t>
  </si>
  <si>
    <t>Стояк из труб стальных до 50 метров</t>
  </si>
  <si>
    <r>
      <rPr>
        <sz val="8"/>
        <color rgb="FF000000"/>
        <rFont val="Arial"/>
      </rPr>
      <t xml:space="preserve">DN 100 - с 1 по 5 этаж,
DN 80 - с 6 по 8 этаж,
DN 65 - с 9 по 12 этаж 
DN 50 - с 13 по 15 этаж
DN 32 - 16 этаж
При ином количестве этажей исключать нижний этаж.
Труба ГОСТ 3262-75* диаметр и толщина стенки: 32х3,2,
труба ГОСТ 10704-91 диаметр и толщина стенки: 57х3,5; 76х3,5; 89х4,0; 108х4,0. 
В тепловой изоляции из вспененного каучука 19мм. 
Прокладка трубопроводов открытая.
Компенсаторы: сильфонные. 
Опоры: неподвижные.
Антикоррозийная защита: 
- Трубопроводы: краска БТ-177 ГОСТ 5631-79 в два слоя, грунт ГФ-021 ГОСТ 25129-82 в один слой. 
Трубопроводная арматура:
- Воздухоотводчик: автоматический прямой с (боковым/верхним) выпуском,
- Кран шаровой полнопроходной: с резьбой тип (ВР-ВР), тип рукоятки "рычаг", для спускных кранов и кранов перед воздухоотводчиками тип рукоятки "бабочка".
- Клапан латунный балансировочный ручной/автоматический применять для регулировки системы в МОП или коммерческие помещения.
Производители:
Изоляция: K-Flex, Armacell.
Трубопроводная арматура: Danfoss, Valtec, </t>
    </r>
    <r>
      <rPr>
        <sz val="8"/>
        <color rgb="FF000000"/>
        <rFont val="Arial"/>
      </rPr>
      <t>LD,</t>
    </r>
    <r>
      <rPr>
        <sz val="8"/>
        <color rgb="FF000000"/>
        <rFont val="Arial"/>
      </rPr>
      <t xml:space="preserve"> ADL, Naval, Broen Ballomax, Bugatti, Flamco, Giacomini, АкваСмарт (КФРД).
Компенсатор: "Протон - Энергия"</t>
    </r>
  </si>
  <si>
    <t>7.1.1.8</t>
  </si>
  <si>
    <t>Разводка из труб СП PN10 отопление</t>
  </si>
  <si>
    <r>
      <rPr>
        <sz val="8"/>
        <color rgb="FF000000"/>
        <rFont val="Arial"/>
      </rPr>
      <t xml:space="preserve">Сшитый полиэтилен PN10 в тепловой изоляции из вспененного полиэтилена 9 мм в МОП, в квартирах и коммерческих помещениях в защитной гофрированной трубе с устройством на конце адаптера (евроконуса) для радиатора и муфты (штуцера) с НР (обжимной фитинг) для внутрипольного конвектора.
Тепловую изоляцию и защитную гофрированную трубу на подающем трубопроводе применять красного цвета, на обратном трубопроводе синего цвета. 
Все повороты выполнять изгибами труб (без применения отводов). 
Производители:
Трубопроводы: </t>
    </r>
    <r>
      <rPr>
        <sz val="8"/>
        <color rgb="FF000000"/>
        <rFont val="Arial"/>
      </rPr>
      <t>РосТурПласт</t>
    </r>
    <r>
      <rPr>
        <sz val="8"/>
        <color rgb="FF000000"/>
        <rFont val="Arial"/>
      </rPr>
      <t xml:space="preserve">
Изоляция: Energoflex Super Protect</t>
    </r>
  </si>
  <si>
    <t>7.1.1.9</t>
  </si>
  <si>
    <t xml:space="preserve"> Система отопления двухзонная Жилая часть</t>
  </si>
  <si>
    <t>7.1.2</t>
  </si>
  <si>
    <r>
      <rPr>
        <sz val="8"/>
        <color rgb="FF000000"/>
        <rFont val="Arial"/>
      </rPr>
      <t>Двухтрубная с магистральными трубопроводами в технический этаж (подвал).
Стояки расположить в нише межквартирного коридора около лестничного лифтового узла.
Разводка по квартирам тупиковая в стяжке пола, в квартиру заводить через входную дверь. 
Поэтажные коллекторы с индивидуальным поквартирным учетом расположить в межквартирном коридоре, предусмотреть не более 2 поэтажных шкафов на всех собственников.
При расположении квартир на 1 этаже и отсутствии доступа к инженерным нишам ОВ из МОП 1 этажа - обеспечить доступ к нишам на минус 1 этаже.
При подборе учитывать высоту подоконного пространства и наличие подоконного вентиляционного клапана. 
При расчете теплопотерь учитывать расход на нагрев воздуха (приток через вентиляционный клапан) в размере 0,35 кр. от общего объема квартиры, учитывая бытовые тепловыделения.</t>
    </r>
    <r>
      <rPr>
        <strike/>
        <sz val="8"/>
        <color rgb="FF000000"/>
        <rFont val="Arial"/>
      </rPr>
      <t xml:space="preserve">
</t>
    </r>
    <r>
      <rPr>
        <sz val="8"/>
        <color rgb="FF000000"/>
        <rFont val="Arial"/>
      </rPr>
      <t xml:space="preserve">
Прокладку трубопроводов через помещения ванных комнат и санузлов, ниш инженерных сетей не выполнять.
В местах балконных дверей и остекления «в пол» отопительные приборы располагать на ближайшем от окна простенке или перегородке, перед остеклением "в пол" прокладку трубопровода в конструкции пола от отопительного прибора выполнить "змейкой" шириной 250 мм вдоль окна.
В двухуровневых квартирах, квартирах с отдельным входом и квартирах с надстройкой у окон в пол применять внутрипольные конвекторы с механической конвекцией
В двухуровнивых квартирах подключение к поэтажному коллектору осуществляется с нижнего этажа 
В квартирах на последнем этаже с выходом на террасу (кровлю) подключение осуществляется от разводки нижележащего этажа предпочтительно в зоне санузел или в непосредственной близости ко входу в квартиру (в зоне пилона, в штробе в стене, в зоне будущей зашивки).</t>
    </r>
  </si>
  <si>
    <t>7.1.2.1</t>
  </si>
  <si>
    <t>7.1.2.2</t>
  </si>
  <si>
    <r>
      <rPr>
        <sz val="8"/>
        <color rgb="FF000000"/>
        <rFont val="Arial"/>
      </rPr>
      <t xml:space="preserve">Заводского изготовления
В составе предусмотреть учет тепла (теплосчетчик с открытым протоколом системы диспетчеризации), балансировку, дренаж, удаление воздуха, перекрытие теплоносителя.
</t>
    </r>
    <r>
      <rPr>
        <sz val="8"/>
        <color rgb="FF000000"/>
        <rFont val="Arial"/>
      </rPr>
      <t>1. Кран шаровый латунный муфтовый бабочка НР-ВР DN25, DN32 (для подключения к стояку) 
2. Фильтр сетчатый латунный ВР-ВР DN25, DN32
3. Балка коллекторная DN50
4. Вставка запорная латунная 
5. Клапан балансировочный автоматический (обратный трубопровод) DN20, DN25.
6. Дренажный кран
7. Кронштейн
8. Теплосчетчик отопления (теплосчетчик с открытым протоколом системы диспетчеризации)
9. Клапан балансировочный ручной DN15
10. Воздухоотводчик
11. Муфта (штуцер) с переходом на НР (пресс фитинг - для МП, обжимной фитинг - для СП)</t>
    </r>
    <r>
      <rPr>
        <sz val="8"/>
        <color rgb="FF000000"/>
        <rFont val="Arial"/>
      </rPr>
      <t xml:space="preserve">
На коллекторе предусмотреть теплоизоляцию из вспененного каучука.
Производители: 
Коллектор: "Ридан"
Теплосчетчик: "Пульсар"
Изоляция: K-Flex, Armacell</t>
    </r>
  </si>
  <si>
    <t>7.1.2.3</t>
  </si>
  <si>
    <r>
      <rPr>
        <sz val="8"/>
        <color rgb="FF000000"/>
        <rFont val="Arial"/>
      </rPr>
      <t xml:space="preserve">Стальные панельные радиаторы с нижним подключением в комплекте с термостатическим клапаном и термоголовкой (в помещениях МОП термоголовки не предусматривать).
В пределах одного помещения следует предусматривать радиаторы единой глубины и высоты, переменной длины.
</t>
    </r>
    <r>
      <rPr>
        <b/>
        <i/>
        <sz val="8"/>
        <color rgb="FF000000"/>
        <rFont val="Arial"/>
      </rPr>
      <t>Для жилой части и коммерческих помещений:</t>
    </r>
    <r>
      <rPr>
        <sz val="8"/>
        <color rgb="FF000000"/>
        <rFont val="Arial"/>
      </rPr>
      <t xml:space="preserve">
</t>
    </r>
    <r>
      <rPr>
        <strike/>
        <sz val="8"/>
        <color rgb="FF000000"/>
        <rFont val="Arial"/>
      </rPr>
      <t xml:space="preserve">
</t>
    </r>
    <r>
      <rPr>
        <sz val="8"/>
        <color rgb="FF000000"/>
        <rFont val="Arial"/>
      </rPr>
      <t xml:space="preserve">- Применять радиаторы тип 11: 
</t>
    </r>
    <r>
      <rPr>
        <sz val="8"/>
        <color rgb="FF000000"/>
        <rFont val="Arial"/>
      </rPr>
      <t xml:space="preserve"> ● высотой 300 длиной от 700 до 2000,</t>
    </r>
    <r>
      <rPr>
        <sz val="8"/>
        <color rgb="FF000000"/>
        <rFont val="Arial"/>
      </rPr>
      <t xml:space="preserve">
 ● высотой 900 длиной от 400 до 800,
- Применять радиаторы тип 22: 
</t>
    </r>
    <r>
      <rPr>
        <sz val="8"/>
        <color rgb="FF000000"/>
        <rFont val="Arial"/>
      </rPr>
      <t xml:space="preserve"> ● высотой 300 длиной от 700 до 2000,</t>
    </r>
    <r>
      <rPr>
        <sz val="8"/>
        <color rgb="FF000000"/>
        <rFont val="Arial"/>
      </rPr>
      <t xml:space="preserve">
 ● высотой 900 длиной от 400 до 800.
- Применять радиаторы тип 33: 
</t>
    </r>
    <r>
      <rPr>
        <sz val="8"/>
        <color rgb="FF000000"/>
        <rFont val="Arial"/>
      </rPr>
      <t xml:space="preserve"> ● высотой 300 длиной от 700 до 2000,</t>
    </r>
    <r>
      <rPr>
        <sz val="8"/>
        <color rgb="FF000000"/>
        <rFont val="Arial"/>
      </rPr>
      <t xml:space="preserve">
 ● высотой 900 длиной от 400 до 800.
</t>
    </r>
    <r>
      <rPr>
        <b/>
        <i/>
        <sz val="8"/>
        <color rgb="FF000000"/>
        <rFont val="Arial"/>
      </rPr>
      <t xml:space="preserve">Для МОП:
</t>
    </r>
    <r>
      <rPr>
        <sz val="8"/>
        <color rgb="FF000000"/>
        <rFont val="Arial"/>
      </rPr>
      <t>- Для лестничной клетки применять радиаторы тип 33 (если по расчёту не подходит тип 22).
Применять радиаторы высотой 500 мм. 
Радиаторы высотой 300 мм применять при высоте подоконного пространства менее 650 мм.
Радиаторы высотой 900 мм применять в местах балконных дверей и остекления «в пол» (при невозможности использования высотой 500 мм), располагать на ближайшем от окна простенке или перегородке.
На планах рабочей документации все отопительные приборы отобразить в масштабе.
Узел нижнего подключения отопительного прибора:
- Клапан угловой запорный радиаторный двойной без байпаса;
- Адаптер (евроконус) соединительный с ВР.
- Для входного вестибюля после первого тамбура и лифтового холла применять стальные дизайн радиаторы высотой 2 метра, длина по расчёту, места установки и габариты согласовать с Заказчиком.
Производители: 
Радиаторы: 
Стальные панельные - Buderus
Стальные дизайн - KZTO - Гармония А40
Термоголовка и запорный клапан: Danfoss</t>
    </r>
  </si>
  <si>
    <t>7.1.2.4</t>
  </si>
  <si>
    <t>7.1.2.5</t>
  </si>
  <si>
    <r>
      <rPr>
        <sz val="8"/>
        <color rgb="FF000000"/>
        <rFont val="Arial"/>
      </rPr>
      <t xml:space="preserve">Труба ГОСТ 3262-75* диаметр и толщина стенки: 15х2,8; 20х2,8; 25х3,2; 32х3,2; 40х3,5,
труба ГОСТ 10704-91 диаметр и толщина стенки: 57х3,5; 76х3,5; 89х4,0; 108х4,0; 133х4,5;159х4,5; 219х4,5. 
В тепловой изоляции из вспененного каучука 19мм. 
Прокладка трубопроводов открытая.
Компенсаторы: П - образные.
Антикоррозийная защита: 
- Трубопроводы: краска БТ-177 ГОСТ 5631-79 в два слоя, грунт ГФ-021 ГОСТ 25129-82 в один слой. 
На магистральных трубопроводах применить опоры по серии 5.903-13. 
Трубопроводная арматура:
- Воздухоотводчик: автоматический прямой с (боковым/верхним) выпуском,
- Кран шаровой полнопроходной: с резьбой тип (ВР-ВР), тип рукоятки "рычаг", для спускных кранов и кранов перед воздухоотводчиками тип рукоятки "бабочка".
- Клапан латунный балансировочный ручной/автоматический применять для регулировки системы в МОП или коммерческие помещения.
Тип присоединения запорной и регулирующей арматуры : 
- Муфтовое соединение - DN15 - DN50,
- Фланцевое соединение - DN65 и более.
Производители:
Изоляция: K-Flex, Armacell.
Трубопроводная арматура: Danfoss, </t>
    </r>
    <r>
      <rPr>
        <sz val="8"/>
        <color rgb="FF000000"/>
        <rFont val="Arial"/>
      </rPr>
      <t xml:space="preserve">LD, </t>
    </r>
    <r>
      <rPr>
        <sz val="8"/>
        <color rgb="FF000000"/>
        <rFont val="Arial"/>
      </rPr>
      <t>Valtec, ADL, Naval, Broen Ballomax, Bugatti, Flamco, Giacomini</t>
    </r>
  </si>
  <si>
    <t>7.1.2.6</t>
  </si>
  <si>
    <t>Стояк из труб стальных до 75 метров</t>
  </si>
  <si>
    <t>Первая зона: 
DN 80 - с 1 по 4 этаж,
DN 65 - с 5 по 8 этаж 
DN 50 - с 9 по 11 этаж
DN 32 - 12 этаж
Вторая зона: 
DN 80 - с 1 по 16 этаж,
DN 65 - с 17 по 20 этаж 
DN 50 - с 21 по 23 этаж
DN 32 - 24 этаж
При ином количестве этажей исключать нижний этаж.
Труба ГОСТ 3262-75* диаметр и толщина стенки: 32х3,2,
труба ГОСТ 10704-91 диаметр и толщина стенки: 57х3,5; 76х3,5; 89х4,0; 108х4,0. 
В тепловой изоляции из вспененного каучука 19мм. 
Прокладка трубопроводов открытая.
Компенсаторы: сильфонные. 
Опоры: неподвижные.
Антикоррозийная защита: 
- Трубопроводы: краска БТ-177 ГОСТ 5631-79 в два слоя, грунт ГФ-021 ГОСТ 25129-82 в один слой. 
Трубопроводная арматура:
- Воздухоотводчик: автоматический прямой с (боковым/верхним) выпуском,
- Кран шаровой полнопроходной: с резьбой тип (ВР-ВР), тип рукоятки "рычаг", для спускных кранов и кранов перед воздухоотводчиками тип рукоятки "бабочка".
- Клапан латунный балансировочный ручной/автоматический применять для регулировки системы в МОП или коммерческие помещения.
Производители:
Изоляция: K-Flex, Armacell.
Трубопроводная арматура: Danfoss, Valtec, LD, ADL, Naval, Broen Ballomax, Bugatti, Flamco, Giacomini, АкваСмарт (КФРД).
Компенсатор: "Протон - Энергия"</t>
  </si>
  <si>
    <t>7.1.2.8</t>
  </si>
  <si>
    <r>
      <rPr>
        <sz val="8"/>
        <color rgb="FF000000"/>
        <rFont val="Arial"/>
      </rPr>
      <t xml:space="preserve">Сшитый полиэтилен PN10 в тепловой изоляции из вспененного полиэтилена 9 мм в МОП, в квартирах и коммерческих помещениях в защитной гофрированной трубе с устройством на конце адаптера (евроконуса) для радиатора и муфты (штуцера) с НР (обжимной фитинг) для внутрипольного конвектора.
Тепловую изоляцию и защитную гофрированную трубу на подающем трубопроводе применять красного цвета, на обратном трубопроводе синего цвета. 
Все повороты выполнять изгибами труб (без применения отводов). 
Производители:
Трубопроводы: </t>
    </r>
    <r>
      <rPr>
        <sz val="8"/>
        <color rgb="FF000000"/>
        <rFont val="Arial"/>
      </rPr>
      <t>РосТурПласт</t>
    </r>
    <r>
      <rPr>
        <sz val="8"/>
        <color rgb="FF000000"/>
        <rFont val="Arial"/>
      </rPr>
      <t xml:space="preserve">
Изоляция: Energoflex Super Protect</t>
    </r>
  </si>
  <si>
    <t>7.1.2.9</t>
  </si>
  <si>
    <t xml:space="preserve"> Система отопления МОП</t>
  </si>
  <si>
    <t>Разводка тупиковая, двухтрубная, подключение от магистрального трубопровода жилой части здания.
Предусмотреть отопление в следующих помещениях:
● Входной вестибюль после первого тамбура;
● Лестничная клетка, если есть наружная стена с окном;
● Лифтовой холл, если есть наружная стена с окном.
● КУИ (от электрического конвекторов).
В помещениях велосипедных, колясочных, кладовых отопление не предусматривать.
Отопительные приборы стальные радиаторы.
При отсутствие паркинга, для отопления лестничной клетки предусмотреть один радиатор отопления на первом этаже под лестничным маршем.
Предусмотреть электрический обогрев открытой (наружной) рампы и лотков для отвода воды до приямка в паркинге.
Электрокабель расположить в слое стяжки (мощность 30 ВТ/м).</t>
  </si>
  <si>
    <r>
      <rPr>
        <sz val="8"/>
        <color rgb="FF000000"/>
        <rFont val="Arial"/>
      </rPr>
      <t xml:space="preserve">Стальные панельные радиаторы с нижним подключением в комплекте с термостатическим клапаном и термоголовкой (в помещениях МОП термоголовки не предусматривать).
В пределах одного помещения следует предусматривать радиаторы единой глубины и высоты, переменной длины.
</t>
    </r>
    <r>
      <rPr>
        <b/>
        <i/>
        <sz val="8"/>
        <color rgb="FF000000"/>
        <rFont val="Arial"/>
      </rPr>
      <t>Для жилой части и коммерческих помещений:</t>
    </r>
    <r>
      <rPr>
        <sz val="8"/>
        <color rgb="FF000000"/>
        <rFont val="Arial"/>
      </rPr>
      <t xml:space="preserve">
</t>
    </r>
    <r>
      <rPr>
        <strike/>
        <sz val="8"/>
        <color rgb="FF000000"/>
        <rFont val="Arial"/>
      </rPr>
      <t xml:space="preserve">
</t>
    </r>
    <r>
      <rPr>
        <sz val="8"/>
        <color rgb="FF000000"/>
        <rFont val="Arial"/>
      </rPr>
      <t xml:space="preserve">- Применять радиаторы тип 11: 
 ● высотой 300 длиной от 700 до 2000,
 ● высотой 900 длиной от 400 до 800,
- Применять радиаторы тип 22: 
 ● высотой 300 длиной от 700 до 2000,
 ● высотой 900 длиной от 400 до 800.
- Применять радиаторы тип 33: 
 ● высотой 300 длиной от 700 до 2000,
 ● высотой 900 длиной от 400 до 800.
</t>
    </r>
    <r>
      <rPr>
        <b/>
        <i/>
        <sz val="8"/>
        <color rgb="FF000000"/>
        <rFont val="Arial"/>
      </rPr>
      <t xml:space="preserve">Для МОП:
</t>
    </r>
    <r>
      <rPr>
        <sz val="8"/>
        <color rgb="FF000000"/>
        <rFont val="Arial"/>
      </rPr>
      <t>- Для лестничной клетки применять радиаторы тип 33 (если по расчёту не подходит тип 22).
Применять радиаторы высотой 500 мм. 
Радиаторы высотой 300 мм применять при высоте подоконного пространства менее 650 мм.
Радиаторы высотой 900 мм применять в местах балконных дверей и остекления «в пол» (при невозможности использования высотой 500 мм), располагать на ближайшем от окна простенке или перегородке.
На планах рабочей документации все отопительные приборы отобразить в масштабе.
Узел нижнего подключения отопительного прибора:
- Клапан угловой запорный радиаторный двойной без байпаса;
- Адаптер (евроконус) соединительный с ВР.
- Для входного вестибюля после первого тамбура и лифтового холла применять стальные дизайн радиаторы высотой 2 метра, длина по расчёту, места установки и габариты согласовать с Заказчиком.
Производители: 
Радиаторы: 
Стальные панельные - Buderus
Стальные дизайн - KZTO - Гармония А40
Термоголовка и запорный клапан: Danfoss</t>
    </r>
  </si>
  <si>
    <t>Стояк из труб стальных</t>
  </si>
  <si>
    <t>Труба ГОСТ 3262-75* диаметр и толщина стенки: 15х2,8; 20х2,8; 25х3,2; 32х3,2; 40х3,5,
труба ГОСТ 10704-91 диаметр и толщина стенки: 57х3,5; 76х3,5; 89х4,0; 108х4,0.
В тепловой изоляции из вспененного каучука 19мм. 
Прокладка трубопроводов открытая.
Компенсаторы: сильфонные.
Опоры: неподвижные.
Антикоррозийная защита: 
- Трубопроводы: краска БТ-177 ГОСТ 5631-79 в два слоя, грунт ГФ-021 ГОСТ 25129-82 в один слой. 
Трубопроводная арматура:
- Воздухоотводчик: автоматический прямой с (боковым/верхним) выпуском,
- Кран шаровой полнопроходной: с резьбой тип (ВР-ВР), тип рукоятки "рычаг", для спускных кранов и кранов перед воздухоотводчиками тип рукоятки "бабочка".
- Клапан латунный балансировочный ручной/автоматический применять для регулировки системы в МОП или коммерческие помещения.
Производители:
Изоляция: K-Flex, Armacell.
Трубопроводная арматура: Danfoss, Valtec, LD, ADL, Naval, Broen Ballomax, Bugatti, Flamco, Giacomini, АкваСмарт (КФРД).
Компенсатор: "Протон - Энергия"</t>
  </si>
  <si>
    <r>
      <rPr>
        <sz val="8"/>
        <color rgb="FF000000"/>
        <rFont val="Arial"/>
      </rPr>
      <t xml:space="preserve">Сшитый полиэтилен PN10 в тепловой изоляции из вспененного полиэтилена 9 мм в МОП, в квартирах и коммерческих помещениях в защитной гофрированной трубе с устройством на конце адаптера (евроконуса) для радиатора и муфты (штуцера) с НР (обжимной фитинг) для внутрипольного конвектора.
Тепловую изоляцию и защитную гофрированную трубу на подающем трубопроводе применять красного цвета, на обратном трубопроводе синего цвета. 
Все повороты выполнять изгибами труб (без применения отводов). 
Производители:
Трубопроводы: </t>
    </r>
    <r>
      <rPr>
        <sz val="8"/>
        <color rgb="FF000000"/>
        <rFont val="Arial"/>
      </rPr>
      <t>РосТурПласт</t>
    </r>
    <r>
      <rPr>
        <sz val="8"/>
        <color rgb="FF000000"/>
        <rFont val="Arial"/>
      </rPr>
      <t xml:space="preserve">
Изоляция: Energoflex Super Protect</t>
    </r>
  </si>
  <si>
    <t>Разводка из труб стальных отопление</t>
  </si>
  <si>
    <t xml:space="preserve">Труба ГОСТ 3262-75* диаметр и толщина стенки: 15х2,8; 20х2,8; 25х3,2; 32х3,2; 40х3,5,
В тепловой изоляции из вспененного каучука. 
Прокладка трубопроводов открытая.
Антикоррозийная защита: 
- Трубопроводы без изоляции: эмаль ПФ-115 ГОСТ 6465-76 в два слоя, по грунту ГФ-021 ГОСТ 25129-82 в один слой. 
- Трубопроводы в изоляции: краска БТ-177 ГОСТ 5631-79 в два слоя, по грунту ГФ-021 ГОСТ 25129-82 в один слой. 
Производители:
Изоляция: K-Flex, Armacell </t>
  </si>
  <si>
    <t xml:space="preserve"> Система отопления Коммерческие помещения</t>
  </si>
  <si>
    <t>7.1.3</t>
  </si>
  <si>
    <t>Двухтрубная с магистральными трубопроводами в техническом этаже (подвале).
По одному вертикальному ответвлению к каждому коммерческому помещению и индивидуальным учетом тепла для каждого собственника. 
Разводка по коммерческому помещению периметральная со встречным движением теплоносителя в стяжке пола.
Приборы учета расположить в нише подъемов стояков. 
На фасадах с панорамным остеклением, отопительные приборы располагать на ближайшей от окна стене.
На фасадах с подоконным пространством высотой не менее высоты отопительного прибора, располагать под окнами.</t>
  </si>
  <si>
    <t>7.1.3.1</t>
  </si>
  <si>
    <t>См. раздел Тепломеханические решения</t>
  </si>
  <si>
    <t>7.1.3.2</t>
  </si>
  <si>
    <t>Узел учета отопления индивидуальный</t>
  </si>
  <si>
    <t>Предусмотреть индивидуальный узел учета отопления на каждое коммерческое помещение.</t>
  </si>
  <si>
    <t>7.1.3.3</t>
  </si>
  <si>
    <t>Узел учета теплоснабжения индивидуальный</t>
  </si>
  <si>
    <t>Предусмотреть индивидуальный узел учета теплоснабжения для коммерческих помещений с приточными установками на водяным теплоносителе.</t>
  </si>
  <si>
    <t>7.1.3.4</t>
  </si>
  <si>
    <r>
      <rPr>
        <sz val="8"/>
        <color rgb="FF000000"/>
        <rFont val="Arial"/>
      </rPr>
      <t xml:space="preserve">Стальные панельные радиаторы с нижним подключением в комплекте с термостатическим клапаном и термоголовкой (в помещениях МОП термоголовки не предусматривать).
В пределах одного помещения следует предусматривать радиаторы единой глубины и высоты, переменной длины.
</t>
    </r>
    <r>
      <rPr>
        <b/>
        <i/>
        <sz val="8"/>
        <color rgb="FF000000"/>
        <rFont val="Arial"/>
      </rPr>
      <t>Для жилой части и коммерческих помещений:</t>
    </r>
    <r>
      <rPr>
        <sz val="8"/>
        <color rgb="FF000000"/>
        <rFont val="Arial"/>
      </rPr>
      <t xml:space="preserve">
</t>
    </r>
    <r>
      <rPr>
        <strike/>
        <sz val="8"/>
        <color rgb="FF000000"/>
        <rFont val="Arial"/>
      </rPr>
      <t xml:space="preserve">
</t>
    </r>
    <r>
      <rPr>
        <sz val="8"/>
        <color rgb="FF000000"/>
        <rFont val="Arial"/>
      </rPr>
      <t xml:space="preserve">- Применять радиаторы тип 11: 
</t>
    </r>
    <r>
      <rPr>
        <sz val="8"/>
        <color rgb="FF000000"/>
        <rFont val="Arial"/>
      </rPr>
      <t xml:space="preserve"> ● высотой 300 длиной от 700 до 2000,</t>
    </r>
    <r>
      <rPr>
        <sz val="8"/>
        <color rgb="FF000000"/>
        <rFont val="Arial"/>
      </rPr>
      <t xml:space="preserve">
 ● высотой 900 длиной от 400 до 800,
- Применять радиаторы тип 22: 
</t>
    </r>
    <r>
      <rPr>
        <sz val="8"/>
        <color rgb="FF000000"/>
        <rFont val="Arial"/>
      </rPr>
      <t xml:space="preserve"> ● высотой 300 длиной от 700 до 2000,</t>
    </r>
    <r>
      <rPr>
        <sz val="8"/>
        <color rgb="FF000000"/>
        <rFont val="Arial"/>
      </rPr>
      <t xml:space="preserve">
 ● высотой 900 длиной от 400 до 800.
- Применять радиаторы тип 33: 
</t>
    </r>
    <r>
      <rPr>
        <sz val="8"/>
        <color rgb="FF000000"/>
        <rFont val="Arial"/>
      </rPr>
      <t xml:space="preserve"> ● высотой 300 длиной от 700 до 2000,</t>
    </r>
    <r>
      <rPr>
        <sz val="8"/>
        <color rgb="FF000000"/>
        <rFont val="Arial"/>
      </rPr>
      <t xml:space="preserve">
 ● высотой 900 длиной от 400 до 800.
</t>
    </r>
    <r>
      <rPr>
        <b/>
        <i/>
        <sz val="8"/>
        <color rgb="FF000000"/>
        <rFont val="Arial"/>
      </rPr>
      <t xml:space="preserve">Для МОП:
</t>
    </r>
    <r>
      <rPr>
        <sz val="8"/>
        <color rgb="FF000000"/>
        <rFont val="Arial"/>
      </rPr>
      <t>- Для лестничной клетки применять радиаторы тип 33 (если по расчёту не подходит тип 22).
Применять радиаторы высотой 500 мм. 
Радиаторы высотой 300 мм применять при высоте подоконного пространства менее 650 мм.
Радиаторы высотой 900 мм применять в местах балконных дверей и остекления «в пол» (при невозможности использования высотой 500 мм), располагать на ближайшем от окна простенке или перегородке.
На планах рабочей документации все отопительные приборы отобразить в масштабе.
Узел нижнего подключения отопительного прибора:
- Клапан угловой запорный радиаторный двойной без байпаса;
- Адаптер (евроконус) соединительный с ВР.
- Для входного вестибюля после первого тамбура и лифтового холла применять стальные дизайн радиаторы высотой 2 метра, длина по расчёту, места установки и габариты согласовать с Заказчиком.
Производители: 
Радиаторы: 
Стальные панельные - Buderus
Стальные дизайн - KZTO - Гармония А40
Термоголовка и запорный клапан: Danfoss</t>
    </r>
  </si>
  <si>
    <t>7.1.3.5</t>
  </si>
  <si>
    <r>
      <rPr>
        <sz val="8"/>
        <color rgb="FF000000"/>
        <rFont val="Arial"/>
      </rPr>
      <t xml:space="preserve">Труба ГОСТ 3262-75* диаметр и толщина стенки: 15х2,8; 20х2,8; 25х3,2; 32х3,2; 40х3,5,
труба ГОСТ 10704-91 диаметр и толщина стенки: 57х3,5; 76х3,5; 89х4,0; 108х4,0; 133х4,5;159х4,5; 219х4,5. 
В тепловой изоляции из вспененного каучука 19мм. 
Прокладка трубопроводов открытая.
Компенсаторы: П - образные.
Антикоррозийная защита: 
- Трубопроводы без изоляции: эмаль ПФ-115 ГОСТ 6465-76 в два слоя, по грунту ГФ-021 ГОСТ 25129-82 в один слой. 
- Трубопроводы в изоляции: краска БТ-177 ГОСТ 5631-79 в два слоя, по грунту ГФ-021 ГОСТ 25129-82 в один слой. 
На магистральных трубопроводах применить опоры по серии 5.903-13.
Трубопроводная арматура:
- Воздухоотводчик: автоматический прямой с (боковым/верхним) выпуском,
- Кран шаровой полнопроходной: с резьбой тип (ВР/НР-ВР), тип рукоятки "рычаг".
Производители:
Изоляция: K-Flex, Armacell.
Трубопроводная арматура: Danfoss, </t>
    </r>
    <r>
      <rPr>
        <sz val="8"/>
        <color rgb="FF000000"/>
        <rFont val="Arial"/>
      </rPr>
      <t>LD</t>
    </r>
    <r>
      <rPr>
        <sz val="8"/>
        <color rgb="FF000000"/>
        <rFont val="Arial"/>
      </rPr>
      <t>, Valtec, ADL, Naval, Broen Ballomax, Bugatti, Flamco, Giacomini</t>
    </r>
  </si>
  <si>
    <t>7.1.3.6</t>
  </si>
  <si>
    <t>7.1.3.7</t>
  </si>
  <si>
    <r>
      <rPr>
        <sz val="8"/>
        <color rgb="FF000000"/>
        <rFont val="Arial"/>
      </rPr>
      <t xml:space="preserve">Сшитый полиэтилен PN10 в тепловой изоляции из вспененного полиэтилена 9 мм в МОП, в квартирах и коммерческих помещениях в защитной гофрированной трубе с устройством на конце адаптера (евроконуса) для радиатора и муфты (штуцера) с НР (обжимной фитинг) для внутрипольного конвектора.
Тепловую изоляцию и защитную гофрированную трубу на подающем трубопроводе применять красного цвета, на обратном трубопроводе синего цвета. 
Все повороты выполнять изгибами труб (без применения отводов). 
Производители:
Трубопроводы: </t>
    </r>
    <r>
      <rPr>
        <sz val="8"/>
        <color rgb="FF000000"/>
        <rFont val="Arial"/>
      </rPr>
      <t>РосТурПласт</t>
    </r>
    <r>
      <rPr>
        <sz val="8"/>
        <color rgb="FF000000"/>
        <rFont val="Arial"/>
      </rPr>
      <t xml:space="preserve">
Изоляция: Energoflex Super Protect</t>
    </r>
  </si>
  <si>
    <t>7.1.3.8</t>
  </si>
  <si>
    <t xml:space="preserve"> Система отопления Технические помещения</t>
  </si>
  <si>
    <t>7.1.4</t>
  </si>
  <si>
    <t>Отопление технического этажа (подвала) за счет теплоизбытков от трубопроводов теплоснабжения.
Отопление электрощитовой, насосной, помещений сетей связи, приточной венткамеры выполнить от электрических конвекторов.
Отопление помещения ИТП от теплоизбытков оборудования теплового пункта.</t>
  </si>
  <si>
    <t>7.1.4.1</t>
  </si>
  <si>
    <t>Конвектор электрический</t>
  </si>
  <si>
    <t>Российского производства</t>
  </si>
  <si>
    <t xml:space="preserve"> Система отопления Паркинг</t>
  </si>
  <si>
    <t>7.1.5</t>
  </si>
  <si>
    <t>Помещение автостоянки не отапливается.</t>
  </si>
  <si>
    <t>7.2 Вентиляция общеобменная</t>
  </si>
  <si>
    <t>7.2.0.1</t>
  </si>
  <si>
    <t>Инженерные системы общеобменной вентиляции</t>
  </si>
  <si>
    <t>В проектной и рабочей документации (модели) предусматривать следующее буквенно-цифровое обозначение внутренних систем:
П_Приточный воздух
ПЕ_Приточный воздух
В_Отработанный воздух
ВЕ_Отработанный воздух
У_Рециркуляционный воздух
К_Рециркуляционный воздух</t>
  </si>
  <si>
    <t xml:space="preserve"> Система общеобменной вентиляции Жилая часть до 75 метров</t>
  </si>
  <si>
    <t>7.2.1</t>
  </si>
  <si>
    <t>Общеобменная вентиляция регионы</t>
  </si>
  <si>
    <r>
      <rPr>
        <sz val="8"/>
        <color theme="1"/>
        <rFont val="Arial"/>
      </rPr>
      <t xml:space="preserve">- Приточно-вытяжная естественная вентиляция. </t>
    </r>
    <r>
      <rPr>
        <strike/>
        <sz val="8"/>
        <color theme="1"/>
        <rFont val="Arial"/>
      </rPr>
      <t xml:space="preserve">
</t>
    </r>
    <r>
      <rPr>
        <sz val="8"/>
        <color theme="1"/>
        <rFont val="Arial"/>
      </rPr>
      <t>- Приток через воздушные угловые стеновые или подоконные клапаны в жилых комнатах (исключая кухни, кухни-столовые, за исключением студий) при невозможно применения стенового клапана использовать подоконный. 
- Предусмотреть вытяжку из санузлов, ванных комнат, кухонь. 
- Присоединение вытяжных решеток к вертикальному каналу через каналы спутники. Последние этажи подключить через отдельный воздуховод.
- На последнем этаже предусмотреть установку канальных бытовых вентиляторов с установкой нормально открытого противопожарного клапана.
- Выброс вентиляции в помещение технического этажа (чердака). 
- Выброс на улицу через вытяжную шахту технического этажа (чердака). Размер отверстия для вентиляционной шахты в плите покрытия 4000х1500. Высота вытяжной шахты принять от плиты покрытия кровли до плиты покрытия вытяжной шахты 1175мм, плита покрытия 160 мм, размер решетки 1550х470 мм - площадь живого сечения 0,5.
Под шахтой предусмотреть поддон из оцинкованной стали для сбора осадков и конденсата.
- Расход вытяжного воздуха: кухня - 60м3/ч, санузел - 50м3/ч.</t>
    </r>
  </si>
  <si>
    <t>7.2.1.1</t>
  </si>
  <si>
    <t>Воздухораспределители общеобменной вентиляции</t>
  </si>
  <si>
    <t>Внутренние (вытяжные):
- при естественной системе - нерегулируемые решетки
- при механической системе - дроссель клапан и нерегулируемые решетки
Наружные (воздухозаборные) - индивидуального изготовления
Производители:
Внутренние решетки: «Арктика», «Лиссант» «ERA»
Наружные решетки: «Арктика» или «ВЕЗА»</t>
  </si>
  <si>
    <t>7.2.1.2</t>
  </si>
  <si>
    <t>Клапан приточный воздушный угловой</t>
  </si>
  <si>
    <r>
      <rPr>
        <sz val="8"/>
        <rFont val="Arial"/>
      </rPr>
      <t>Применять при выходе воздухозаборной решетки на фасад здания.
Не допускается установка стеновых клапанов на несущих конструкциях здания.
При «окнах в пол» стеновой клапан устанавливать над радиатором отопления.
При размещении приточных вентиляционных клапанов необходимо руководствоваться решением "</t>
    </r>
    <r>
      <rPr>
        <sz val="8"/>
        <color rgb="FF1155CC"/>
        <rFont val="Arial"/>
      </rPr>
      <t>Принцип размещения радиаторов, приточных вентиляционных клапанов, кондиционеров</t>
    </r>
    <r>
      <rPr>
        <sz val="8"/>
        <rFont val="Arial"/>
      </rPr>
      <t>".
Воздуховод в стене (простенке) пластиковый Ø125 мм, соединение воздуховода с клапаном с помощью пластикового воздуховода сечением 200х50
Производители: 
Клапан: «КИВ», «AERECO» (ЕНТ 5-40) или аналог.
Решетка: 620РСФ фирмы «ERA» или аналог.</t>
    </r>
  </si>
  <si>
    <t>7.2.1.3</t>
  </si>
  <si>
    <t>Клапан приточный воздушный подоконный</t>
  </si>
  <si>
    <t>Для монтажа клапана предусматривать нишу в наружной стене;
Предусматривать над радиатором отопления;
Модель: СВК В-75М</t>
  </si>
  <si>
    <t>7.2.1.4</t>
  </si>
  <si>
    <t>Канальный бытовой вентилятор</t>
  </si>
  <si>
    <t>Канальные бытовые вентиляторы
Производители: "Vents", "Арктика", "Неватом".</t>
  </si>
  <si>
    <t>7.2.1.5</t>
  </si>
  <si>
    <t>Арматура общеобменной вентиляции</t>
  </si>
  <si>
    <r>
      <rPr>
        <sz val="8"/>
        <color rgb="FF000000"/>
        <rFont val="Arial"/>
      </rPr>
      <t xml:space="preserve">Клапан в обслуживаемом помещении:
Нормально открытый клапан с электроприводом напряжением </t>
    </r>
    <r>
      <rPr>
        <sz val="8"/>
        <color rgb="FF000000"/>
        <rFont val="Arial"/>
      </rPr>
      <t>220В</t>
    </r>
    <r>
      <rPr>
        <sz val="8"/>
        <color rgb="FF000000"/>
        <rFont val="Arial"/>
      </rPr>
      <t xml:space="preserve"> с возвратной пружиной в общепромышленном исполнении..
Производители: "Веза", "VKT", "Неватом".</t>
    </r>
  </si>
  <si>
    <t>7.2.1.6</t>
  </si>
  <si>
    <t>Воздуховод общеобменной вентиляции Жилая часть до 28 метров</t>
  </si>
  <si>
    <r>
      <rPr>
        <sz val="8"/>
        <color rgb="FF000000"/>
        <rFont val="Arial"/>
      </rPr>
      <t>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t>
    </r>
    <r>
      <rPr>
        <b/>
        <i/>
        <sz val="8"/>
        <color rgb="FF000000"/>
        <rFont val="Arial"/>
      </rPr>
      <t xml:space="preserve">
</t>
    </r>
    <r>
      <rPr>
        <sz val="8"/>
        <color rgb="FF000000"/>
        <rFont val="Arial"/>
      </rPr>
      <t xml:space="preserve">Толщина стенок воздуховодов и фасонных изделий:
Для прямоугольных воздуховодов при сечении:
● С огнезащитным покрытием, толщиной 0,8 мм
- 350х200 - с 1 по 9 этаж для санузлов, расход 50м3/ч
- 500х200 - с 1 по 9 этаж, для кухонь, расход 60м3/ч
Сечение прямоугольного воздуховодов спутника толщиной 0,8 мм, с огнезащитным покрытием: 
- 200х100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</si>
  <si>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t>7.2.1.7</t>
  </si>
  <si>
    <t>Воздуховод общеобменной вентиляции Жилая часть от 28 до 50 метров</t>
  </si>
  <si>
    <r>
      <rPr>
        <sz val="8"/>
        <color rgb="FF000000"/>
        <rFont val="Arial"/>
      </rPr>
      <t>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t>
    </r>
    <r>
      <rPr>
        <b/>
        <i/>
        <sz val="8"/>
        <color rgb="FF000000"/>
        <rFont val="Arial"/>
      </rPr>
      <t xml:space="preserve">
Для секций в квартале:</t>
    </r>
    <r>
      <rPr>
        <b/>
        <sz val="8"/>
        <color rgb="FF000000"/>
        <rFont val="Arial"/>
      </rPr>
      <t xml:space="preserve">
</t>
    </r>
    <r>
      <rPr>
        <sz val="8"/>
        <color rgb="FF000000"/>
        <rFont val="Arial"/>
      </rPr>
      <t xml:space="preserve">Толщина стенок воздуховодов и фасонных изделий:
Для прямоугольных воздуховодов при сечении:
● С огнезащитным покрытием, толщиной 0,8 мм
- 250х300 - с 1 по 9 этаж для санузлов, расход 50м3/ч
- 350х300 - с 10 по 16 этаж для санузлов, расход 50м3/ч
- 350х300 - с 1 по 9 этаж, для кухонь, расход 60м3/ч
- 500х300 - с 10 по 16 этаж, для кухонь, расход 60м3/ч
</t>
    </r>
    <r>
      <rPr>
        <b/>
        <i/>
        <sz val="8"/>
        <color rgb="FF000000"/>
        <rFont val="Arial"/>
      </rPr>
      <t>Для башни:</t>
    </r>
    <r>
      <rPr>
        <sz val="8"/>
        <color rgb="FF000000"/>
        <rFont val="Arial"/>
      </rPr>
      <t xml:space="preserve">
Толщина стенок воздуховодов и фасонных изделий:
Для прямоугольных воздуховодов при сечении:
● С огнезащитным покрытием, толщиной 0,8 мм
- 500х200 - с 1 по 9 этаж для санузлов, расход 50м3/ч
- 700х200 - с 10 по 16 этаж для санузлов, расход 50м3/ч
- 500х200 - с 1 по 9 этаж, для кухонь, расход 60м3/ч
- 700х200 - с 10 по 16 этаж, для кухонь, расход 60м3/ч
Сечение прямоугольного воздуховодов спутника толщиной 0,8 мм, с огнезащитным покрытием: 
- 200х100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</si>
  <si>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t>7.2.1.8</t>
  </si>
  <si>
    <t>Воздуховод общеобменной вентиляции Жилая часть от 50 до 75 метров</t>
  </si>
  <si>
    <r>
      <rPr>
        <sz val="8"/>
        <color rgb="FF000000"/>
        <rFont val="Arial"/>
      </rPr>
      <t>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t>
    </r>
    <r>
      <rPr>
        <b/>
        <i/>
        <sz val="8"/>
        <color rgb="FF000000"/>
        <rFont val="Arial"/>
      </rPr>
      <t xml:space="preserve">
Для башни:</t>
    </r>
    <r>
      <rPr>
        <b/>
        <sz val="8"/>
        <color rgb="FF000000"/>
        <rFont val="Arial"/>
      </rPr>
      <t xml:space="preserve">
</t>
    </r>
    <r>
      <rPr>
        <sz val="8"/>
        <color rgb="FF000000"/>
        <rFont val="Arial"/>
      </rPr>
      <t xml:space="preserve">Толщина стенок воздуховодов и фасонных изделий:
Для прямоугольных воздуховодов при сечении:
● С огнезащитным покрытием, толщиной 0,8 мм
- 500х200 - с 1 по 9 этаж для санузлов, расход 50м3/ч
- 700х200 - с 10 по 16 этаж для санузлов, расход 50м3/ч
- 900х200 - с 17 по 24 этаж для санузлов, расход 50м3/ч
- 500х200 - с 1 по 9 этаж, для кухонь, расход 60м3/ч
- 700х200 - с 10 по 16 этаж, для кухонь, расход 60м3/ч
- 900х200 - с 17 по 24 этаж, для кухонь, расход 60м3/ч
Сечение прямоугольного воздуховодов спутника толщиной 0,8 мм, с огнезащитным покрытием: 
- 200х100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</si>
  <si>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t xml:space="preserve"> Система общеобменной вентиляции МОП</t>
  </si>
  <si>
    <t>7.2.2а</t>
  </si>
  <si>
    <r>
      <rPr>
        <b/>
        <sz val="8"/>
        <color theme="1"/>
        <rFont val="Arial"/>
      </rPr>
      <t xml:space="preserve">Для башни отдельностоящей (Лестничная клетка не имеет окон, выходящих на фасад здания) - для лестничной клетки типа Н2.
</t>
    </r>
    <r>
      <rPr>
        <sz val="8"/>
        <color theme="1"/>
        <rFont val="Arial"/>
      </rPr>
      <t>1. Приточно-вытяжная механическая вентиляция МОП выше отметки 0: 
Приточно - вытяжная установка (электрическая) с роторным рекуператором разместить в вентиляционной камере тех.чердака над лифтовым холлом последнего этажа.
Кратность воздухообмена:
- Для первого и типовых этажей:
 лифтовый холл – 1,5 ч-1; 
 межквартирный коридор – 1,5 ч-1;
2. Приточно - вытяжная механическая вентиляция МОП ниже отметки 0:
Приточная установка (вентилятор) с электронагревателем. 
Воздухозабор общий с системой подпора тамбур шлюзов. 
Выброс отработанного воздуха произвести транзитом в вытяжную шахту тех.чердака. 
Кратности воздухообменов принять:
- в колясочной/велосипедной – 1,5 ч-1; 
- блок кладовых – 1,5 ч-1; 
- Расход вытяжного воздуха: КУИ - 50м3/ч.</t>
    </r>
  </si>
  <si>
    <t>7.2.2б</t>
  </si>
  <si>
    <r>
      <rPr>
        <b/>
        <sz val="8"/>
        <color theme="1"/>
        <rFont val="Arial"/>
      </rPr>
      <t>Для секций в квартале (Лестничная клетка имеет окна, выходящие на фасад здания) - для лестничной клетки типа Л1.</t>
    </r>
    <r>
      <rPr>
        <sz val="8"/>
        <color theme="1"/>
        <rFont val="Arial"/>
      </rPr>
      <t xml:space="preserve">
1. Естественная вентиляция МОП выше отметки 0:
Приток воздуха через клапан инфильтрации воздуха (КИВ) устанавливаемый в лестничной клетке.
Удаление воздуха через решетку расположенную в стене межквартирного коридора, далее через воздуховод проложенный в шахте инженерных коммуникаций за лифтовой шахтой. 
Выброс воздуха в помещение технического чердака далее на улицу через вытяжную шахту технического чердака. 
Воздухообмен в лестничной клетке, лифтовом холле и межквартирном коридоре происходит за счет перетекания воздуха через открытые двери.
Для корректной работы системы вентиляции противопожарные двери между лестничной клеткой и лифтовым холлом, межквартирным коридором должны быть всегда открыты, зафиксированы электромагнитным замком удержания двери (предусмотрен в разделе СС). 
2. Приточно - вытяжная механическая вентиляция МОП ниже отметки 0:
Приточная установка (вентилятор) с электронагревателем. 
Воздухозабор общий с системой подпора тамбур шлюзов. 
Выброс отработанного воздуха произвести транзитом в вытяжную шахту тех.чердака. 
Кратности воздухообменов принять:
- в колясочной/велосипедной – 1,5 ч-1; 
- блок кладовых – 1,5 ч-1; 
- Расход вытяжного воздуха: КУИ - 50м3/ч.</t>
    </r>
  </si>
  <si>
    <t>7.2.2.1</t>
  </si>
  <si>
    <t>Внутренние (вытяжные) - регулируемые
Наружные (воздухозаборные) - нерегулируемые 
Производители:
Внутренние решетки: «Арктика», «Лиссант», «ERA»
Наружные решетки: «Арктика», «ВЕЗА»</t>
  </si>
  <si>
    <t>7.2.2.2</t>
  </si>
  <si>
    <r>
      <rPr>
        <sz val="8"/>
        <color rgb="FF000000"/>
        <rFont val="Arial"/>
      </rPr>
      <t xml:space="preserve">Клапан в обслуживаемом помещении:
Нормально открытый клапан с электроприводом напряжением </t>
    </r>
    <r>
      <rPr>
        <sz val="8"/>
        <color rgb="FF000000"/>
        <rFont val="Arial"/>
      </rPr>
      <t>220В</t>
    </r>
    <r>
      <rPr>
        <sz val="8"/>
        <color rgb="FF000000"/>
        <rFont val="Arial"/>
      </rPr>
      <t xml:space="preserve"> с возвратной пружиной в общепромышленном исполнении..
Производители: "Веза", "VKT", "Неватом".</t>
    </r>
  </si>
  <si>
    <t>7.2.2.3</t>
  </si>
  <si>
    <t>Приточно-вытяжная установка</t>
  </si>
  <si>
    <t>Приточно-вытяжная установка с роторным рекуператором.
Производители: "Веза", "VKT" или аналоги</t>
  </si>
  <si>
    <t>7.2.2.4</t>
  </si>
  <si>
    <t>Воздуховод общеобменной вентиляции МОП</t>
  </si>
  <si>
    <r>
      <rPr>
        <sz val="8"/>
        <color rgb="FF000000"/>
        <rFont val="Arial"/>
      </rPr>
      <t>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t>
    </r>
    <r>
      <rPr>
        <b/>
        <i/>
        <sz val="8"/>
        <color rgb="FF000000"/>
        <rFont val="Arial"/>
      </rPr>
      <t xml:space="preserve">
</t>
    </r>
    <r>
      <rPr>
        <sz val="8"/>
        <color rgb="FF000000"/>
        <rFont val="Arial"/>
      </rPr>
      <t xml:space="preserve">Толщина стенок воздуховодов и фасонных изделий:
Для прямоугольных воздуховодов при сечении:
● Без огнезащитного покрытия
- от 100х100 до 250х250 включительно - 0,5 мм,
- от 300х100 (100х300) до 1000х1000 - 0,7 мм,
- от 350х1050 (1050х350) до 2000х2000 - 0,9 мм,
● С огнезащитным покрытием
- от 100х100 до 1000х1000 включительно - 0,8 мм,
- от 1000х1050 до 2000х2000 - 0,9 мм
Для круглых воздуховодов (использовать в исключительных случаях, при отсутствии возможности использовать прямоугольные воздуховоды) при диаметре:
● Без огнезащитного покрытия
- до Ø200 - 0,5 мм,
- от Ø250 до Ø450 - 0,6 мм.
- от Ø500 до Ø800 - 0,7 мм.
- от Ø900 до Ø1250 - 1,0 мм.
● С огнезащитным покрытием
- от Ø100 до Ø800- 0,8 мм,
- от Ø900 до Ø1250- 1,0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</si>
  <si>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t xml:space="preserve"> Система общеобменной вентиляции Коммерческие помещения</t>
  </si>
  <si>
    <t>7.2.3</t>
  </si>
  <si>
    <r>
      <rPr>
        <sz val="8"/>
        <color theme="1"/>
        <rFont val="Arial"/>
      </rPr>
      <t xml:space="preserve">Вытяжная естественная вентиляция обособленная для каждого собственника.
Состоит из 2 отдельных вытяжных каналов:
</t>
    </r>
    <r>
      <rPr>
        <b/>
        <i/>
        <sz val="8"/>
        <color theme="1"/>
        <rFont val="Arial"/>
      </rPr>
      <t>1 канал</t>
    </r>
    <r>
      <rPr>
        <b/>
        <sz val="8"/>
        <color theme="1"/>
        <rFont val="Arial"/>
      </rPr>
      <t xml:space="preserve"> </t>
    </r>
    <r>
      <rPr>
        <sz val="8"/>
        <color theme="1"/>
        <rFont val="Arial"/>
      </rPr>
      <t xml:space="preserve">- для вытяжки из санузла, воздухообмен согласно норме. Выброс воздух в помещение технического этажа (чердака), далее через решетки на улицу. 
Воздуховоды предусмотреть пристроенными к вентканалам жилья (в инженерной стене - нише), таким образом чтобы не нарушать квартирографию. Например через санузел квартир, в пространстве между вентканалом жилья и стояковой группой или в шахте инженерных коммуникаций у лифта.
</t>
    </r>
    <r>
      <rPr>
        <b/>
        <i/>
        <sz val="8"/>
        <color theme="1"/>
        <rFont val="Arial"/>
      </rPr>
      <t>2 канал</t>
    </r>
    <r>
      <rPr>
        <sz val="8"/>
        <color theme="1"/>
        <rFont val="Arial"/>
      </rPr>
      <t xml:space="preserve"> - для возможности устройства вытяжной механической вентиляции основного помещения (силами собственника), воздухообмен: 
при площади помещения менее 120м2 - кратность 2
при площади помещения более 120м2 - кратность 4
рекомендуемая скорость в воздуховодах до 2,5м/с
Выброс вытяжного воздуха через решетку расположенную в стене технического этажа (чердака), воздуховод проложить в шахте инженерных коммуникаций у лифта.
Для возможности устройства приточной механической вентиляции предусмотреть воздухозаборную решетку, из расчета 4х кратного воздухообмена и скорости в решетке 2,5м/с, за вывеской lightbox или над входной группой в коммерческое помещение, расположение определить совместно с автором-архитектором;
Тип установки относительно площади помещения:
- менее 120м2 с электрическим подогревом приточного воздуха.
- более 120м2 предусмотреть подвод трубопроводов от ИТП (теплоноситель вода). 
Установка вентиляционного оборудования и разводка воздуховодов по помещению осуществляется силами собственника.</t>
    </r>
  </si>
  <si>
    <t xml:space="preserve"> Система общеобменной вентиляции Технические помещения</t>
  </si>
  <si>
    <t>7.2.4</t>
  </si>
  <si>
    <t>Приточно - вытяжная механическая вентиляция:
Приточная установка (вентилятор) с электронагревателем. Воздухозабор общий с системой подпора тамбур шлюзов. 
Выброс отработанного воздуха транзитом в вытяжную шахту на кровле тех.этажа (чердака). 
Кратности воздухообменов принять:
• ИТП –2,0 ч-1;
• Узел ввода –1,0 ч-1;
• Насосная хозяйственно-питьевого водоснабжения –2,0 ч-1;
• Насосная пожаротушения жилой части здания и паркинга –1,0 ч-1 (при объединении помещений ВК принимать –2,0 ч-1.);
• Электрощитовая жилой части здания и паркинга –1,0 ч-1;
• Помещение сетей связи –1,0 ч-1;</t>
  </si>
  <si>
    <t>7.2.4.1</t>
  </si>
  <si>
    <t>7.2.4.2</t>
  </si>
  <si>
    <r>
      <rPr>
        <sz val="8"/>
        <color rgb="FF000000"/>
        <rFont val="Arial"/>
      </rPr>
      <t xml:space="preserve">Клапан в обслуживаемом помещении:
Нормально открытый клапан с электроприводом напряжением </t>
    </r>
    <r>
      <rPr>
        <sz val="8"/>
        <color rgb="FF000000"/>
        <rFont val="Arial"/>
      </rPr>
      <t>220В</t>
    </r>
    <r>
      <rPr>
        <sz val="8"/>
        <color rgb="FF000000"/>
        <rFont val="Arial"/>
      </rPr>
      <t xml:space="preserve"> с возвратной пружиной в общепромышленном исполнении..
Производители: "Веза", "VKT", "Неватом".</t>
    </r>
  </si>
  <si>
    <t>7.2.4.3</t>
  </si>
  <si>
    <t>Воздуховод общеобменной вентиляции Технические помещения</t>
  </si>
  <si>
    <r>
      <rPr>
        <sz val="8"/>
        <color rgb="FF000000"/>
        <rFont val="Arial"/>
      </rPr>
      <t>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t>
    </r>
    <r>
      <rPr>
        <b/>
        <i/>
        <sz val="8"/>
        <color rgb="FF000000"/>
        <rFont val="Arial"/>
      </rPr>
      <t xml:space="preserve">
</t>
    </r>
    <r>
      <rPr>
        <sz val="8"/>
        <color rgb="FF000000"/>
        <rFont val="Arial"/>
      </rPr>
      <t xml:space="preserve">Толщина стенок воздуховодов и фасонных изделий:
Для прямоугольных воздуховодов при сечении:
● Без огнезащитного покрытия
- от 100х100 до 250х250 включительно - 0,5 мм,
- от 300х100 (100х300) до 1000х1000 - 0,7 мм,
- от 350х1050 (1050х350) до 2000х2000 - 0,9 мм,
● С огнезащитным покрытием
- от 100х100 до 1000х1000 включительно - 0,8 мм,
- от 1000х1050 до 2000х2000 - 0,9 мм
Для круглых воздуховодов (использовать в исключительных случаях, при отсутствии возможности использовать прямоугольные воздуховоды) при диаметре:
● Без огнезащитного покрытия
- до Ø200 - 0,5 мм,
- от Ø250 до Ø450 - 0,6 мм.
- от Ø500 до Ø800 - 0,7 мм.
- от Ø900 до Ø1250 - 1,0 мм.
● С огнезащитным покрытием
- от Ø100 до Ø800- 0,8 мм,
- от Ø900 до Ø1250- 1,0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</si>
  <si>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t xml:space="preserve"> Система общеобменной вентиляции Паркинг</t>
  </si>
  <si>
    <t>7.2.5</t>
  </si>
  <si>
    <t>Приток воздуха предусмотреть от приточной шахты.
Приточный и вытяжной вентилятор общеобменной вентиляции расположить в вентиляционных камерах в помещение технического этажа - подвала. 
Воздухозаборную решетку предусмотреть на внутреннем фасаде здания, на высоте не менее 2м от земли.
Подачу приточного воздуха организовать вдоль основного проезда, вблизи приточной венткамеры.
Вытяжной воздуховод расположит по наружной стене паркинга, 50% удаляемого воздуха предусмотреть с верхней зоны паркинга, 50% с нижней зоны паркинга.
Воздухообмен рассчитывать на разбавление вредных газовыделений. Не принимать в расчёт величину вытяжного воздуха 150 м3/ч или двукратный воздухообмен.
Работа вентиляции при срабатывании датчиков СО.
Датчики СО установить равномерно по площади паркинга, 1 датчик на 200 м², высота установки h=1,5 м от пола.
Скорость движения воздуха в общеобменной вентиляции до 8 м/с.</t>
  </si>
  <si>
    <t>7.2.5.1</t>
  </si>
  <si>
    <t>Осевой вентилятор общеобменной вентиляции</t>
  </si>
  <si>
    <t>Производители: "Веза", "VKT", "Wheel", "Korf"</t>
  </si>
  <si>
    <t>7.2.5.2</t>
  </si>
  <si>
    <t>Вентиляционные решетки из оцинкованной стали</t>
  </si>
  <si>
    <t>7.2.5.3</t>
  </si>
  <si>
    <r>
      <rPr>
        <sz val="8"/>
        <color rgb="FF000000"/>
        <rFont val="Arial"/>
      </rPr>
      <t xml:space="preserve">Клапан в обслуживаемом помещении:
Нормально открытый клапан с электроприводом напряжением </t>
    </r>
    <r>
      <rPr>
        <sz val="8"/>
        <color rgb="FF000000"/>
        <rFont val="Arial"/>
      </rPr>
      <t xml:space="preserve">220В </t>
    </r>
    <r>
      <rPr>
        <sz val="8"/>
        <color rgb="FF000000"/>
        <rFont val="Arial"/>
      </rPr>
      <t>с возвратной пружиной в общепромышленном исполнении.
Дроссель-клапан на вытяжном и приточном воздуховоде.
Производители: "Веза", "VKT", "Неватом".</t>
    </r>
  </si>
  <si>
    <t>7.2.5.4</t>
  </si>
  <si>
    <r>
      <rPr>
        <sz val="8"/>
        <color rgb="FF000000"/>
        <rFont val="Arial"/>
      </rPr>
      <t xml:space="preserve">Клапан у вентилятора:
Нормально открытый клапан с электроприводом напряжением </t>
    </r>
    <r>
      <rPr>
        <sz val="8"/>
        <color rgb="FF000000"/>
        <rFont val="Arial"/>
      </rPr>
      <t xml:space="preserve">220В </t>
    </r>
    <r>
      <rPr>
        <sz val="8"/>
        <color rgb="FF000000"/>
        <rFont val="Arial"/>
      </rPr>
      <t xml:space="preserve">с возвратной пружиной.
Производители: "Веза", "VKT", "Неватом". </t>
    </r>
  </si>
  <si>
    <t>7.2.5.5</t>
  </si>
  <si>
    <t>Воздуховод общеобменной вентиляции Паркинг</t>
  </si>
  <si>
    <r>
      <rPr>
        <sz val="8"/>
        <color rgb="FF000000"/>
        <rFont val="Arial"/>
      </rPr>
      <t>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t>
    </r>
    <r>
      <rPr>
        <b/>
        <i/>
        <sz val="8"/>
        <color rgb="FF000000"/>
        <rFont val="Arial"/>
      </rPr>
      <t xml:space="preserve">
</t>
    </r>
    <r>
      <rPr>
        <sz val="8"/>
        <color rgb="FF000000"/>
        <rFont val="Arial"/>
      </rPr>
      <t xml:space="preserve">Толщина стенок воздуховодов и фасонных изделий:
Для прямоугольных воздуховодов при сечении:
● Без огнезащитного покрытия
- от 100х100 до 250х250 включительно - 0,5 мм,
- от 300х100 (100х300) до 1000х1000 - 0,7 мм,
- от 350х1050 (1050х350) до 2000х2000 - 0,9 мм,
● С огнезащитным покрытием
- от 100х100 до 1000х1000 включительно - 0,8 мм,
- от 1000х1050 до 2000х2000 - 0,9 мм
Для круглых воздуховодов (использовать в исключительных случаях, при отсутствии возможности использовать прямоугольные воздуховоды) при диаметре:
● Без огнезащитного покрытия
- до Ø200 - 0,5 мм,
- от Ø250 до Ø450 - 0,6 мм.
- от Ø500 до Ø800 - 0,7 мм.
- от Ø900 до Ø1250 - 1,0 мм.
● С огнезащитным покрытием
- от Ø100 до Ø800- 0,8 мм,
- от Ø900 до Ø1250- 1,0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</si>
  <si>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t xml:space="preserve">7.3 Вентиляция противодымная </t>
  </si>
  <si>
    <t>7.3.0.1</t>
  </si>
  <si>
    <t>Инженерные системы противодымной вентиляции</t>
  </si>
  <si>
    <t>В проектной и рабочей документации (модели) предусматривать следующее буквенно-цифровое обозначение внутренних систем:
ДП_Подпор
ДПЕ_Подпор
ДВ_Дымоудаление</t>
  </si>
  <si>
    <t xml:space="preserve"> Система противодымной вентиляции МОП</t>
  </si>
  <si>
    <t>7.3.1</t>
  </si>
  <si>
    <r>
      <rPr>
        <sz val="8"/>
        <color theme="1"/>
        <rFont val="Arial"/>
      </rPr>
      <t xml:space="preserve">Подпор воздуха с помощью осевых вентиляторов: 
- в лестничную клетку типа Н2 
- лифтовую шахту (для перевозки пожарных подразделений)
- нижнюю зону межквартирного коридора.
Дымоудаление из межквартирного коридора.
</t>
    </r>
    <r>
      <rPr>
        <sz val="8"/>
        <color theme="1"/>
        <rFont val="Arial"/>
      </rPr>
      <t xml:space="preserve">Вентиляторы дымоудаления и подпора воздуха установить в венткамере технического этажа (чердака). Воздухозабор и выброс обеспечить через решетки расположенные в стене технического этажа (чердака).
</t>
    </r>
    <r>
      <rPr>
        <sz val="8"/>
        <color theme="1"/>
        <rFont val="Arial"/>
      </rPr>
      <t xml:space="preserve">
Скорость движения удаляемого (выбрасываемого) воздуха не более 20м/с.</t>
    </r>
  </si>
  <si>
    <t>7.3.1.1</t>
  </si>
  <si>
    <t>Осевой вентилятор противодымной вентиляции</t>
  </si>
  <si>
    <t>В комплекте с ответными фланцами, гибкими вставками, виброизоляторами и т.д. При расположении оборудования снаружи здания учитывать его климатическое исполнение. 
Производители: "Веза", "VKT"</t>
  </si>
  <si>
    <t>7.3.1.2</t>
  </si>
  <si>
    <t>Воздухораспределители противодымной вентиляции</t>
  </si>
  <si>
    <t>Внутренние (вытяжные) - декоративные регулируемые решетки
Наружные (воздухозаборные) - нерегулируемые 
Производители:
Внутренние решетки: «Арктика» или «Лиссант» или аналог
Наружные решетки: «Арктика» или «ВЕЗА» или аналог</t>
  </si>
  <si>
    <t>7.3.1.3</t>
  </si>
  <si>
    <t>Арматура противодымной вентиляции</t>
  </si>
  <si>
    <r>
      <rPr>
        <sz val="8"/>
        <color rgb="FF000000"/>
        <rFont val="Arial"/>
      </rPr>
      <t xml:space="preserve">Клапан в обслуживаемом помещении:
Нормально открытый клапан с электроприводом напряжением </t>
    </r>
    <r>
      <rPr>
        <sz val="8"/>
        <color rgb="FF000000"/>
        <rFont val="Arial"/>
      </rPr>
      <t xml:space="preserve">220В </t>
    </r>
    <r>
      <rPr>
        <sz val="8"/>
        <color rgb="FF000000"/>
        <rFont val="Arial"/>
      </rPr>
      <t>в общепромышленном исполнении с декоративной решеткой Ventart.
Производители: "Веза", "VKT", "Vents", "Неватом".</t>
    </r>
  </si>
  <si>
    <t>7.3.1.4</t>
  </si>
  <si>
    <r>
      <rPr>
        <sz val="8"/>
        <color rgb="FF000000"/>
        <rFont val="Arial"/>
      </rPr>
      <t xml:space="preserve">Клапан у вентилятора:
Нормально открытый клапан с электроприводом напряжением </t>
    </r>
    <r>
      <rPr>
        <sz val="8"/>
        <color rgb="FF000000"/>
        <rFont val="Arial"/>
      </rPr>
      <t xml:space="preserve">220В </t>
    </r>
    <r>
      <rPr>
        <sz val="8"/>
        <color rgb="FF000000"/>
        <rFont val="Arial"/>
      </rPr>
      <t>в морозостойком исполнении c пределом огнестойкости.
Производители: "Веза", "VKT", "Vents", "Неватом".</t>
    </r>
  </si>
  <si>
    <t>7.3.1.5</t>
  </si>
  <si>
    <t>Воздуховод противодымной вентиляции МОП</t>
  </si>
  <si>
    <r>
      <rPr>
        <sz val="8"/>
        <color rgb="FF000000"/>
        <rFont val="Arial"/>
      </rPr>
      <t xml:space="preserve">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
Толщина стенок прямоугольных воздуховодов и фасонных изделий при сечении:
● С огнезащитным покрытием
- от 100х100 до 1000х1000 включительно - 0,8 мм,
- от 1000х1050 до 2000х2000 - 0,9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</si>
  <si>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t xml:space="preserve"> Система противодымной вентиляции Паркинг</t>
  </si>
  <si>
    <t>7.3.2</t>
  </si>
  <si>
    <t>Приточную вентиляцию располагать с одной стороны паркинга, вытяжную располагать на противоположной стороне паркинга.
Дымоприемные устройства (решетки) расположить под потолком автостоянки.
Принять минимальное количество дымоприемных устройств при соблюдении следующих условий:
- радиус действия 18м;
- площадь помещения, обслуживаемая одним дымоприемным устройством 1000 м2.
Приоритет расположения воздуховодов - по периметру автостоянки.
Приток воздуха автостоянки предусмотреть от приточной шахты, вблизи венткамеры (в подвале). 
Воздухозаборную решетку предусмотреть на внутреннем фасаде здания, на высоте не менее 2м от земли.
Вентилятор дымоудаления установить в венткамере технического этажа (подвала). Выброс обеспечить через решетки расположенные в стене технического этажа (чердака).
Подпор воздуха в тамбур - шлюзы парно - последовательно расположенные при входе в паркинг предусмотреть от осевого вентилятора установленного под потолком тамбур шлюза. Воздухозаборную решетку расположить под потолком дворовой входной группы.
Компенсация воздуха через огнезадерживающие клапаны, установленные в нижней части тамбур шлюзов.
Скорость движения удаляемого (выбрасываемого) воздуха принять не более 12м/с или не более 20м/с при давлении не более 1000Па.</t>
  </si>
  <si>
    <t>7.3.2.1</t>
  </si>
  <si>
    <t>7.3.2.2</t>
  </si>
  <si>
    <t>Вентиляционные решетки из оцинкованной стали или с декоративной сеткой.</t>
  </si>
  <si>
    <t>7.3.2.3</t>
  </si>
  <si>
    <r>
      <rPr>
        <sz val="8"/>
        <color rgb="FF000000"/>
        <rFont val="Arial"/>
      </rPr>
      <t xml:space="preserve">Клапан в обслуживаемом помещении:
Нормально открытый клапан с электроприводом напряжением </t>
    </r>
    <r>
      <rPr>
        <sz val="8"/>
        <color rgb="FF000000"/>
        <rFont val="Arial"/>
      </rPr>
      <t xml:space="preserve">220В </t>
    </r>
    <r>
      <rPr>
        <sz val="8"/>
        <color rgb="FF000000"/>
        <rFont val="Arial"/>
      </rPr>
      <t xml:space="preserve">в общепромышленном исполнении.
Производители: "Веза", "VKT". </t>
    </r>
  </si>
  <si>
    <t>7.3.2.4</t>
  </si>
  <si>
    <r>
      <rPr>
        <sz val="8"/>
        <color rgb="FF000000"/>
        <rFont val="Arial"/>
      </rPr>
      <t xml:space="preserve">Клапан у вентилятора:
Нормально открытый клапан с электроприводом напряжением </t>
    </r>
    <r>
      <rPr>
        <sz val="8"/>
        <color rgb="FF000000"/>
        <rFont val="Arial"/>
      </rPr>
      <t xml:space="preserve">220В </t>
    </r>
    <r>
      <rPr>
        <sz val="8"/>
        <color rgb="FF000000"/>
        <rFont val="Arial"/>
      </rPr>
      <t>в морозостойком исполнении c пределом огнестойкости EI120, EI150.
Производители: "Веза", "VKT", "Vents", "Неватом".</t>
    </r>
  </si>
  <si>
    <t>7.3.2.5</t>
  </si>
  <si>
    <t>Воздуховод противодымной вентиляции Паркинг</t>
  </si>
  <si>
    <r>
      <rPr>
        <sz val="8"/>
        <color rgb="FF000000"/>
        <rFont val="Arial"/>
      </rPr>
      <t xml:space="preserve">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
Толщина стенок прямоугольных воздуховодов и фасонных изделий при сечении:
● С огнезащитным покрытием
- от 100х100 до 2000х2000 - 1,0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</si>
  <si>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t>7.4 Кондиционирование</t>
  </si>
  <si>
    <t>7.4.0.1</t>
  </si>
  <si>
    <t>Инженерные системы кондиционирования</t>
  </si>
  <si>
    <t>В проектной и рабочей документации (модели) предусматривать следующее буквенно-цифровое обозначение внутренних систем:
RS_Хладон_Холодный газ
RL_Хладон_Жидкий</t>
  </si>
  <si>
    <t xml:space="preserve"> Система кондиционирования</t>
  </si>
  <si>
    <t>7.4.1</t>
  </si>
  <si>
    <t>Кондиционирование жилой части</t>
  </si>
  <si>
    <r>
      <rPr>
        <sz val="8"/>
        <color rgb="FF000000"/>
        <rFont val="Arial"/>
      </rPr>
      <t xml:space="preserve">Расположение блоков кондиционирования в соответствие с альбомом концепции проекта.
Установка за счет средств собственников помещений.
</t>
    </r>
    <r>
      <rPr>
        <b/>
        <sz val="8"/>
        <color rgb="FF000000"/>
        <rFont val="Arial"/>
      </rPr>
      <t xml:space="preserve">Для первых этажей: 
</t>
    </r>
    <r>
      <rPr>
        <sz val="8"/>
        <color rgb="FF000000"/>
        <rFont val="Arial"/>
      </rPr>
      <t xml:space="preserve">
Установка наружных блоков на летних помещениях (террасах). 
</t>
    </r>
    <r>
      <rPr>
        <b/>
        <sz val="8"/>
        <color rgb="FF000000"/>
        <rFont val="Arial"/>
      </rPr>
      <t xml:space="preserve">Для типовых и последних этажей: </t>
    </r>
    <r>
      <rPr>
        <sz val="8"/>
        <color rgb="FF000000"/>
        <rFont val="Arial"/>
      </rPr>
      <t xml:space="preserve">
Установка наружных блоков на летних помещениях (балконах, лоджиях, террасах). 
</t>
    </r>
    <r>
      <rPr>
        <sz val="8"/>
        <color rgb="FF434343"/>
        <rFont val="Arial"/>
      </rPr>
      <t>Показать трассировку фреонопровода от внутреннего до наружного блока.</t>
    </r>
    <r>
      <rPr>
        <sz val="8"/>
        <color rgb="FF000000"/>
        <rFont val="Arial"/>
      </rPr>
      <t xml:space="preserve">
В студиях и квартирах с одной спальней предусмотреть кондиционирование только одного помещения - гостиной.
В квартирах с двумя спальнями и более предусмотреть кондиционирование двух помещений - гостиной и мастер-спальни.
Количество наружных блоков принять равных количеству внутренних.
Габариты наружного блока принять (Ш*В*Г) 700*530*250 (монтажный зазор принять 100мм) для студий или квартир с одной спальней.
Длина фреонопровода от наружного блока до места установки внутреннего блока не длиннее 15 м. Перепад высоты между блоками не более 15 м.
Габариты наружного блока принять (Ш*В*Г) 990*965*350 (монтажный зазор принять 100мм) для квартир с двумя спальнями и более.
Суммарная длина фреонопроводов от наружного блока до места установки внутренних блоков не более 80 м. Перепад высоты между блоками не более 15 м.</t>
    </r>
  </si>
  <si>
    <t>7.4.2</t>
  </si>
  <si>
    <t>Кондиционирование коммерческих помещений</t>
  </si>
  <si>
    <t xml:space="preserve">Установка внутренних и наружных блоков кондиционирования коммерческих помещений предусматривается силами собственника.
Место установки относительно площади помещения:
- менее 120м2 - предусмотреть место для размещения наружного блока над тамбуром.
- более 120м2 - предусмотреть место для размещения ЦХМ с выбросом тепла через решетку в верхней части витража, над остеклением. 
Предусмотреть место размещения ЦХМ в размере 20 - 25 м2 в коммерческом помещении с выбросом на улицу через решетку в верхней части витража
Отвод дренажа предусмотреть силами собственника в систему канализации через «разрыв струи» и установкой гидрозатвора.
Обозначить места установки кондиционеров на планах АР в рабочей документации.
</t>
  </si>
  <si>
    <t xml:space="preserve"> Система кондиционирования дополнительные требования</t>
  </si>
  <si>
    <t>7.4.3</t>
  </si>
  <si>
    <t>Узел прохода коммуникаций внешнего блока кондиционера через наружную стену в жилых помещениях. Штукатурный фасад. Типовой этаж</t>
  </si>
  <si>
    <t>Предусмотреть закладные из гофрированной ПНД трубы.
Со стороны летнего помещения устанавливается вентиляционная решетка после устройства фасада. 
Со стороны квартиры установить заглушку из полипропилена.</t>
  </si>
  <si>
    <t>7.4.4</t>
  </si>
  <si>
    <t>Узел прохода коммуникаций внешнего блока кондиционера через наружную стену в жилых помещениях. НВФ. Типовой этаж</t>
  </si>
  <si>
    <t>7.5 Тепломеханическая часть (ИТП)</t>
  </si>
  <si>
    <t>7.5.1</t>
  </si>
  <si>
    <t>Принципиальные решения</t>
  </si>
  <si>
    <r>
      <rPr>
        <sz val="8"/>
        <color rgb="FF000000"/>
        <rFont val="Arial"/>
      </rPr>
      <t xml:space="preserve">Предусмотреть один ИТП блочного типа для всего здания.
</t>
    </r>
    <r>
      <rPr>
        <b/>
        <sz val="8"/>
        <color rgb="FF000000"/>
        <rFont val="Arial"/>
      </rPr>
      <t>Подключение потребителей тепла:</t>
    </r>
    <r>
      <rPr>
        <sz val="8"/>
        <color rgb="FF000000"/>
        <rFont val="Arial"/>
      </rPr>
      <t xml:space="preserve">
</t>
    </r>
    <r>
      <rPr>
        <b/>
        <i/>
        <sz val="8"/>
        <color rgb="FF000000"/>
        <rFont val="Arial"/>
      </rPr>
      <t>Узел системы горячего водоснабжения:</t>
    </r>
    <r>
      <rPr>
        <sz val="8"/>
        <color rgb="FF000000"/>
        <rFont val="Arial"/>
      </rPr>
      <t xml:space="preserve">
Горячее водоснабжение - по независимой, закрытой двуступенчатой схеме, через пластинчатый теплообменник без резервирования. 
Температура воды в системе горячего водоснабжения 65°С; 
Теплообменник единный на жилую и коммерческую часть здания.
</t>
    </r>
    <r>
      <rPr>
        <b/>
        <i/>
        <sz val="8"/>
        <color rgb="FF000000"/>
        <rFont val="Arial"/>
      </rPr>
      <t>Узел системы отопления:</t>
    </r>
    <r>
      <rPr>
        <sz val="8"/>
        <color rgb="FF000000"/>
        <rFont val="Arial"/>
      </rPr>
      <t xml:space="preserve">
Системы отопления - подключается по независимой схеме через пластинчатый теплообменник с резервом 100%. 
Теплоноситель вода с параметрами 80/60 град.С.
Теплообменник единный на жилую и коммерческую часть здания.
</t>
    </r>
    <r>
      <rPr>
        <b/>
        <i/>
        <sz val="8"/>
        <color rgb="FF000000"/>
        <rFont val="Arial"/>
      </rPr>
      <t>Узел теплоснабжения вентиляции:</t>
    </r>
    <r>
      <rPr>
        <sz val="8"/>
        <color rgb="FF000000"/>
        <rFont val="Arial"/>
      </rPr>
      <t xml:space="preserve">
Присоединение системы вентиляции выполнить по зависимой схеме (приточные установки оборудовать смесительными узлами). 
Температура теплоносителя согласно техническим условиям на подключение.
</t>
    </r>
    <r>
      <rPr>
        <b/>
        <sz val="8"/>
        <color rgb="FF000000"/>
        <rFont val="Arial"/>
      </rPr>
      <t xml:space="preserve">Пластинчатый теплообменник:
</t>
    </r>
    <r>
      <rPr>
        <sz val="8"/>
        <color rgb="FF000000"/>
        <rFont val="Arial"/>
      </rPr>
      <t xml:space="preserve">Разборные пластинчатые теплообменники.
При расчете пластинчатого теплообменника учитывать фактический температурный график в данном районе строительства предусмотреть 20% запас поверхности нагрева. 
На каждом присоединении к пластинчатому теплообменнику после запорной арматуры предусмотреть штуцер с шаровым краном для промывки.
Листы подбора теплообменников приложить к проекту.
Производители: Ридан.
</t>
    </r>
    <r>
      <rPr>
        <b/>
        <sz val="8"/>
        <color rgb="FF000000"/>
        <rFont val="Arial"/>
      </rPr>
      <t xml:space="preserve">Насос:
</t>
    </r>
    <r>
      <rPr>
        <sz val="8"/>
        <color rgb="FF000000"/>
        <rFont val="Arial"/>
      </rPr>
      <t>Для системы отопления предусмотреть насос со 100% резервом и частотным регулированием.
Для системы ГВС предусмотреть насос без резервирования.
Листы подбора насосов приложить к проекту.
Листы подбора Регулирующего клапана приложить к проекту 
Производители: Согласно вендор листу.</t>
    </r>
  </si>
  <si>
    <t>7.5.1.1</t>
  </si>
  <si>
    <t>Блок ИТП</t>
  </si>
  <si>
    <t>В составе ИТП предусмотреть блоки заводского изготовления.
- Блок узла ввода (теплового ввода)
- Блок ГВС (1 зона, 2 зона)
- Блок ГВС Ритейл (использовать при техническом обосновании и отсутствие возможности использования одного блока на жилую часть и коммерческие помещения) 
- Блок отопления (1 зона, 2 зона)
- Блок вентиляции
- Блок узла учета тепловой энергии
- Блок узла подпитки
- Блок коллектора отопления
- Блок автоматизации (шкаф)</t>
  </si>
  <si>
    <t>7.5.1.2</t>
  </si>
  <si>
    <t>Обвязка ИТП</t>
  </si>
  <si>
    <r>
      <rPr>
        <b/>
        <sz val="8"/>
        <color rgb="FF000000"/>
        <rFont val="Arial"/>
      </rPr>
      <t>Трубопроводы:</t>
    </r>
    <r>
      <rPr>
        <sz val="8"/>
        <color rgb="FF000000"/>
        <rFont val="Arial"/>
      </rPr>
      <t xml:space="preserve">
Стальные водогазопроводные ГОСТ 3262-75 диаметром DN до 50 (диаметр и толщина стенки: 15х2,8; 20х2,8; 25х3,2; 32х3,2; 40х3,5) и стальные электросварные ГОСТ 10704-91 диаметром DN50 и более (диаметр и толщина стенки: 57х3,5; 76х3,5; 89х4,0; 108х4,0; 133х4,5; 159х4,5; 219х6,0).
С антикоррозионным покрытием для системы хозяйственно-питьевого водоснабжения.
Неоцинкованные без антикоррозионного покрытия для системы отопления.
Трубопроводы в тепловой изоляции - фольгированные цилиндры из минеральной ваты толщиной 30, 40, 50 мм в соответствии с температурным графиком теплоносителя (подтвердить расчетом).
Применять приварные отводы стальных трубопроводов под углами 15°/45°/90°;
Антикоррозийная защита: 
- Трубопроводы: краска БТ-177 ГОСТ 5631-79 в два слоя, грунт ГФ-021 ГОСТ 25129-82 в один слой. 
На трубопроводах применить неподвижные и скользящие опоры по серии 5.903-13.
</t>
    </r>
    <r>
      <rPr>
        <b/>
        <sz val="8"/>
        <color rgb="FF000000"/>
        <rFont val="Arial"/>
      </rPr>
      <t>Запорная и регулирующая арматура:</t>
    </r>
    <r>
      <rPr>
        <sz val="8"/>
        <color rgb="FF000000"/>
        <rFont val="Arial"/>
      </rPr>
      <t xml:space="preserve">
Тип присоединения и материал запорной и регулирующей арматуры: 
- Муфтовое соединение - DN15 - DN50 - латунь,
- Фланцевое соединение - DN65 и более - чугун.
Производители:
Изоляция: K-Flex, Armacell (вспененный каучук), Rockwool (цилиндры из минеральной ваты).
Трубопроводная арматура: </t>
    </r>
    <r>
      <rPr>
        <sz val="8"/>
        <color rgb="FF000000"/>
        <rFont val="Arial"/>
      </rPr>
      <t>LD</t>
    </r>
    <r>
      <rPr>
        <sz val="8"/>
        <color rgb="FF000000"/>
        <rFont val="Arial"/>
      </rPr>
      <t>, Ридан, ADL, Naval, Broen Ballomax.
Расширительные баки Reflex, ADL.</t>
    </r>
  </si>
  <si>
    <t>7.6 Узел коммерческого учета тепловой энергии (УКУТ)</t>
  </si>
  <si>
    <t>7.6.1</t>
  </si>
  <si>
    <t>На вводе в ИТП тепловых сетей устанавливают узел ввода, который оборудован запорной арматурой (стальной, согласно СП 124.13330.2012 п.10.9), грязевиками, сетчатыми фильтрами, и узел теплоучета. 
Расходомеры устанавливаются на подающем и обратном трубопроводах ИТП и подпиточном трубопроводе В1.
В разделе автоматизация ИТП предусмотреть контроллер с возможностью подключения системы диспетчеризации, управление насосным оборудованием, управлением регулирующими клапанами по температуре, регулирование системы подпитки (включая повысительные насосы).</t>
  </si>
  <si>
    <t>7.6.1.1</t>
  </si>
  <si>
    <t>Теплосчетчики</t>
  </si>
  <si>
    <r>
      <rPr>
        <sz val="8"/>
        <color rgb="FF000000"/>
        <rFont val="Arial"/>
      </rPr>
      <t xml:space="preserve">- Теплосчетчики электронные с возможностью подключения системы диспетчеризации, ультразвуковыми расходомерами, фирмы </t>
    </r>
    <r>
      <rPr>
        <sz val="8"/>
        <color rgb="FF000000"/>
        <rFont val="Arial"/>
      </rPr>
      <t>"Питерфлоу"</t>
    </r>
    <r>
      <rPr>
        <sz val="8"/>
        <color rgb="FF000000"/>
        <rFont val="Arial"/>
      </rPr>
      <t xml:space="preserve"> «ВЗЛЕТ» / «ЛОГИКА» или аналог.
- Предусмотреть учет тепловой энергии:
на вводе в здании;
на линии подпитки системы отопления, подключенной по независимой схеме через ПТО. Подключение подпитки выполнить в обратный трубопровод тепловой сети, после расходомера по ходу движения теплоносителя.</t>
    </r>
  </si>
  <si>
    <t>7.6.1.2</t>
  </si>
  <si>
    <t>Расходомер</t>
  </si>
  <si>
    <r>
      <rPr>
        <sz val="8"/>
        <color rgb="FF000000"/>
        <rFont val="Arial"/>
      </rPr>
      <t xml:space="preserve">Расходомеры (электромагнитные) фирмы: "Теплоком" модель ПРЭМ, класс D или "Взлёт" модель ЭРСВЭ-440Л В, </t>
    </r>
    <r>
      <rPr>
        <sz val="8"/>
        <color rgb="FF000000"/>
        <rFont val="Arial"/>
      </rPr>
      <t>или аналог</t>
    </r>
  </si>
  <si>
    <t>7.6.1.3</t>
  </si>
  <si>
    <t>Термопреобразователь</t>
  </si>
  <si>
    <r>
      <rPr>
        <sz val="8"/>
        <color rgb="FF000000"/>
        <rFont val="Arial"/>
      </rPr>
      <t>Термопреобразователи фирмы: "Взлёт" модель ТПС</t>
    </r>
    <r>
      <rPr>
        <sz val="8"/>
        <color rgb="FF000000"/>
        <rFont val="Arial"/>
      </rPr>
      <t xml:space="preserve">, </t>
    </r>
    <r>
      <rPr>
        <sz val="8"/>
        <color rgb="FF000000"/>
        <rFont val="Arial"/>
      </rPr>
      <t>ЗАО "Термико" модель КТПТР, типа</t>
    </r>
    <r>
      <rPr>
        <sz val="8"/>
        <color rgb="FF000000"/>
        <rFont val="Arial"/>
      </rPr>
      <t xml:space="preserve"> ТВ-7</t>
    </r>
    <r>
      <rPr>
        <sz val="8"/>
        <color rgb="FF000000"/>
        <rFont val="Arial"/>
      </rPr>
      <t xml:space="preserve"> </t>
    </r>
    <r>
      <rPr>
        <sz val="8"/>
        <color rgb="FF000000"/>
        <rFont val="Arial"/>
      </rPr>
      <t>или аналог</t>
    </r>
  </si>
  <si>
    <t>8.1 Пожарная сигнализация, системы оповещения и управления эвакуацией</t>
  </si>
  <si>
    <t xml:space="preserve"> Система пожарной сигнализации и системы оповещения и управления эвакуацией</t>
  </si>
  <si>
    <t>8.1.1</t>
  </si>
  <si>
    <t>Система пожарной сигнализации. Жилая часть (Рубеж)</t>
  </si>
  <si>
    <t>Извещатели и устройства:
- в прихожих квартир установить извещатель пожарный тепловой адресный. Извещатель разместить на перекрытие на расстоянии 0,5 м от входной двери;
- во всех жилых помещениях квартир (кроме санузлов, ванных комнат, душевых и постирочных), в коридорах установить извещатель пожарный дымовой автономный. Извещатель разместить на перекрытии на расстоянии не менее 1 м от вентиляционных отверстий и не менее 0,5 м от осветительных приборов. При невозможности установки на перекрытии извещатель разместить на стене на расстоянии 100 мм от перекрытия.
Каждую квартиру выделить в отдельную ЗКПС. Изолирующие устройства разместить в этажной нише систем противопожарной защиты (СПЗ). 
Способы прокладки кабеля:
- прокладку кабеля от этажной ниши СПЗ до извещателей квартир выполнить в плите перекрытия потолка текущего этажа в тяжелой гофрированной трубе ПНД d=25 мм с протяжкой.
Кабель для системы пожарной сигнализации предусмотреть не распространяющий горение, огнестойкий типа - FRLS, в составе сертифицированной ОКЛ.
Производитель: согласно вендор-листу.</t>
  </si>
  <si>
    <t>8.1.2</t>
  </si>
  <si>
    <t>Система пожарной сигнализации. МОП (Рубеж)</t>
  </si>
  <si>
    <t>В жилой части (МОП) предусмотреть проектом адресную систему пожарной сигнализации.
Извещатели и устройства:
- извещатель пожарный дымовой адресный установить на перекрытии с учетом дизайн-проекта МОП и зоны покрытия извещателя;
- извещатель пожарный ручной адресный установить на путях эвакуации, у выходов из здания и с этажа на высоте 1,5 м от уровня чистого пола;
- устройство дистанционного пуска системы дымоудаления адресное установить в нише пожарного шкафа, при отсутствии шкафа ВПВ УДП установить на путях эвакуации рядом с ИПР; 
- устройство дистанционного пуска системы автоматического пожаротушения адресное установить в нише пожарного шкафа;
- блок контроля и управления исполнительным устройством (огнезадерживающий клапан (ОЗК)/клапан дымоудаления(КДУ)) расположить в этажной нише СПЗ.
Каждый этаж выделить в отдельную ЗКПС. 
Изолирующие устройства разместить в этажной нише систем противопожарной защиты (СПЗ). Для 1 этажа изолирующие устройства разместить на -1 этаже в зоне размещения секционного оборудования.
Способы прокладки кабеля:
- прокладку кабеля от этажной ниши СПЗ до извещателей МОП выполнить в плите перекрытия потолка в тяжелой гофрированной трубе ПНД d=25 мм с протяжкой;
- вертикальную стояковую разводку выполнить в этажной нише СПЗ открыто в лестничном лотке 100х300 мм, обратный кольцевой (резервный) интерфейс проложить в гофрированной трубе ПВХ d=20 мм, 
- опуски к ручным извещателям выполнить скрыто, в штробах стен, в гофрированной ПВХ d=20 мм, либо скрыто в отделочном слое стен; 
- исключить применение кабель-каналов в МОП.
Предусмотреть электромагнитный замок удержания двери (с кнопкой для отмены фиксации двери) на противопожарной двери из лифтового холла в лестничную клетку.
Кабель для системы пожарной сигнализации предусмотреть не распространяющий горение, огнестойкий типа - FRLS, в составе сертифицированной ОКЛ.
Производитель: согласно вендор листу.</t>
  </si>
  <si>
    <t>8.1.3</t>
  </si>
  <si>
    <t>Система пожарной сигнализации. Коммерческие помещения (Рубеж)</t>
  </si>
  <si>
    <t>В коммерческих помещениях предусмотреть безадресную систему пожарной сигнализации.
Извещатели и устройства:
- извещатель пожарный дымовой безадресный установить на перекрытии;
- извещатель пожарный ручной безадресный установить на путях эвакуации, у выходов из здания на высоте 1,5м от уровня чистого пола;
- устройство коммутационное для отключения инженерного оборудования коммерческого помещения по сигналу системы пожарной сигнализации установить в распределительном электрическом щите коммерческого помещения или в непосредственной близости от него.
Оборудование:
- устройство контроля и управления установить для каждого коммерческого помещения;
- самостоятельный резервированный источник питания установить для каждого коммерческого помещения.
Включение коммерческих помещений в общую систему пожарной сигнализации здания выполнить с учетом сохранения работоспособности общей системы в случае неисправности СПС коммерческого помещения. 
Способы прокладки кабеля:
- прокладку кабеля от устройства контроля и управления до извещателей и устройств выполнить открыто, с креплением к стенам и перекрытиям;
- прокладку кабелей до устройства контроля и управления коммерческого помещения с уровня технического этажа выполнить скрыто, в штрабах стен, в гофрированной трубе ПВХ d=20 мм, избегая монолитных участков здания.
Кабель для системы пожарной сигнализации предусмотреть не распространяющий горение, огнестойкий типа - FRLS, в составе сертифицированной ОКЛ.
Производитель: согласно вендор листу.</t>
  </si>
  <si>
    <t>8.1.4</t>
  </si>
  <si>
    <t>Система пожарной сигнализации. Технический этаж (Рубеж)</t>
  </si>
  <si>
    <t>В техническом этаже с кладовыми помещениями предусмотреть проектом адресную систему пожарной сигнализации.
Извещатели и устройства:
- извещатель пожарный дымовой адресный установить на перекрытии на расстоянии не менее 1 м от вентиляционных отверстий, а также с учетом минимально допустимых расстояний от выступающих строительных конструкций и инженерного оборудования. При невозможности установки на перекрытии извещатель установить на стене на расстоянии 100 мм от перекрытия;
- извещатель пожарный ручной адресный установить на путях эвакуации на высоте 1,5 м от уровня чистого пола;
- блок контроля и управления исполнительным устройством (огнезадерживающий клапан (ОЗК)/клапан дымоудаления(КДУ)) установить в непосредственной близости от клапана/дренчерной завесы.
Шкафы управления систем противодымной вентиляции и их обвязку предусмотреть в разделе ПС.
Оборудование:
- прибор приемно-контрольный и управления пожарный (ППКУП) предусмотреть самостоятельным для каждой секции. Блок индикации и управления (БИУ) установить в помещении Сетей связи;
- резервированный источник питания предусмотреть самостоятельным для каждой секции. РИП установить в зоне размещения секционного оборудования вблизи инженерной ниши. Емкость и количество определить проектом;
- для связи с центральной диспетчерской микрорайона предусмотреть установку модуль сопряжения.
Способы прокладки кабеля:
- прокладку кабелей до конечных извещателей и устройств технического этажа выполнить открыто в гофрированной трубе ПВХ d=20 мм;
- магистральную прокладку кабелей выполнить в неперфорированном металлическом листовом лотке;
- обратную кольцевую (резервную) линию интерфейса проложить в гофрированной трубе ПВХ d=20 мм либо в лотке линий СПЗ с установкой перегородки.
Кабель для системы пожарной сигнализации предусмотреть не распространяющий горение, огнестойкий типа - FRLS, в составе сертифицированной ОКЛ.
Производитель: согласно вендор листу.</t>
  </si>
  <si>
    <t>8.1.5</t>
  </si>
  <si>
    <t>Система пожарной сигнализации. Паркинг (Рубеж)</t>
  </si>
  <si>
    <r>
      <rPr>
        <sz val="8"/>
        <color rgb="FF000000"/>
        <rFont val="Arial"/>
      </rPr>
      <t>В паркинге предусмотреть проектом адресную систему пожарной сигнализации.
Извещатели и устройства:
- извещатель пожарный дымовой адресный установить на перекрытии на расстоянии не менее 1 м от вентиляционных отверстий, а также с учетом минимально допустимых расстояний от выступающих строительных конструкций и инженерного оборудования; 
-извещатель пожарный ручной адресный установить на путях эвакуации на высоте 1,5 м от уровня чистого пола;
- устройство дистанционного пуска системы дымоудаления адресное установить в нише пожарного шкафа; 
- устройство дистанционного пуска системы автоматического пожаротушения адресное установить в нише пожарного шкафа;
- блок контроля и управления исполнительным устройством (огнезадерживающий клапан (ОЗК)/клапан дымоудаления(КДУ)</t>
    </r>
    <r>
      <rPr>
        <strike/>
        <sz val="8"/>
        <color rgb="FF000000"/>
        <rFont val="Arial"/>
      </rPr>
      <t>)</t>
    </r>
    <r>
      <rPr>
        <sz val="8"/>
        <color rgb="FF000000"/>
        <rFont val="Arial"/>
      </rPr>
      <t xml:space="preserve"> установить в непосредственной близости от клапана</t>
    </r>
    <r>
      <rPr>
        <strike/>
        <sz val="8"/>
        <color rgb="FF000000"/>
        <rFont val="Arial"/>
      </rPr>
      <t>;</t>
    </r>
    <r>
      <rPr>
        <sz val="8"/>
        <color rgb="FF000000"/>
        <rFont val="Arial"/>
      </rPr>
      <t xml:space="preserve">
Шкафы управления систем противодымной вентиляции и их обвязку предусмотреть в разделе ПС.
Разделить пространство паркинга на ЗКПС в соответствии с нормативными требованиями.
Оборудование:
- прибор приемно-контрольный и управления пожарный (ППКУП) предусмотреть для паркинга. ППКУП установить в электрощитовом помещении паркинга;
- резервированный источник питания предусмотреть</t>
    </r>
    <r>
      <rPr>
        <strike/>
        <sz val="8"/>
        <color rgb="FF000000"/>
        <rFont val="Arial"/>
      </rPr>
      <t xml:space="preserve"> </t>
    </r>
    <r>
      <rPr>
        <sz val="8"/>
        <color rgb="FF000000"/>
        <rFont val="Arial"/>
      </rPr>
      <t>в электрощитовом помещении паркинга. Емкость и количество определить проектом.
Способы прокладки кабеля:
- прокладку кабеля в пространстве паркинга выполнить открыто, в гофрированной трубе ПВХ d=20 мм</t>
    </r>
    <r>
      <rPr>
        <strike/>
        <sz val="8"/>
        <color rgb="FF000000"/>
        <rFont val="Arial"/>
      </rPr>
      <t>.</t>
    </r>
    <r>
      <rPr>
        <sz val="8"/>
        <color rgb="FF000000"/>
        <rFont val="Arial"/>
      </rPr>
      <t xml:space="preserve">
Кабель для системы пожарной сигнализации предусмотреть не распространяющий горение, огнестойкий типа - FRLS, в составе сертифицированной ОКЛ.
Производитель: согласно вендор листу.</t>
    </r>
  </si>
  <si>
    <t>8.1.6</t>
  </si>
  <si>
    <t>Система оповещения и управления эвакуацией людей при пожаре. МОП до 25 этажей (Рубеж)</t>
  </si>
  <si>
    <t>В жилой части проектом предусмотреть систему оповещения и управления эвакуацией (СОУЭ) 1-ого типа.
Способы оповещения людей о пожаре: 
- звуковой оповещатель пожарной тревоги, воспроизводящий специальный звуковой сигнал (сирену).
Количество звуковых оповещателей определить исходя из требуемого уровня звукового давления.
Способы управления эвакуацией людей:
- световой пожарный оповещатель (световой указатель) с эвакуационным знаком "Выход";
Алгоритм работы системы при получении СОУЭ управляющего сигнала от системы пожарной сигнализации:
- разблокировка дверей на путях эвакуации, оснащенных электромагнитными замками системы контроля и управления доступом;
- включение звуковых оповещателей и световых пожарных оповещателей (табло).
Расположение оповещателей:
- звуковой оповещатель установить на перекрытии. В МОП расположение оповещателей уточнить в соответствие с дизайн-проектом.
- световые указатели "Выход" установить над дверями эвакуационных выходов с этажей здания, ведущих на путь эвакуации, непосредственно наружу или в безопасную зону. Табло расположить на стене, на высоте 100 мм от верхнего края дверного проема.
Оборудование:
- предусмотреть проектом адресные релейные модули, включенные в общую систему СПС здания. Адресные релейные модули с контролем цепи от каждого реле до исполнительных устройств на обрыв и короткое замыкание во включенном и выключенном состоянии реле. Разместить в этажной нише СПЗ. Количество уточнить проектом.
Способы прокладки кабеля:
-прокладку кабеля от этажной ниши СПЗ до оповещателей МОП выполнить в плите перекрытия потолка текущего этажа в тяжелой гофрированной трубе ПНД d=25 мм с протяжкой.
Кабель для СОУЭ предусмотреть не распространяющий горение, огнестойкий типа - FRLS, в составе сертифицированной ОКЛ.
Производитель: согласно вендор листу.</t>
  </si>
  <si>
    <t>8.1.8</t>
  </si>
  <si>
    <t>Система оповещения и управления эвакуацией людей при пожаре. Коммерческие помещения (Рубеж)</t>
  </si>
  <si>
    <t>В коммерческих помещениях проектом предусмотреть систему оповещения и управления эвакуацией (СОУЭ) 2-ого типа.
Способы оповещения людей о пожаре: 
- звуковой оповещатель пожарной тревоги, воспроизводящий специальный звуковой сигнал (сирену).
Количество звуковых оповещателей определить исходя из требуемого уровня звукового давления.
Способы управления эвакуацией людей:
- световой пожарный оповещатель (световой указатель) с эвакуационным знаком "Выход".
Алгоритм работы системы при получении СОУЭ управляющего сигнала от системы пожарной сигнализации:
- включение звуковых оповещателей и световых пожарных оповещателей (табло).
Расположение оповещателей:
- звуковой оповещатель установить на перекрытии;
- световые указатели "Выход" установить над дверями эвакуационных выходов, ведущих на путь эвакуации, непосредственно наружу или в безопасную зону. Табло расположить на высоте 100 мм от верхнего края дверного проема.
Подключение звуковых и световых пожарных оповещателей выполнить от устройства контроля и управления коммерческого помещения.
Способы прокладки кабеля:
-прокладку кабеля от устройства контроля и управления до пожарных оповещателей выполнить открыто, с креплением к стенам и перекрытиям.
Кабель для СОУЭ предусмотреть не распространяющий горение, огнестойкий типа - FRLS, в составе сертифицированной ОКЛ.
Производитель: согласно вендор листу.</t>
  </si>
  <si>
    <t>8.1.9</t>
  </si>
  <si>
    <t>Система оповещения и управления эвакуацией людей при пожаре. Технический этаж (Рубеж)</t>
  </si>
  <si>
    <t>В техническом этаже (техподполье) проектом предусмотреть систему оповещения и управления эвакуацией (СОУЭ) 2-ого типа. 
Способы оповещения людей о пожаре: 
- звуковой оповещатель пожарной тревоги, воспроизводящий специальный звуковой сигнал (сирену).
Количество звуковых оповещателей определить исходя из требуемого уровня звукового давления.
Способы управления эвакуацией людей:
- световой пожарный оповещатель (световой указатель) с эвакуационным знаком "Выход";
- световой пожарный оповещатель (световой указатель) с указанием направления движения.
Алгоритм работы системы при получении СОУЭ управляющего сигнала от системы пожарной сигнализации:
- разблокировка дверей на путях эвакуации, оснащенных электромагнитными замками системы контроля и управления доступом;
- включение звуковых оповещателей и световых пожарных оповещателей (табло).
Расположение оповещателей:
- звуковой оповещатель установить на перекрытии;
- световые указатели "Выход" установить над дверями эвакуационных выходов, ведущих на путь эвакуации, непосредственно наружу или в безопасную зону. Табло расположить на стене, на высоте 100 мм от верхнего края дверного проема;
- световые указатели направления движения установить в местах поворотов коридоров, а также в коридорах длиной более 20 м на расстоянии не более 10 м друг от друга по длине коридоров.
Оборудование:
- предусмотреть проектом адресные релейные модули, включенные в общую систему пожарной сигнализации здания. Адресные релейные модули с контролем цепи от каждого реле до исполнительных устройств на обрыв и короткое замыкание во включенном и выключенном состоянии реле. Количество уточнить проектом.
Способы прокладки кабеля:
-прокладку и опуски кабеля по техническому этажу до оповещателей выполнить открыто, в гофрированной трубе ПВХ d=20 мм, по негорючему основанию;
Кабель для СОУЭ предусмотреть не распространяющий горение, огнестойкий типа - FRLS, в составе сертифицированной ОКЛ.
Производитель: согласно вендор листу.</t>
  </si>
  <si>
    <t>8.1.10</t>
  </si>
  <si>
    <t>Система оповещения и управления эвакуацией людей при пожаре. Паркинг</t>
  </si>
  <si>
    <r>
      <rPr>
        <sz val="8"/>
        <color rgb="FF000000"/>
        <rFont val="Arial"/>
      </rPr>
      <t xml:space="preserve">В паркинге предусмотреть систему оповещения и управления эвакуацией 3-его типа.
Способы оповещения людей о пожаре:
- речевой пожарный оповещатель, транслирующий специальный речевой сигнал и (или) текст.
Способы управления эвакуацией людей:
- световой пожарный оповещатель (световой указатель) с эвакуационным знаком "Выход".
Оборудование:
- блок речевого оповещения для трансляции предварительно записанной речевой информации;
- предусмотреть проектом адресные релейные модули, включенные в общую систему СПС здания. Адресные релейные модули с контролем цепи от каждого реле до исполнительных устройств на обрыв и короткое замыкание во включенном и выключенном состоянии реле. Количество уточнить проектом.
Алгоритм работы системы при получении СОУЭ управляющего сигнала от системы пожарной сигнализации:
- разблокировка дверей на путях эвакуации, оснащенных электромагнитными замками системы контроля и управления доступом;
- включение речевых оповещателей и световых пожарных оповещателей (табло).
Расположение оповещателей:
- речевые пожарные оповещатели установить на стенах и колоннах паркинга на высоте 150 мм от перекрытия;
- световые указатели "Выход" установить над каждым эвакуационным выходом из паркинга, на высоте 100 мм от верхнего края дверного проема.
</t>
    </r>
    <r>
      <rPr>
        <strike/>
        <sz val="8"/>
        <color rgb="FF000000"/>
        <rFont val="Arial"/>
      </rPr>
      <t xml:space="preserve">
</t>
    </r>
    <r>
      <rPr>
        <sz val="8"/>
        <color rgb="FF000000"/>
        <rFont val="Arial"/>
      </rPr>
      <t>Речевые пожарные оповещатели разместить в соответствии с акустическим расчетом.
Способы прокладки кабеля:
- прокладку кабеля в пространстве паркинга выполнить открыто, гофрированной трубе ПВХ d=20 мм по негорючему основанию. 
Кабель для СОУЭ предусмотреть не распространяющий горение, огнестойкий типа - FRLS, в составе сертифицированной ОКЛ.
Производитель: согласно вендор листу.</t>
    </r>
  </si>
  <si>
    <t>8.1.11</t>
  </si>
  <si>
    <t>Общие требования к документации системы пожарной сигнализации и системы оповещения и управления эвакуацией людей при пожаре</t>
  </si>
  <si>
    <t>Структурные схемы обязательны. Предоставить расчет тока потребления приборов ПС. Для речевого оповещения предоставить акустический расчет. На планах экспликация помещений обязательна. Схемы согласовать дополнительно. Прописать алгоритм принятия решения о пожаре.
Всё оборудование промаркировать (элементам системы пожарной сигнализации и оповещения присвоить адреса) последовательно в соответствии с буквенными обозначениями, принятыми по нормативной документации, а также соответствии с легендой данного проекта. 
Все видимые элементы систем разместить по дизайн-проекту / согласовать с Заказчиком.</t>
  </si>
  <si>
    <t>8.2 Структурированная кабельная система</t>
  </si>
  <si>
    <t xml:space="preserve"> Структурированная кабельная система</t>
  </si>
  <si>
    <t>8.2.1</t>
  </si>
  <si>
    <t>Структурированная кабельная система</t>
  </si>
  <si>
    <r>
      <rPr>
        <sz val="8"/>
        <color rgb="FF000000"/>
        <rFont val="Arial"/>
      </rPr>
      <t xml:space="preserve">В помещении сетей связи предусмотреть шкафы телекоммуникационные магистральные (ШТМ) 19” высотой 42U 600х1000 (шхг). Количество ШТМ определить проектом.
Ввод НСС выполнить оптическим кабелем ОК-НРС G657.A или иным по ТУ оператора связи количеством оптических волокон не менее 8. Кабель НСС завести на оптическую патч-панель ШТМ абонентской части.
Предусмотреть деление СКС на абонентскую и служебную части.
В абонентской части предусмотреть:
- кроссовый шкаф 42U (ШТМ), укомплектованный оптическими кроссами, емкостью не менее количества абонентов в квартале;
- магистральные линии от ШТМ до оптических кроссов в секциях. Магистральные линии выполнить кабелем типа ОК-НРС G657.A емкостью не менее количества абонентов в секции. Для каждой секции предусмотреть самостоятельный магистральный кабель;
- оптические распределительные коробки. Установить в этажной нише межквартирного коридора;
- абонентский дроп кабель от оптической распределительной коробки до каждой квартиры. Дроп-кабель типа ОБК-С нг(A)-HF 1 G.657.A1. Ввод кабеля в квартиру выполнить через дверной проём.
- розетку оптическую абонентскую. Установить в торце входного дверного проема для подключения абонентского терминала, устанавливаемого собственником. Отметка низа оптической розетки соответствует верхнему краю дверного проема;
- розетку электрическую ~220В. Предусмотреть в разделе ЭОМ. 
Для каждого коммерческого помещения предусмотреть установку оптической абонентской розетки без адаптера. Абонентскую розетку установить на стене, на высоте 2,5 м от уровня чистого пола. До абонентской розетки проложить самостоятельный дроп кабель типа ОБК-С нг(A)-HF 1 G.657.A1 от оптической распределительной коробки.
В служебной части предусмотреть:
- отдельный шкаф телекоммуникационный 42U (ШТМ). Для возможности подключения оборудования СБ к сети интернет, предусмотреть оптическую линию связи со шкафом ШТМ абонентской части;
- магистральные линии от ШТМ до оптических кроссов в секционных шкафах выполнить кабелем типа ОК-НРС G657.A, емкостью не менее 2 ОВ. Магистральную линию связи организовать по топологии "кольцо";
- для каждой секции предусмотреть шкаф телекоммуникационный распределительный систем безопасности (ШТРСБ) 19" высотой 15U 600х650 мм для размещения оборудования систем контроля и управления доступом (СКУД), систем видеонаблюдения (СВН), систем объединенной диспетчерской службы (ОДС). В ШТРСБ установить стоечные оптические кроссы (количество уточнить проектом), предусмотреть установку коммутаторов и ИБП систем безопасности.
Способы прокладки кабеля:
- по техническому подполью кабели проложить в металлическом листовом неперфорированном лотке, совместно с кабелями других слаботочных систем (кроме ПС);
- вертикальную стояковую разводку выполнить в этажной нише межквартирного коридора, совместной для сетей ЭЛ и СС.;
- прокладку кабеля от этажной ниши до оптической розетки квартирной выполнить в тяжелой гофрированной трубе ПНД d=25 мм с протяжкой в стяжке пола текущего этажа;
- прокладку кабеля в пространстве коммерческих помещений выполнить открыто, в гофрированной трубе ПВХ d=20 мм, с креплением к стенам и перекрытиям.
</t>
    </r>
    <r>
      <rPr>
        <b/>
        <sz val="8"/>
        <color rgb="FF000000"/>
        <rFont val="Arial"/>
      </rPr>
      <t>Wi-Fi двор:</t>
    </r>
    <r>
      <rPr>
        <sz val="8"/>
        <color rgb="FF000000"/>
        <rFont val="Arial"/>
      </rPr>
      <t xml:space="preserve">
Для двора жилого комплекса устанавливаются уличные беспроводные точки доступа с питанием по PoE DAP-3310/RU/B или аналог. Установка точек доступа Wi-Fi, а также прокладка сетей до них проектом не предусматривается.
Предоставление абонентам услуг телевизионного вещания/ интернет/ телефония предоставляется после заключения договора между абонентом и оператором связи.
Структурные схемы обязательны. Структурные схемы, схему расстановки оборудования и марку оборудования дополнительно согласовать с Заказчиком.</t>
    </r>
    <r>
      <rPr>
        <strike/>
        <sz val="8"/>
        <color rgb="FF000000"/>
        <rFont val="Arial"/>
      </rPr>
      <t xml:space="preserve">
</t>
    </r>
    <r>
      <rPr>
        <sz val="8"/>
        <color rgb="FF000000"/>
        <rFont val="Arial"/>
      </rPr>
      <t>Производитель: согласно вендор листу.</t>
    </r>
  </si>
  <si>
    <t>8.3 Система контроля управления доступом</t>
  </si>
  <si>
    <t xml:space="preserve"> Система контроля управления доступом</t>
  </si>
  <si>
    <t>8.3.1</t>
  </si>
  <si>
    <t>Система контроля и управления доступом</t>
  </si>
  <si>
    <r>
      <rPr>
        <sz val="8"/>
        <color rgb="FF000000"/>
        <rFont val="Arial"/>
      </rPr>
      <t xml:space="preserve">Выполнить в проекте систему контроля и управления доступом (СКУД) на базе IP-видеодомофонии.
Точки прохода: 
- тамбур входных групп с улицы; 
- тамбур входных групп со двора;
- выходы из паркинга в тамбур-шлюзы жилых секций; 
- калитка рампы паркинга; 
- калитка входа на территорию двора; 
- лестничная клетка в техническое подполье со двора/улицы;
- лестничная клетка с жилых этажей в тамбур входной группы (при наличии);
- помещения колясочных;
- помещения велосипедных;
- ворота паркинга открытие/закрытие осуществляется по индивидуальной вызывной панели от дистанционного пульта, установлено в помещении Диспетчерской.
Устройства:
- многоабонентская вызывная видеопанель с функцией распознавания лиц. Установить в тамбурах входных групп со двора/улицы на высоте 1,4 м от уровня чистого пола;
- считыватель бесконтактных карт. Установить на высоте 1,2 м от уровня чистого пола со стороны дверной ручки снаружи контролируемых помещений;
- кнопка выхода встраиваемая бесконтактная. Установить на высоте 0,9 м от уровня чистого пола со стороны дверной ручки внутри контролируемых помещений;
- электромагнитный замок со встроенным датчиком положения якоря;
- извещатель магнитоконтактный. Устанавливается на малой створке двери, не оборудованной электромагнитным замком;
- абонентская аудиотрубка. Устанавливается в прихожей квартиры на высоте 1,5 м.
</t>
    </r>
    <r>
      <rPr>
        <strike/>
        <sz val="8"/>
        <color rgb="FF000000"/>
        <rFont val="Arial"/>
      </rPr>
      <t xml:space="preserve">
</t>
    </r>
    <r>
      <rPr>
        <sz val="8"/>
        <color rgb="FF000000"/>
        <rFont val="Arial"/>
      </rPr>
      <t>Организация системы:
Топология построения системы - "дерево".
Головное оборудование для системы СКУД предусмотреть в комплекте СКС (коммутаторы, оптические кроссы и тд).</t>
    </r>
    <r>
      <rPr>
        <strike/>
        <sz val="8"/>
        <color rgb="FF000000"/>
        <rFont val="Arial"/>
      </rPr>
      <t xml:space="preserve">
</t>
    </r>
    <r>
      <rPr>
        <sz val="8"/>
        <color rgb="FF000000"/>
        <rFont val="Arial"/>
      </rPr>
      <t>В этажной нише межквартирного коридора установить этажный PoE-коммутатор. Количество портов этажного коммутатора принять по максимальному количеству квартир на этаже - 8, в случае большего количества квартир на этаже установить второй этажный коммутатор. Этажные коммутаторы подключить последовательно по интерфейсу Ethernet кабелем типа F/UTP Cat.5e от секционного коммутатора (учтено в СКС), установленного в ШТРСБ.
От этажного коммутатора в каждую квартиру проложить кабель типа F/UTP Cat.5e для подключения абонентской аудиотрубки по технологии PoE (интерфейс + питание).
При пожаре предусмотреть разблокировку электромагнитных замков СКУД по сигналу системы пожарной сигнализации в целях беспрепятственной и безопасной эвакуации.
Способы прокладки кабеля:
- по техническому подполью кабели проложить в металлическом листовом неперфорированном лотке совместно с кабелями других слаботочных систем;
- вертикальную стояковую разводку выполнить в этажной нише межквартирного коридора, совместной для прокладки сетей ЭЛ и СС, с креплением к лестничному лотку;
- от этажной ниши до квартиры кабель проложить в тяжелой гофрированной трубе ПВХ d=25 мм с протяжкой в стяжке текущего этажа по негорючему основанию (отдельно от кабеля СКС);
- к устройствам СКУД, расположенным в МОП 1го этажа, кабель проложить открыто, в гофрированной трубе ПВХ d=20 мм, с креплением к стенам и перекрытиям, в пространстве подвесного/подшивного потолка. Опуски выполнить скрыто, в штрабе стены, в гофрированной трубе ПВХ d=20 мм, либо скрыто, в отделочном слое.
- к устройствам СКУД, расположенным в МОП технического подполья, кабель проложить открыто в гофрированной трубе ПВХ d=20 мм, с креплением к стенам и перекрытиям. Опуски выполнить скрыто, в штрабе стены в гофрированной ПВХ-трубе 20 мм, либо скрыто в отделочном слое.
Структурные схемы обязательны. Согласование с Заказчиком дополнительно. 
Производители: согласно вендор листу.</t>
    </r>
  </si>
  <si>
    <t xml:space="preserve"> Система контроля управления доступом (Въезд - Выезд)</t>
  </si>
  <si>
    <t>8.3.2</t>
  </si>
  <si>
    <t>Организация автомобильного доступа в паркинг</t>
  </si>
  <si>
    <t>Организацию автомобильного доступа в паркинг учесть в разделе системы контроля и управления доступом.
Для организации въезда в паркинг установлена петлевая антенна. При наезде автомобиля на петлю светофор, установленный в паркинге, с зеленого свечения переключается на красный. Водитель предъявляет метку (карточка, брелок, распознавание лица, приложение) для открывания ворот. В случае затруднения въезда водитель может передать сообщение в диспетчерскую с помощью индивидуальной вызывной панели, установленной при въезде на высоте 1,4 м. 
Для организации выезда автомобиля из паркинга установлена петлевая антенна. При наезде автомобиля на петлю светофор на фасаде с зеленого свечения переключается на красный и автоматически открываются ворота. 
Оборудование:
- контроллер токовых петель;
- светофор светодиодный двухсекционный 24В;
- индивидуальная вызывная панель;
- пульт консьержа AM-02.
Кабельная продукция:
- витая пара UTP 4х2;
- провод установочный ПВ-3 1х1,5.
Схему движения, структурную схему, схему расстановки оборудования и марку оборудования дополнительно согласовать с Заказчиком.
Производитель: согласно вендор листу.</t>
  </si>
  <si>
    <t>8.4 Система охранно-тревожной сигнализации</t>
  </si>
  <si>
    <t xml:space="preserve"> Система охранно-тревожной сигнализации (Рубеж)</t>
  </si>
  <si>
    <t>Система охранно-тревожной сигнализации (Рубеж)</t>
  </si>
  <si>
    <t xml:space="preserve">Для сигнализации о несанкционированном доступе физических лиц в инженерные и технические помещения, проектом выполнить адресную систему охранно-тревожной сигнализации (СОТС).
СОТС должна обеспечивать:
- защиту помещений от несанкционированного проникновения;
- выдачу сигнала тревоги в случае несанкционированного проникновения в помещения, находящиеся под охраной;
- непрерывное протоколирование происходящих событий в памяти станции охранной и тревожной сигнализации, на срок не менее 6 месяцев;
- обнаружение отказов элементов системы и информирование о них оператора;
- дистанционный контроль, проверку работоспособности и выявления установки имитатора в линию связи; 
- контроль-протокол действий оператора;
- информирование оператора по несанкционированному вмешательству в работу системы, выхода из строя составных частей системы, нарушению коммуникационных линий.
Режим работы системы СОТС – круглосуточно.
Оборудование и устройства:
- пульт управления СОТС. Разместить в помещении Сетей связи;
- контроллеры доступа/адресные метки. Разместить в пространстве защищаемых помещений;
- считывающие устройства бесконтактных карт для постановки и снятия с охраны. Разместить на высоте 1,2 м от уровня чистого пола со стороны дверной ручки снаружи контролируемого помещения;
- магнитоконтактные извещатели типа ИО 102-20 для блокировки дверных проемов на открывание или смещение. Разместить на каждой дверной створке дверного проема внутри защищаемого помещения;
- источники бесперебойного питания. Емкость уточнить проектом. 
Способы прокладки кабеля: 
- по техническому подполью кабели проложить в металлическом листовом неперфорированном лотке совместно с кабелями других слаботочных систем;
- вертикальную стояковую разводку выполнить в этажной нише межквартирного коридора, совместной для прокладки сетей ЭЛ и СС;
- к устройствам СОТС кабель проложить открыто в гофрированной трубе ПВХ d=20 мм, с креплением к стенам и перекрытиям. 
- опуски в МОП выполнить скрыто, в штрабе стены в гофрированной трубе ПВХ d=20 мм, либо скрыто в отделочном слое.
Структурные схемы обязательны. Структурные схемы, схему расстановки оборудования и марку оборудования дополнительно согласовать с Заказчиком.
Производитель: согласно вендор листу. </t>
  </si>
  <si>
    <t>8.5 Система видеонаблюдения</t>
  </si>
  <si>
    <t xml:space="preserve"> Система видеонаблюдения</t>
  </si>
  <si>
    <t>8.5.1</t>
  </si>
  <si>
    <t>Система видеонаблюдения</t>
  </si>
  <si>
    <t>Для осуществления круглосуточного контроля, фиксации и хранения видеоданных выполнить на объекте систему видеонаблюдения (СВН).
Зоны видеонаблюдения:
- внешний периметр;
- придомовая территория;
- холлы первых этажей;
- колясочные, велосипедные;
- въезд в рампу (при невозможности охватом камер внешнего периметра);
- коридор сетей, зона размещения секционного оборудования;
- лифты (установка камер предусматривается в комплекте поставки лифтового оборудования).
СВН организовать на базе IP-технологии. 
Для входных групп выбрать видеокамеры с встроенной видеоаналитикой с распознаванием посторонних.
Оборудование и устройства:
- цилиндрическая IP-видеокамера для наружной установки. Установить на фасаде, цвет корпуса и защитного кожуха принять в цвет фасада места установки видеокамеры.
- купольная IP-видеокамера для внутренней установки. Установить на перекрытии, либо на подвесном/подшивном потолке.
Система хранения:
- регистратор с жестким диском (локальный сервер в помещение сетей связи) с записью и хранением информации до 14 дней.
Программное обеспечение:
- круглосуточное наблюдение за охраняемыми зонами из помещения диспетчерской (просмотр), а также с мобильных устройств жильцов;
- запись архива только при детекции движения.
Резервное электропитание:
- бесперебойная работа системы в течении 0,5 часа.
- питание камер от PоE - коммутатора, питание PоE - коммутатора и видеорегистратора от источника бесперебойного питания (ИБП). Коммутаторы и ИБП предусмотреть в разделе СКС. 
Структурные схемы, планы расположения оборудования и направления камер обязательны. Схемы согласовать с Заказчиком.
Способы прокладки кабеля:
- к камерам наружной установки - в гофрированной трубе ПВХ d=20 мм под слоем утеплителя;
- к камерам внутренней установки - открыто, в гофрированной трубе ПВХ d=20 мм, с креплением к стенам и перекрытиям, в пространстве подвесного/подшивного потолка;
- по техническому подполью кабели проложить открыто, в металлическом листовом неперфорированном лотке, совместно с кабелями других слаботочных систем, либо открыто, в гофрированной трубе ПВХ d=20 мм, с креплением к стенам и перекрытиям.
Структурные схемы обязательны. Структурные схемы, схему расстановки оборудования и марку оборудования дополнительно согласовать с Заказчиком.
Производитель: согласно вендор листу.</t>
  </si>
  <si>
    <t>8.6 Система автоматизированного учета энергоресурсов (Телеметрия)</t>
  </si>
  <si>
    <t xml:space="preserve"> Система автоматизированного учета энергоресурсов (Телеметрия)</t>
  </si>
  <si>
    <t>8.6.1</t>
  </si>
  <si>
    <t>Система автоматизированного учета энергоресурсов (Телеметрия)</t>
  </si>
  <si>
    <t>Обеспечить сбор показаний со всех приборов учета (ХВС, ГВС, теплоснабжение, электроснабжение) в единую сеть учета энергоресурсов. 
Приборы учета индивидуальные, расположить в нише межквартирного коридора:
- счетчики ХВС/ГВС с импульсными выходами;
- теплосчетчики с импульсными входами для учёта ГВС и ХВС, с интерфейсным выходом RS485;
- счетчик электроэнергии с интерфейсным выходом RS485.
Приборы учета коммерческих помещений:
- счетчики ХВС/ГВС с импульсными выходами. Располагаются в зоне с/у в каждом коммерческом помещении;
- теплосчетчики с импульсными входами для учёта ГВС и ХВС, с интерфейсным выходом RS485, располагаются в зоне с/у в каждом коммерческом помещении;
- счетчики электроэнергии с интерфейсным выходом RS485, расположение прибора учета коммерческого помещения принять согласно проекту ЭОМ.
Приборы учета общедомовые:
- счетчики ХВС/ГВС с импульсными выходами располагаются в помещении узла ввода (насосной). Учет тепла от внешних тепловых сетей выполняется в комплектном шкафу учета УКУТЭ (разрабатывается в смежном разделе проекта, передача данных выполняется по интерфейсу Ethernet)
- счетчики электроэнергии с интерфейсными выходами RS485, располагаются в электрощитовом помещении, в составе вводно-распределительных устройств или соответствующих шкафов учета.
Оборудование:
- шкаф системы сбора информации (ШССИ);
- cервер телеметрии;
- коммутатор (учтен в СКС);
- преобразователь интерфейса RS485 - Ethernet;
- счетчик импульсов-регистратор.
Всё головное оборудование расположить в помещении Сетей связи.
Способы прокладки кабеля:
- вертикальную стояковую разводку счетчиков ХВС/ГВС, теплосчетчиков выполнить в нише межквартирного коридора;
- вертикальную стояковую разводку электросчетчиков выполнить в нише для совместной прокладки сетей ЭЛ и СС в межквартирном коридоре;
- кабель по техническому подполью проложить в металлическом листовом неперфорированном лотке, совместно с кабелями других слаботочных систем.
Структурные схемы обязательны. Структурные схемы, схему расстановки оборудования и марку оборудования дополнительно согласовать с Заказчиком.
Производитель: согласно вендор листу.</t>
  </si>
  <si>
    <t>8.7 Система объединенной диспетчерской службы</t>
  </si>
  <si>
    <t xml:space="preserve"> Система объединенной диспетчерской службы</t>
  </si>
  <si>
    <t>8.7.1</t>
  </si>
  <si>
    <t>Объединенная диспетчерская служба</t>
  </si>
  <si>
    <t>Предусмотреть многоуровневую систему диспетчеризации и управления работой инженерных систем здания с АРМ диспетчера. 
На АРМ должно быть установлено специализированное ПО, позволяющее: 
 - выводить на экран монитора работу оборудования в виде мнемосхем и графиков;
 - менять уставки и параметры работы оборудования;
 - включать/переключать работу насосов,вентиляторов и т. д.;
 - получать тревожные сообщения о нештатных ситуациях;
 - осуществлять сбор и обработку данных автоматизированной систему учета энергоресурсов;
 - контроль работы систем безопасности.
Контроль работоспособности и управление основными параметрами следующего оборудования:
 - ИТП;
 - насосных станций хозяйственно-питьевого водоснабжения;
 - вентиляционных установок;
Контроль работоспособности:
 - лифтов;
 - уровня воды в дренажных приямках;
 - работы дренажной насосной станции;
 - датчиков СО в парковке.
Окончательный состав инженерных систем для диспетчеризации согласовать с Заказчиком.
Для диспетчеризации лифтов в помещении Сетей связи предусматривается устройство связи квартальной группы лифтов с диспетчерским пунктом по каналам связи Ethernet.
Диспетчеризация лифтов предусматривается по выделенной линии со статическим IP адресом. Точка подключения - пульт диспетчерской связи согласно техническим условиям на подключение.
Объединить лифты здания в систему диспетчеризации «ОБЬ».
В лифтовых шахтах каждой секции устанавливается лифтовой блок, который обеспечивает:
 - двухстороннюю переговорную связь; 
 - звуковую сигнализацию о вызове диспетчера на связь;
 - сигнализацию об открытии дверей шахты при отсутствии кабины на этаже;
 - сигнализацию об открытии шкафов управления;
 - сигнализацию о срабатывании цепи безопасности лифта;
 - идентификацию поступающей сигнализации;
 - обеспечение связи для лифтов, предназначенных для перевозки пожарных подразделений.
Щиты управления:
 - лифтовой блок
 - станция управления лифтом (входит в комплект поставки)
 - комплект системы связи лифтов (крыши кабинов лифтов, приямков, этажной площадки)
 - модуль переговорной связи кабины лифта
Оборудование (в составе СКС): оптический кросс, коммутаторы секционные.
Оборудование: 
- устройство связи удаленной группы с диспетчерским пунктом по каналу связи Ethernet; 
- ШССИ ОДС. 
Раздел ОДС должен включать в себя в себя:
- кабельные линии диспетчеризации до шкафов автоматики ОВ;
- кабельные линии диспетчеризации до шкафов автоматики ИТП.
Оборудование контроля загазованности:
- датчики СО. Устанавливаются равномерно по площади паркинга из расчёта 1 датчик на 200м2, высота установки h=1,5м от пола. Блок контроля газоанализаторов для мониторинга и релейный блок располагается в Электрощитовой паркинга. По сигналу "Загазованность 1" обеспечить тревожный сигнал диспетчеру; "Загазованность 2" - запуск общеобменной вентиляции в паркинге.
Прокладка кабеля:
- вертикальную стояковую разводку выполнить в шахте лифта открыто по стальной проволоке;
- кабель по подвалу и паркингу проложить под потолком в общем лотке, совместно с кабелями других систем.
Кабель:
- кабель диспетчеризации: витая пара F/UTP cat 5e 4х2х0,5;
- кабель до газоанализаторов: КСВВнг(А)-LS 2х2х1,13.
Прокладка кабеля:
- кабель в пространстве паркинга проложить в гофрированной трубе ПВХ d=20 мм с креплением к стенам и перекрытиям.
Структурные схемы обязательны. Структурные схемы, схему расстановки оборудования и марку оборудования дополнительно согласовать с Заказчиком.
Производитель: согласно вендор листу.</t>
  </si>
  <si>
    <t>9. Подъемное оборудование</t>
  </si>
  <si>
    <t>9.1 Лифты</t>
  </si>
  <si>
    <t xml:space="preserve"> Устройство лифтов для шахты 2400х2500 мм</t>
  </si>
  <si>
    <t>9.1.1</t>
  </si>
  <si>
    <t>При наличии паркинга предусмотреть опускание лифтов в технический этаж (подвал).
Панель управления расположить в нише ЭЛ/СС на последнем жилом этаже, при отсутствии места в нише на техническом этаже(чердаке).</t>
  </si>
  <si>
    <t>9.1.1.1</t>
  </si>
  <si>
    <t>Лифт 4-12 остановок Г/П - 1600 кг.</t>
  </si>
  <si>
    <t>KOYO без машинного помещения
Скорость 1.0 м/с
Грузоподъемность 1600 кг 
Габариты шахты: 2400х2500 мм
Габариты кабины: (ШхГхВ) 1600х2100х2800 мм
Глубина приямка: 1300 мм
Высота шахты (последнего этажа): минимальная высота 4600 мм
Габариты лифтового портала: 1200х2315 мм от ур. чистого пола
Ширина проема и простенков лифтового портала: 500/1200/700 мм</t>
  </si>
  <si>
    <t>9.1.1.2</t>
  </si>
  <si>
    <t>Лифт 12-26 остановок Г/П - 1600 кг.</t>
  </si>
  <si>
    <t>KOYO без машинного помещения
Скорость 1.75 м/с
Грузоподъемность 1600 кг 
Габариты шахты: 2400х2500 мм
Габариты кабины: (ШхГхВ) 1600х2100х2800 мм
Глубина приямка: 1400 мм
Высота шахты (последнего этажа): минимальная высота 4850 м
Габариты лифтового портала: 1200х2315 мм от ур. чистого пола
Ширина проема и простенков лифтового портала: 500/1200/700 мм</t>
  </si>
  <si>
    <t>10. Интерьеры</t>
  </si>
  <si>
    <t>11. Наружные сети</t>
  </si>
  <si>
    <t>11.0</t>
  </si>
  <si>
    <t>Разработать документацию наружных сетей в границах земельного участка от узла ввода здания до точки подключения к существующим или перспективным внутриквартальным сетям в соответствии с градостроительным планом земельного участка, заданием на проектирование, градостроительным регламентом, документами об использовании земельного участка для строительства, техническими регламентами, в том числе устанавливающими требования по обеспечению безопасной эксплуатации зданий, строений, сооружений и безопасного использования прилегающих к ним территорий, и с соблюдением технических условий.
Прокладку наружных инженерных сетей выполнить с учетом расположения элементов благоустройства, исключить расположение колодцев на стыках покрытий.</t>
  </si>
  <si>
    <t>11.1 Водоснабжение</t>
  </si>
  <si>
    <t>11.1.1</t>
  </si>
  <si>
    <t>Полив от емкостей установленных в отапливаемом техническом помещении (водомерном узле). Емкости из полиэтилена, оборудованы датчиками уровня воды. Заполнение емкостей предусмотреть в ночное время. 
Полив из емкостей осуществляется с помощью повысительного насоса. Свободный напор в капельном поливе террасы должен быть 30м. Объем емкостей рассчитать с запасом 1 день и максимальным расходом до 0,9 л/с.
Подключение магистрали предусмотреть от общедомового узла учета.
Автополив предусмотрен:
- Роторный или статический полив предусмотреть от дождевателей.
- Капельный полив предусмотреть для кустарниковых растений, вода подается к корням растений.
- Для деревьев предусмотреть капельный полив и аэрация.
- Ручной полив предусмотреть от боксов с кранами, установленными через каждые 25 м благоустройства.
- Для кустарниковых растений на террасе предусмотреть капельный полив. 
В каждой зоне полива установлены датчики влажность почвы. Датчик устанавливают вертикально на глубине 0,15м на участке с
наибольшим солнечным освещением, при корневом поливе - в корневой зоне на глубине приблизительно 0,4см.
Опорожнение трубопровода летнего полива предусмотреть с помощью компрессора. Электрокабель от контроллера до клапанов, датчиков влажности почвы проложить в траншее в гофротрубе.
Контроллер для задания программы на полив участка, управляет открытием и закрытием электромагнитных клапанов. Контроллер монтируется в техническом помещении. 
В период атмосферных осадков за счет использования датчика дождя происходит отключение системы автополива, либо координация кратности и литража. Датчик влажности почвы позволяет контролировать влажность и фиксировать показатели, при которых автополив автоматически выключается.</t>
  </si>
  <si>
    <t>11.2 Водоотведение</t>
  </si>
  <si>
    <t>11.3 Тепловые сети</t>
  </si>
  <si>
    <t>11.3.1</t>
  </si>
  <si>
    <t>Выдержать минимальные нормативное расстояния между смежными наружными инженерными сетями и фундаментами зданий и сооружений.
Прокладку тепловой сети предусмотреть с использованием непроходных каналов.
Разместить элементы ТС таким образом, чтобы не нарушать благоустройство (тепловые камеры и колодцы не должны попадать на стык покрытий).</t>
  </si>
  <si>
    <t>11.4 Электроснабжение</t>
  </si>
  <si>
    <t>11.4.1</t>
  </si>
  <si>
    <t>Систему наружного освещения объекта запроектировать в соответствии с действующими нормами, выполнить по проекту ландшафта.
Предусмотреть возможность подключения щита управления архитектурным освещением объекта. Предусмотреть для этого необходимый резерв электрической мощности.</t>
  </si>
  <si>
    <t>11.5 Сети связи</t>
  </si>
  <si>
    <t>11.5.1</t>
  </si>
  <si>
    <t>Наружные сети связи:
Объединить каждый жилой дом в единую сеть передачи данных и телефонии посредством волоконно-оптической линии связи (ВОЛС).
Для кабельной канализации сетей связи предусмотреть толстостенную полиэтиленовую трубу d=110мм, кабельные колодцы ККСр-2 вводы в здания герметизировать. 
Ввод волоконно - оптического кабеля провайдера в одной из 2х труб ПНДd110мм.
Кабель к помещению сетей связи (единый кабель с системой видеонаблюдения), прокладывается в одной из 2х труб ПНДd110мм.</t>
  </si>
  <si>
    <t>1. Для обмена файлами используются облачные сервисы Autodesk BIM360 или передается Проектировщиком Заказчику посредством загрузки на сервер Заказчика. По согласованию сторон возможны иные способы передачи Документации Проектировщиком Заказчику в электронном виде (на цифровом носителе и т.д.).
2. Для обмена файлами в процессе работы используются форматы RVT, DWG и PDF.
3. DWG и PDF формат сохраняется в единый альбом по каждому разделу.
4. Планы этажей выполнять с учетом геодезических координат секций объекта. Не допускается выполнение планов различных секций с одними координатами. Геодезический 0 принять в месте пересечения осей 1, А.
5. Все файлы, включая семейства и библиотеки BIM модели, выработанные в процессе разработки проекта передаются Заказчику в полном объеме, как в оригинальном формате.</t>
  </si>
  <si>
    <t>5. Толщины линий:
- Вспомогательные линии (не печатаемый слой) 
- Штриховка 
- Тонкая 
- Таблицы (кроме текста) 
- Толстая 
- Армирование и т.п. (то, что требуется выделить) 
- Обозначение земли и т.п. 
- Здание на Генплане</t>
  </si>
  <si>
    <r>
      <rPr>
        <b/>
        <sz val="10"/>
        <color theme="1"/>
        <rFont val="Arial"/>
      </rPr>
      <t xml:space="preserve">Техническое задание на концепцию архитектуры и планировок </t>
    </r>
    <r>
      <rPr>
        <b/>
        <sz val="10"/>
        <color rgb="FFFF0000"/>
        <rFont val="Arial"/>
      </rPr>
      <t>НХБ01, НХБ02, НХБ03</t>
    </r>
  </si>
  <si>
    <t>Екатеринбург</t>
  </si>
  <si>
    <t xml:space="preserve">                    </t>
  </si>
  <si>
    <r>
      <rPr>
        <b/>
        <sz val="10"/>
        <color theme="1"/>
        <rFont val="Arial"/>
      </rPr>
      <t>Приложение № 2</t>
    </r>
    <r>
      <rPr>
        <sz val="10"/>
        <color theme="1"/>
        <rFont val="Arial"/>
      </rPr>
      <t xml:space="preserve">
к Договору подряда на выполнение проектных работ 
</t>
    </r>
    <r>
      <rPr>
        <sz val="10"/>
        <color rgb="FFFF0000"/>
        <rFont val="Arial"/>
      </rPr>
      <t>№ ________ от __.__.202_г.</t>
    </r>
  </si>
  <si>
    <r>
      <rPr>
        <sz val="8"/>
        <color theme="1"/>
        <rFont val="Arial"/>
      </rPr>
      <t>Объект:</t>
    </r>
    <r>
      <rPr>
        <sz val="8"/>
        <color rgb="FFB6D7A8"/>
        <rFont val="Arial"/>
      </rPr>
      <t xml:space="preserve"> </t>
    </r>
    <r>
      <rPr>
        <sz val="8"/>
        <color rgb="FFFF0000"/>
        <rFont val="Arial"/>
      </rPr>
      <t>«Наименование объекта»</t>
    </r>
  </si>
  <si>
    <r>
      <rPr>
        <sz val="8"/>
        <color rgb="FF000000"/>
        <rFont val="Arial"/>
      </rPr>
      <t xml:space="preserve">Договор </t>
    </r>
    <r>
      <rPr>
        <sz val="8"/>
        <color rgb="FFFF0000"/>
        <rFont val="Arial"/>
      </rPr>
      <t>№ ________ от __.__.202_г.</t>
    </r>
  </si>
  <si>
    <r>
      <rPr>
        <sz val="8"/>
        <color theme="1"/>
        <rFont val="Arial"/>
      </rPr>
      <t xml:space="preserve">Площадь участка ___ га
</t>
    </r>
    <r>
      <rPr>
        <b/>
        <sz val="8"/>
        <color theme="1"/>
        <rFont val="Arial"/>
      </rPr>
      <t>Этажность:</t>
    </r>
    <r>
      <rPr>
        <sz val="8"/>
        <color theme="1"/>
        <rFont val="Arial"/>
      </rPr>
      <t xml:space="preserve"> 
надземная часть ___ и ___ эт.;
подземная часть ___ эт.;
Площадь жилого здания (дома) _______ м²;
Общая продаваемая площадь _______ м²;
</t>
    </r>
    <r>
      <rPr>
        <b/>
        <sz val="8"/>
        <color theme="1"/>
        <rFont val="Arial"/>
      </rPr>
      <t xml:space="preserve">Продаваемая площадь:
</t>
    </r>
    <r>
      <rPr>
        <sz val="8"/>
        <color theme="1"/>
        <rFont val="Arial"/>
      </rPr>
      <t xml:space="preserve">Жилая часть _______ м²;
Коммерческие помещения ______ м²;
Автостоянка ________ м²;
Кладовые ________ м²;
</t>
    </r>
    <r>
      <rPr>
        <b/>
        <sz val="8"/>
        <color theme="1"/>
        <rFont val="Arial"/>
      </rPr>
      <t xml:space="preserve">Общая площадь:
</t>
    </r>
    <r>
      <rPr>
        <sz val="8"/>
        <color theme="1"/>
        <rFont val="Arial"/>
      </rPr>
      <t xml:space="preserve">Жилая часть _______ м²;
Коммерческие помещения ______ м²;
Автостоянка ________ м²;
Кладовые ________ м²;
Технические и вспомогательные помещения ________ м²;
</t>
    </r>
    <r>
      <rPr>
        <b/>
        <sz val="8"/>
        <color theme="1"/>
        <rFont val="Arial"/>
      </rPr>
      <t>Количество:</t>
    </r>
    <r>
      <rPr>
        <sz val="8"/>
        <color theme="1"/>
        <rFont val="Arial"/>
      </rPr>
      <t xml:space="preserve">
Квартир ____ шт.;
Парковочных мест ____ шт.;
Кладовых ____ шт.;
</t>
    </r>
    <r>
      <rPr>
        <i/>
        <sz val="8"/>
        <color theme="1"/>
        <rFont val="Arial"/>
      </rPr>
      <t>* Площадь указана ориентировочно и должна быть дополнительно согласована с Заказчиком в процессе проектирования.</t>
    </r>
  </si>
  <si>
    <r>
      <rPr>
        <sz val="8"/>
        <color rgb="FF000000"/>
        <rFont val="Arial"/>
      </rPr>
      <t xml:space="preserve">- Детальный проект (эскизный проект);
- ГПЗУ;
- Технические отчеты по выполненным инженерным изысканиям;
- Технические условия на присоединение к сетям инженерно-технического обеспечения;
- Задание на проектирование;
- Строительное задание на лифты;
</t>
    </r>
    <r>
      <rPr>
        <i/>
        <sz val="8"/>
        <color rgb="FF000000"/>
        <rFont val="Arial"/>
      </rPr>
      <t>Примечание: исходно-разрешительная документация для проектирования предоставляется Заказчиком в объеме необходимом для проектирования, установленном ст. 44-51 Градостроительного кодекса РФ.</t>
    </r>
  </si>
  <si>
    <r>
      <rPr>
        <sz val="8"/>
        <color rgb="FF000000"/>
        <rFont val="Arial"/>
      </rPr>
      <t>Проектировщик</t>
    </r>
    <r>
      <rPr>
        <sz val="8"/>
        <color rgb="FFFF0000"/>
        <rFont val="Arial"/>
      </rPr>
      <t xml:space="preserve">
ООО «Наименование»</t>
    </r>
  </si>
  <si>
    <r>
      <rPr>
        <b/>
        <sz val="8"/>
        <color theme="1"/>
        <rFont val="Arial"/>
      </rPr>
      <t>Этап 1. Проектное сопровождение:</t>
    </r>
    <r>
      <rPr>
        <sz val="8"/>
        <color theme="1"/>
        <rFont val="Arial"/>
      </rPr>
      <t xml:space="preserve">
- Проверка Концепции, разрабатываемой Автором-архитектором, на соответствие федеральным и местным строительным и законодательным правилам, нормам, стандартам и техническим регламентам с передачей в письменной и устной форме аннотаций / комментариев на чертежах применительно к Объекту для их учета в Концепции проекта;
- Предоставление рекомендаций по конструктивным схемам, решениям;
- Консультирование по другим вопросам, связанным с реализацией Проекта, включая транспортно-логистическое обеспечение, вертикальный транспорт, мусороудаление, технологические, санитарные и иные требования; 
- Расчет необходимого количества машиномест на территории Объекта с учетом местных норм и расчетных показателей; 
- Подготовка заключения с обоснованием необходимости разработки Специальных технических условий (СТУ), Расчет по оценке пожарного риска (РПР), иных экспертных заключений; 
- Подготовка технических обоснований и расчетов, необходимые для подачи в соответствующие уполномоченные организации с целью получения технических условий (ТУ) на присоединение к инженерным сетям;
- Подготовка Технического задания на инженерные изыскания в объеме, необходимом для реализации проекта.</t>
    </r>
  </si>
  <si>
    <r>
      <rPr>
        <b/>
        <sz val="8"/>
        <color theme="1"/>
        <rFont val="Arial"/>
      </rPr>
      <t>Этап 2. Стадия "Проектная документация":</t>
    </r>
    <r>
      <rPr>
        <sz val="8"/>
        <color theme="1"/>
        <rFont val="Arial"/>
      </rPr>
      <t xml:space="preserve">
- Разработка Проектной документации осуществляется Проектировщиком на основании предоставленных Заказчиком: 
Перечня исходных данных и материалов (Приложение №6);
Задания на проектирование (Приложение №1, 2), с применением BIM-моделирования согласно BIM стандарт организации (Приложение №8).
- Утверждение BIM модели с BIM-менеджментом Заказчика
Экспертиза проекта:
- Проектная документация должна соответствовать требованиям Постановления Правительства РФ №87 от 16.02.2008г. «О составе разделов проектной документации и требованиях к их содержанию» с действующими на дату исполнения договора с экспертизой изменениями и дополнениями и требованиям, изложенным в Приложении №3 </t>
    </r>
  </si>
  <si>
    <r>
      <rPr>
        <b/>
        <sz val="8"/>
        <color theme="1"/>
        <rFont val="Arial"/>
      </rPr>
      <t>Этап 3. Стадия Рабочая документация:</t>
    </r>
    <r>
      <rPr>
        <sz val="8"/>
        <color theme="1"/>
        <rFont val="Arial"/>
      </rPr>
      <t xml:space="preserve">
- Разработка альбомов РД согласно Перечня основных разделов документации ПД/РД
(Приложение №7) и Календарного плана работ (Приложение №4);
Задания на проектирование (Приложение №1, 2), с применением BIM-моделирования согласно BIM стандарт организации (Приложение №8).
- Утверждение BIM модели с BIM-менеджментом Заказчика</t>
    </r>
  </si>
  <si>
    <t>МФ</t>
  </si>
  <si>
    <t>ФГ</t>
  </si>
  <si>
    <t xml:space="preserve">Особенности </t>
  </si>
  <si>
    <t>Стадия</t>
  </si>
  <si>
    <t>Регион</t>
  </si>
  <si>
    <t>Паркинг</t>
  </si>
  <si>
    <t>Изменяемая часть</t>
  </si>
  <si>
    <t>Нагрузки</t>
  </si>
  <si>
    <t>Дополнительное оборудование паркинг</t>
  </si>
  <si>
    <t>АР</t>
  </si>
  <si>
    <t>Фасад</t>
  </si>
  <si>
    <t>Кровля</t>
  </si>
  <si>
    <t>КР</t>
  </si>
  <si>
    <t>Армирование</t>
  </si>
  <si>
    <t>Армирование паркинга</t>
  </si>
  <si>
    <t>Балкон
Регион/ отделка фасада</t>
  </si>
  <si>
    <t>Балкон конструктив</t>
  </si>
  <si>
    <t>Площадка межэтажная</t>
  </si>
  <si>
    <t>Марш</t>
  </si>
  <si>
    <t>Стены ЛЛУ</t>
  </si>
  <si>
    <t>Стены -1 этаж</t>
  </si>
  <si>
    <t>ВИС</t>
  </si>
  <si>
    <t>Электроснабжение
Магистраль:  
кабель/ шинопровод</t>
  </si>
  <si>
    <t>Разводка</t>
  </si>
  <si>
    <t>Префаб сети</t>
  </si>
  <si>
    <t>Резерв</t>
  </si>
  <si>
    <t>-</t>
  </si>
  <si>
    <t>CP</t>
  </si>
  <si>
    <t>Общие требования к объемно - планировочным решениям для регионов (паркинг в один уровень)</t>
  </si>
  <si>
    <r>
      <rPr>
        <b/>
        <sz val="8"/>
        <color theme="1"/>
        <rFont val="Arial"/>
      </rPr>
      <t xml:space="preserve">Жилая часть
</t>
    </r>
    <r>
      <rPr>
        <sz val="8"/>
        <color theme="1"/>
        <rFont val="Arial"/>
      </rPr>
      <t>Количество и типология квартир – согласно утвержденной Заказчиком квартирографии (Альбом Концепции, Детальный проект).
Высота подвала - 3,67 м от уровня фундаментной плиты пола до верха вышерасположенного перекрытия;
Высота первого этажа - 4,2 м от верха перекрытия до верха вышерасположенного перекрытия;
Высота типового этажа - 3,0 м от верха перекрытия до верха вышерасположенного перекрытия;
Высота последнего жилого этажа - 3,02 м от верха перекрытия до верха вышерасположенного перекрытия;</t>
    </r>
  </si>
  <si>
    <t>Жилая часть</t>
  </si>
  <si>
    <t>Один уровень</t>
  </si>
  <si>
    <r>
      <rPr>
        <b/>
        <sz val="8"/>
        <color theme="1"/>
        <rFont val="Arial"/>
      </rPr>
      <t xml:space="preserve">Жилая часть
</t>
    </r>
    <r>
      <rPr>
        <sz val="8"/>
        <color theme="1"/>
        <rFont val="Arial"/>
      </rPr>
      <t>Количество и типология квартир – согласно утвержденной Заказчиком квартирографии (Альбом Концепции, Детальный проект).
Высота подвала - 3,67 м от уровня фундаментной плиты пола до верха вышерасположенного перекрытия;
Высота первого этажа - 4,2 м от верха перекрытия до верха вышерасположенного перекрытия;
Высота типового этажа - 3,0 м от верха перекрытия до верха вышерасположенного перекрытия;
Высота последнего жилого этажа - 3,02 м от верха перекрытия до верха вышерасположенного перекрытия;</t>
    </r>
  </si>
  <si>
    <t>Два уровня</t>
  </si>
  <si>
    <r>
      <rPr>
        <b/>
        <sz val="8"/>
        <color theme="1"/>
        <rFont val="Arial"/>
      </rPr>
      <t xml:space="preserve">Технический этаж с неэксплуатируемой кровлей на Секциях до 28 метров, Урбан-виллах, Секциях до 50 метров, Башнях до 50 метров, Секциях до 75 метров, Башнях до 75 метров, Башнях до 100 метров включает в себя: </t>
    </r>
    <r>
      <rPr>
        <sz val="8"/>
        <color theme="1"/>
        <rFont val="Arial"/>
      </rPr>
      <t xml:space="preserve">
- техническое пространство (чердак, этаж), венткамеру;
- высоту этажа 2550 мм (от верха плиты перекрытия верхнего этажа до верха плиты покрытия тех.этажа);
- общую вытяжную шахту, высотой 1175 мм (от верха плиты покрытия тех.этажа до низа плиты покрытия общей вытяжной шахты);
- выходы на кровлю из технического пространства, лестничной клетки и венткамеры.
</t>
    </r>
    <r>
      <rPr>
        <b/>
        <sz val="8"/>
        <color theme="1"/>
        <rFont val="Arial"/>
      </rPr>
      <t xml:space="preserve">Технический этаж с эксплуатируемой кровлей на Секциях до 28 метров, Урбан-виллах, Секциях до 50 метров, Башнях до 50 метров, Секциях до 75 метров, Башнях до 75 метров включает в себя: </t>
    </r>
    <r>
      <rPr>
        <sz val="8"/>
        <color theme="1"/>
        <rFont val="Arial"/>
      </rPr>
      <t xml:space="preserve">
- техническое пространство (чердак, этаж), венткамеру, жилые надстройки с выходами на кровлю;
- высоту этажа 3020 мм (от верха плиты перекрытия верхнего этажа до верха плиты покрытия тех.этажа);
- общую вытяжную шахту, высотой 1175 мм (от верха плиты покрытия тех.этажа до низа плиты покрытия общей вытяжной шахты);
- выходы на кровлю из технического пространства и венткамеры.</t>
    </r>
  </si>
  <si>
    <t>Технические помещения</t>
  </si>
  <si>
    <t>Екатеринбург, Тюмень, Омск, Курган, Новосибирск, Сургут</t>
  </si>
  <si>
    <t>Принципы организации технического этажа на кровле в Москве</t>
  </si>
  <si>
    <r>
      <rPr>
        <b/>
        <sz val="8"/>
        <color theme="1"/>
        <rFont val="Arial"/>
      </rPr>
      <t xml:space="preserve">На Секциях до 28 метров, Урбан-виллах, Секциях до 50 метров, Башнях до 50 метров, Секциях до 75 метров, Башнях до 75 метров предусмотреть: </t>
    </r>
    <r>
      <rPr>
        <sz val="8"/>
        <color theme="1"/>
        <rFont val="Arial"/>
      </rPr>
      <t xml:space="preserve">
- техническое пространство (чердак, этаж) высотой 2070 мм (от верха плиты перекрытия верхнего этажа до верха плиты покрытия тех.этажа) для прокладки инженерных сетей;
- венткамеру высотой 2550 мм (от верха плиты перекрытия верхнего этажа до верха плиты покрытия тех.этажа) для размещения оборудования;
- выходы на кровлю из технического пространства, лестничной клетки и венткамеры.
</t>
    </r>
    <r>
      <rPr>
        <b/>
        <sz val="8"/>
        <color theme="1"/>
        <rFont val="Arial"/>
      </rPr>
      <t xml:space="preserve">На Башнях до 100 метров предусмотреть: </t>
    </r>
    <r>
      <rPr>
        <sz val="8"/>
        <color theme="1"/>
        <rFont val="Arial"/>
      </rPr>
      <t xml:space="preserve">
- техническое пространство (чердак, этаж) и венткамеры высотой 2550 мм (от верха плиты перекрытия верхнего этажа до верха плиты покрытия тех.этажа);
- выходы на кровлю из технического пространства и венткамер.</t>
    </r>
  </si>
  <si>
    <t>Москва</t>
  </si>
  <si>
    <t>Автостоянка один уровень</t>
  </si>
  <si>
    <r>
      <rPr>
        <sz val="8"/>
        <color rgb="FF000000"/>
        <rFont val="Arial"/>
      </rPr>
      <t xml:space="preserve">Автостоянку одноуровневую разместить под двором жилого дома, сделать закрытой, неотапливаемой.
Не допускается включение въездной рампы, в площадь автостоянки. 
Минимальный размер парковочных мест принять 2,5 х 5,3м в соответствии с приказом Федеральной службы государственной регистрации, кадастра и карторографии РФ 
от 23 июля 2021 г. N п/0316 "Об установлении минимально допустимых размеров машино-места". Предусмотреть частичное использование пространства под зданием для увеличения общей площади автостоянки, при условии отсутствия жилых помещений над автостоянкой. 
Выполнить монтаж инженерных сетей максимально близко к перекрытию автостоянки. 
Светильники разместить так, чтобы не было пересечений с другими сетями и выполнить их расстановку согласно дизайн проекту.
Высота автостоянки от верха пола автостоянки до низа плиты покрытия - 2.7 м.
Высота до капители - 2,45 метра
Высота до трасс инженерных систем - не менее 2,2 метра
Высота от пола рампы до низа выступающих конструкций - не менее 2,2 метра
</t>
    </r>
    <r>
      <rPr>
        <b/>
        <sz val="8"/>
        <color rgb="FF000000"/>
        <rFont val="Arial"/>
      </rPr>
      <t xml:space="preserve">
</t>
    </r>
    <r>
      <rPr>
        <sz val="8"/>
        <color rgb="FF000000"/>
        <rFont val="Arial"/>
      </rPr>
      <t>Ширина проезда - 5,0 метров</t>
    </r>
  </si>
  <si>
    <r>
      <rPr>
        <sz val="8"/>
        <color rgb="FF000000"/>
        <rFont val="Arial"/>
      </rPr>
      <t xml:space="preserve">Автостоянку двухуровневую разместить -1 этаж под двором жилого дома, 1 этаж во дворе жилого дома. Сделать закрытой, неотапливаемой. 
Не допускается включение въездной рампы, в площадь автостоянки. 
Минимальный размер парковочных мест принять 2,5 х 5,3м в соответствии с приказом Федеральной службы государственной регистрации, кадастра и картографии РФ от 23 июля 2021 г. N п/0316 "Об установлении минимально допустимых размеров машино-места". 
Предусмотреть частичное использование пространства под зданием для увеличения общей площади автостоянки, при условии отсутствия жилых помещений над автостоянкой. 
Выполнить монтаж инженерных сетей максимально близко к перекрытию автостоянки. 
Светильники разместить так, чтобы не было пересечений с другими сетями и выполнить их расстановку согласно дизайн проекту.
Высота автостоянки 1 этажа от верха перекрытия до верха плиты покрытия - 3.320 м.
Высота автостоянки -1 этаж от уровня фундаментной плиты пола до верха вышерасположенного перекрытия - 3.800 м.
Высота до капители 1 этажа - 3,35 метра
Высота до капители -1 этажа - 2,82 метра
Высота до трасс инженерных систем 1 этажа - не менее 3,1 метра
Высота до трасс инженерных систем - 1 этажа - не менее 2,57 метра
Высота от пола рампы до низа выступающих конструкций - не менее 3,1 метра
Высота от пола рампы до низа выступающих конструкций - не менее 2,57 метра
</t>
    </r>
    <r>
      <rPr>
        <b/>
        <sz val="8"/>
        <color rgb="FF000000"/>
        <rFont val="Arial"/>
      </rPr>
      <t xml:space="preserve">
</t>
    </r>
    <r>
      <rPr>
        <sz val="8"/>
        <color rgb="FF000000"/>
        <rFont val="Arial"/>
      </rPr>
      <t>Ширина проезда - 5,0 метров</t>
    </r>
  </si>
  <si>
    <r>
      <rPr>
        <sz val="8"/>
        <color rgb="FF000000"/>
        <rFont val="Arial"/>
      </rPr>
      <t xml:space="preserve">• </t>
    </r>
    <r>
      <rPr>
        <b/>
        <sz val="8"/>
        <color rgb="FF000000"/>
        <rFont val="Arial"/>
      </rPr>
      <t>Офис УК</t>
    </r>
    <r>
      <rPr>
        <sz val="8"/>
        <color rgb="FF000000"/>
        <rFont val="Arial"/>
      </rPr>
      <t xml:space="preserve"> - размещать в первом доме, I очереди строительства, на 1 этаже, вход с улицы, с организацией отдельного служебного входа со спуском на -1 этаж смежный с офисом УК.
Обслуживает 210 тыс.м2 жилой площади (в радиусе обслуживания до 3 км).
• </t>
    </r>
    <r>
      <rPr>
        <b/>
        <sz val="8"/>
        <color rgb="FF000000"/>
        <rFont val="Arial"/>
      </rPr>
      <t>Мастерская сантехников и электриков</t>
    </r>
    <r>
      <rPr>
        <sz val="8"/>
        <color rgb="FF000000"/>
        <rFont val="Arial"/>
      </rPr>
      <t xml:space="preserve"> - размещать на -1 этаже.
Обслуживает 210 тыс.м2 жилой площади (в радиусе обслуживания до 3 км).
• </t>
    </r>
    <r>
      <rPr>
        <b/>
        <sz val="8"/>
        <color rgb="FF000000"/>
        <rFont val="Arial"/>
      </rPr>
      <t>Служба безопасности</t>
    </r>
    <r>
      <rPr>
        <sz val="8"/>
        <color rgb="FF000000"/>
        <rFont val="Arial"/>
      </rPr>
      <t xml:space="preserve"> - предпочтительно размещать на -1 этаже (при невозможности на 1 этаже).
Обслуживает 210 тыс.м2 жилой площади (в радиусе обслуживания до 3 км).
</t>
    </r>
    <r>
      <rPr>
        <b/>
        <sz val="8"/>
        <color rgb="FF000000"/>
        <rFont val="Arial"/>
      </rPr>
      <t>Клининговая служба</t>
    </r>
    <r>
      <rPr>
        <sz val="8"/>
        <color rgb="FF000000"/>
        <rFont val="Arial"/>
      </rPr>
      <t xml:space="preserve"> (размещать в каждом доме на -1 этаже):
• Помещение дворника.
• Комната уборочного инвентаря общедомовое, основное.
• Комната уборочного инвентаря секционное, вспомогательное.
• Помещение обслуживание паркинга.
• Комната отдыха с гардеробом (в каждом доме, где нет зоны отдыха на -1 этаже, все дома кроме первого.</t>
    </r>
  </si>
  <si>
    <t>УК</t>
  </si>
  <si>
    <r>
      <rPr>
        <sz val="8"/>
        <color rgb="FF000000"/>
        <rFont val="Arial"/>
      </rPr>
      <t xml:space="preserve">Наименование помещений принять в соответствии с </t>
    </r>
    <r>
      <rPr>
        <sz val="8"/>
        <color rgb="FF000000"/>
        <rFont val="Arial"/>
      </rPr>
      <t>Приложением №8 BIM стандарт организации (категория, назначение помещений)</t>
    </r>
    <r>
      <rPr>
        <sz val="8"/>
        <color rgb="FF000000"/>
        <rFont val="Arial"/>
      </rPr>
      <t>.</t>
    </r>
  </si>
  <si>
    <t>1.10</t>
  </si>
  <si>
    <t>Доп. функции автостоянки</t>
  </si>
  <si>
    <t>- Учесть резерв нагрузок для перспективного подключения зарядных станций электроавтомобилей в автостоянке (установка станций осуществляется собственником парковочных мест).
Зарезервировать мощность электроэнергии для 10% от общего количества м.мест для возможности установки собственником зарядной станции с расчетной мощностью 3,7 кВт, 
- Помещение КУИ,
- Подкачка колес, 
- Пылесос,
- Вода для бачка омывателя,
- Деревья (по согласованию с руководителем проекта).</t>
  </si>
  <si>
    <t>Релиз 3/2024</t>
  </si>
  <si>
    <t>Да</t>
  </si>
  <si>
    <t>Предусмотреть возможность скрытой прокладки проводки к м.местам для возможности устройства зарядной станции.
Зарезервировать мощность электроэнергии для 5% от общего количества м.мест для возможности установки собственником зарядной станции.
Общественные зарядные станции расчетной мощностью 11 кВт.
Индивидуальные для жильца зарядные станции расчетной мощностью 3,7 кВт.</t>
  </si>
  <si>
    <r>
      <rPr>
        <sz val="8"/>
        <color rgb="FF000000"/>
        <rFont val="Arial"/>
      </rPr>
      <t>Разработать техническое задание на выполнение мокапа - модель в натуральную величину.</t>
    </r>
    <r>
      <rPr>
        <sz val="8"/>
        <color rgb="FF000000"/>
        <rFont val="Arial"/>
      </rPr>
      <t xml:space="preserve">
</t>
    </r>
    <r>
      <rPr>
        <sz val="8"/>
        <color rgb="FF000000"/>
        <rFont val="Arial"/>
      </rPr>
      <t xml:space="preserve">Специально изготовленный полноразмерный образец элемента будущей конструкции (фасада, витража, ландшафта, интерьера) созданный чтобы непосредственно на строительной площадке оценить качество работ, эстетику и композицию различных материалов.
Разработать в объеме отдельного раздела рабочей документации, достаточном для ведения строительно монтажных работ и заказа материалов).
</t>
    </r>
    <r>
      <rPr>
        <sz val="8"/>
        <color rgb="FF000000"/>
        <rFont val="Arial"/>
      </rPr>
      <t xml:space="preserve">
</t>
    </r>
    <r>
      <rPr>
        <sz val="8"/>
        <color rgb="FF000000"/>
        <rFont val="Arial"/>
      </rPr>
      <t xml:space="preserve">Альбом, техническое задание на выполнение мокапа необходимо предоставить Заказчику, руководителю проекта до выдачи основного альбома рабочей документации, для определения Заказчиком на ранних стадиях разработки проекта необходимой информацию о техническом решении и, если потребуется, ― внести корректировки без значительных затрат. </t>
    </r>
    <r>
      <rPr>
        <sz val="8"/>
        <color rgb="FF000000"/>
        <rFont val="Arial"/>
      </rPr>
      <t xml:space="preserve">
</t>
    </r>
    <r>
      <rPr>
        <sz val="8"/>
        <color rgb="FF000000"/>
        <rFont val="Arial"/>
      </rPr>
      <t>Так, на основе полноразмерного образца можно подобрать тип</t>
    </r>
    <r>
      <rPr>
        <sz val="8"/>
        <color rgb="FF000000"/>
        <rFont val="Arial"/>
      </rPr>
      <t xml:space="preserve"> </t>
    </r>
    <r>
      <rPr>
        <sz val="8"/>
        <color rgb="FF000000"/>
        <rFont val="Arial"/>
      </rPr>
      <t>используемых материалов и узлов, сделать расчетные схемы</t>
    </r>
    <r>
      <rPr>
        <sz val="8"/>
        <color rgb="FF000000"/>
        <rFont val="Arial"/>
      </rPr>
      <t xml:space="preserve"> </t>
    </r>
    <r>
      <rPr>
        <sz val="8"/>
        <color rgb="FF000000"/>
        <rFont val="Arial"/>
      </rPr>
      <t>применения фасадной системы. 
Можно протестировать на мокапе сложные элементы и убедиться в том, что конкретные решения могут быть реализованы в реальном масштабе, в соответствии с техническими и эстетическими требованиями.</t>
    </r>
    <r>
      <rPr>
        <sz val="8"/>
        <color rgb="FF000000"/>
        <rFont val="Arial"/>
      </rPr>
      <t xml:space="preserve">
</t>
    </r>
    <r>
      <rPr>
        <sz val="8"/>
        <color rgb="FF000000"/>
        <rFont val="Arial"/>
      </rPr>
      <t>Таким образом тестируются разные подрядчики, разработчики: мы можем сравнить качество и внешний вид тех или иных материалов, сборку внутри системы, и выбираем в зависимости от экономики проекта и архитектуры.</t>
    </r>
  </si>
  <si>
    <r>
      <rPr>
        <b/>
        <sz val="8"/>
        <color rgb="FF000000"/>
        <rFont val="Arial"/>
      </rPr>
      <t xml:space="preserve">ТЗ на концепцию включает в себя:
</t>
    </r>
    <r>
      <rPr>
        <sz val="8"/>
        <color rgb="FF000000"/>
        <rFont val="Arial"/>
      </rPr>
      <t xml:space="preserve">Мокап отдельностоящий размер: 6,9х7,2hх2,5, выполнить четыри модуля фасада:
- на первом этаже входная группа коммерческие помещения
- на первом этаже с витражным остеклением
- на втором этаже типовой этаж с балконом
- на втором этаже с типовым окном объекта
На мокапе необходимо протестировать основные значимые узлы и необходимые варианты отделочных материалов, выкрасы штукатурки, кладки кирпича и других основных отделочных вариантов, по альбому коллекции.
С внутренней стороны мокапа предусмотреть лестницу для доступа на второй этаж.
Состав альбома Задания на Мокап:
1. Конструктивные чертежи несущих конструкций (перекрытие-пилоны-лестница на 2 ярус)
2. Аксонометрия
3. Фасад с раскладкой навесного материала и маркировкой узлов
4. Сечения
5. Необходимые узлы
</t>
    </r>
    <r>
      <rPr>
        <b/>
        <sz val="8"/>
        <color rgb="FF000000"/>
        <rFont val="Arial"/>
      </rPr>
      <t>ТЗ на РД дополнительно включает в себя данные узлы:</t>
    </r>
    <r>
      <rPr>
        <sz val="8"/>
        <color rgb="FF000000"/>
        <rFont val="Arial"/>
      </rPr>
      <t xml:space="preserve">
Узлы:
- Цокольный
- Префаб балкон
- Откосы 
- Отливы
- Ограждение префаб балкона
- Ограждение окон (при наличии)
- Приточная решетка вентиляции коммерческих помещений
- Дверная ручка
- Подсветка входной группы
- Навесной вентилируемый фасад первого этажа
- Маркизы (при наличии)
- Фактуры штукатурного фасада
- Корзина кондиционера</t>
    </r>
  </si>
  <si>
    <t>Соседский центр</t>
  </si>
  <si>
    <r>
      <rPr>
        <sz val="8"/>
        <color rgb="FF000000"/>
        <rFont val="Arial"/>
      </rPr>
      <t xml:space="preserve">- Плитка бетонная - 80 мм
</t>
    </r>
    <r>
      <rPr>
        <sz val="8"/>
        <color rgb="FFFF0000"/>
        <rFont val="Arial"/>
      </rPr>
      <t>Вид ... Размер ... Цвет ... Производитель</t>
    </r>
    <r>
      <rPr>
        <sz val="8"/>
        <color rgb="FF000000"/>
        <rFont val="Arial"/>
      </rPr>
      <t xml:space="preserve">
- Песок строительный фракции 1,5-3,0 мм с послойным трамбованием, ГОСТ 8736-2014 - 50 мм
- Геотекстиль нетканый иглопробивной 300 г/м2
- Щебень фракции 40-70 мм М800 (80%)с расклинцовкой щебнем фракции 10-20 мм М800 (20%), ГОСТ 8267-93 - 300 мм
- Песок строительный фракции 1,5-3,0 мм с послойным трамбованием, ГОСТ 8736-2014 - 100 мм
- Геотекстиль нетканый иглопробивной 300 г/м2
- Грунт основания уплотненный 1,65 т/м3, с коэффициентом уплотнения 0,95</t>
    </r>
  </si>
  <si>
    <r>
      <rPr>
        <sz val="8"/>
        <color rgb="FF000000"/>
        <rFont val="Arial"/>
      </rPr>
      <t xml:space="preserve">- Смесь резиновая финишная - 15 мм
</t>
    </r>
    <r>
      <rPr>
        <sz val="8"/>
        <color rgb="FFFF0000"/>
        <rFont val="Arial"/>
      </rPr>
      <t>Тип ... Фракция... Цвет ... Производитель</t>
    </r>
    <r>
      <rPr>
        <sz val="8"/>
        <color rgb="FF000000"/>
        <rFont val="Arial"/>
      </rPr>
      <t xml:space="preserve">
- Смесь асфальтобетонная мелкозернистая марка 2 - 50 мм
- Щебень фракции 20-40 мм М800 (по способу пропитки эмульсией битумной ЭБК-2, плотность 1050 кг/м3), ГОСТ 8267-93 - 150 мм
- Песок строительный 1,5-3,0 мм с послойным трамбованием, ГОСТ 8736-2014 - 100 мм 
- Геотекстиль нетканый иглопробивной 300 г/м2
- Грунт основания уплотненный 1,65 т/м3, с коэффициентом уплотнения 0,95</t>
    </r>
  </si>
  <si>
    <r>
      <rPr>
        <sz val="8"/>
        <color rgb="FF000000"/>
        <rFont val="Arial"/>
      </rPr>
      <t xml:space="preserve">- Смесь резиновая финишная - 20 мм
</t>
    </r>
    <r>
      <rPr>
        <sz val="8"/>
        <color rgb="FFFF0000"/>
        <rFont val="Arial"/>
      </rPr>
      <t>Тип ... Фракция... Цвет ... Производитель</t>
    </r>
    <r>
      <rPr>
        <sz val="8"/>
        <color rgb="FF000000"/>
        <rFont val="Arial"/>
      </rPr>
      <t xml:space="preserve">
- Смесь резиновая базовая - 20 мм
- Сетка армирующая базальтовая 50 кН/м ячейка 25х25 мм - 2 мм
- Мат из вспененного полиэтилена амортизирующий - 40 мм 
- Отсев гранитный фракции 2,0-5 мм с послойным трамбованием, ГОСТ 8267-93 - 100 мм 
- Щебень фракции 40-70 мм М800 (80%)с расклинцовкой щебнем фракции 10-20 мм М800 (20%), ГОСТ 8267-93 - 400 мм
- Песок строительный 1,5-3,0 мм с послойным трамбованием, ГОСТ 8736-2014 - 100 мм 
- Геотекстиль нетканый иглопробивной 300 г/м2
- Грунт основания уплотненный 1,65 т/м3, с коэффициентом уплотнения 0,95</t>
    </r>
  </si>
  <si>
    <r>
      <rPr>
        <sz val="8"/>
        <color rgb="FF000000"/>
        <rFont val="Arial"/>
      </rPr>
      <t xml:space="preserve">- Плитка бетонная - 80 мм
</t>
    </r>
    <r>
      <rPr>
        <sz val="8"/>
        <color rgb="FFFF0000"/>
        <rFont val="Arial"/>
      </rPr>
      <t>Вид ... Размер ... Цвет ... Производитель</t>
    </r>
    <r>
      <rPr>
        <sz val="8"/>
        <color rgb="FF000000"/>
        <rFont val="Arial"/>
      </rPr>
      <t xml:space="preserve">
- Песок строительный фракции 1,5-3,0 мм с послойным трамбованием, ГОСТ 8736-2014 - 50 мм
- Геотекстиль нетканый иглопробивной 300 г/м2
- Щебень фракции 20-40 мм М800 с послойным трамбованием, ГОСТ 8267-93 - 200-570 мм 
- Слои кровли АР</t>
    </r>
  </si>
  <si>
    <r>
      <rPr>
        <sz val="8"/>
        <color rgb="FF000000"/>
        <rFont val="Arial"/>
      </rPr>
      <t xml:space="preserve">- Смесь резиновая финишная - 15 мм
</t>
    </r>
    <r>
      <rPr>
        <sz val="8"/>
        <color rgb="FFFF0000"/>
        <rFont val="Arial"/>
      </rPr>
      <t>Тип ... Фракция... Цвет ... Производитель</t>
    </r>
    <r>
      <rPr>
        <sz val="8"/>
        <color rgb="FF000000"/>
        <rFont val="Arial"/>
      </rPr>
      <t xml:space="preserve">
- Смесь асфальтобетонная мелкозернистая марка 2 - 50 мм
- Щебень фракции 20-40 мм М800 (по способу пропитки эмульсией битумной ЭБК-2, плотность 1050 кг/м3), ГОСТ 8267-93 - 50 мм
- Щебень фракции 20-40 мм М800 с послойным трамбованием, ГОСТ 8267-93 - 585 мм
- Слои кровли АР</t>
    </r>
  </si>
  <si>
    <r>
      <rPr>
        <sz val="8"/>
        <color rgb="FF000000"/>
        <rFont val="Arial"/>
      </rPr>
      <t xml:space="preserve">- Камень жидкий из гранитного заполнителя фракции 2,0-5 мм - 50 мм
</t>
    </r>
    <r>
      <rPr>
        <sz val="8"/>
        <color rgb="FFFF0000"/>
        <rFont val="Arial"/>
      </rPr>
      <t>Фракция... Тип... Производитель</t>
    </r>
    <r>
      <rPr>
        <sz val="8"/>
        <color rgb="FF000000"/>
        <rFont val="Arial"/>
      </rPr>
      <t xml:space="preserve">
- Сетка армирующая базальтовая 50 кН/м ячейка 50х50 мм - 2 мм
- Отсев гранитный фракции 2,0-5 мм с послойным трамбованием, ГОСТ 8267-93 - 50 мм
- Щебень фракции 20-40 мм М800 с послойным трамбованием, ГОСТ 8267-93 - 600 мм 
- Слои кровли АР</t>
    </r>
  </si>
  <si>
    <r>
      <rPr>
        <sz val="8"/>
        <color rgb="FF000000"/>
        <rFont val="Arial"/>
      </rPr>
      <t xml:space="preserve">- Смесь резиновая финишная - 20 мм
</t>
    </r>
    <r>
      <rPr>
        <sz val="8"/>
        <color rgb="FFFF0000"/>
        <rFont val="Arial"/>
      </rPr>
      <t>Тип ... Фракция... Цвет ... Производитель</t>
    </r>
    <r>
      <rPr>
        <sz val="8"/>
        <color rgb="FF000000"/>
        <rFont val="Arial"/>
      </rPr>
      <t xml:space="preserve">
- Смесь резиновая базовая - 20 мм
- Сетка армирующая базальтовая 50 кН/м ячейка 25х25 мм - 2 мм
- Мат из вспененного полиэтилена амортизирующий - 40 мм
- Отсев гранитный фракции 2,0-5 мм с послойным трамбованием, ГОСТ 8267-93 - 100 мм
- Щебень фракции 20-40 мм М800 с послойным трамбованием, ГОСТ 8267-93 - 520 мм
- Слои кровли АР</t>
    </r>
  </si>
  <si>
    <r>
      <rPr>
        <sz val="8"/>
        <color rgb="FF000000"/>
        <rFont val="Arial"/>
      </rPr>
      <t>- Элементы поддержания биоразнообразия должны быть включены в проект.
- Проект должен предусматривать локальные мероприятия: 
 кормушки для птиц (EVA SOLO Арт. 571032)
 синичники 
 отели для насекомых (Megapolis Арт. 1345) 
и отдельную площадку под зону естественного биоразнообразия (ЗЕР) в парковой зоне;</t>
    </r>
    <r>
      <rPr>
        <b/>
        <sz val="8"/>
        <color rgb="FFFF0000"/>
        <rFont val="Arial"/>
      </rPr>
      <t xml:space="preserve">
</t>
    </r>
    <r>
      <rPr>
        <sz val="8"/>
        <color rgb="FF000000"/>
        <rFont val="Arial"/>
      </rPr>
      <t xml:space="preserve">
- Обустройство ремиз определяется видовым разнообразием животных, которое планируется охранять или поддерживать на территории парков;
- В пределах ЗЕР должен быть сведен к минимуму фактор беспокойства со стороны человека и домашних животных. Внутри ЗЕР не должно быть дорожек и тропинок;
- Лесные сообщества следует формировать с многоярусной структурой, рекомендуется включать древесные растения различной высоты, куртины кустарников, открытые луговые участки;
- Необходимо создать дополнительные укрытия. Укрытиями могут служить пни, камни, лежащие стволы деревьев, кучи веток, густая трава;
- Для расширения кормовой базы необходимо использовать ягодниковые растения: рябину, черемуху, шиповник и т.д. На открытых участках, следует предусмотреть возможность выращивания рудеральных растений (например, горец птичий);
- ЗЕР и ремизы должны обязательно иметь собственную буферную зону вокруг их границ и другими элементами благоустройства. Густая живая изгородь в буферной зоне препятствует свободному проходу людей и собак.</t>
    </r>
  </si>
  <si>
    <t>С28, С50, С75</t>
  </si>
  <si>
    <t>С28</t>
  </si>
  <si>
    <t xml:space="preserve"> Зонирование верхнего этажа и кровли с жилыми надстройками в секциях до 28 метров класс С</t>
  </si>
  <si>
    <t>C</t>
  </si>
  <si>
    <t>3.0.6</t>
  </si>
  <si>
    <t>1. На схемах показаны варианты зонирования верхнего этажа секций и возможные для них варианты размещения жилых надстроек на кровле - слитно / раздельно / раздельно со сдвижкой.
2. Вариант размещения жилых надстроек на кровле определяется, исходя из объемной композиции фасада квартала.
3. Зонирование верхнего этажа применимо только для квартир с жилыми надстройками на кровле секции.
4. Количество вариантов зонирования верхнего этажа в секциях:
EW6 - 4 варианта 
EW8 - 1 вариант
NS8 - 1 вариант
CN 5/8 - 2 варианта
CS 5/8 - 2 варианта
CN 7/8 - 3 варианта
CS 7/8 - 3 варианта
CN 5/10 - 2 варианта 
CN 7/10 - 3 варианта
5. Количество вариантов зонирования кровли с жилыми надстройками:
EW6 - 8 вариантов 
EW8 - 4 варианта
NS8 - 4 варианта
CN 5/8 - 4 варианта
CS 5/8 - 4 варианта
CN 7/8 - 6 вариантов
CS 7/8 - 6 вариантов
CN 5/10 - 4 варианта 
CN 7/10 - 6 вариантов</t>
  </si>
  <si>
    <r>
      <rPr>
        <b/>
        <sz val="8"/>
        <color theme="1"/>
        <rFont val="Arial"/>
      </rPr>
      <t xml:space="preserve">Для первых этажей: </t>
    </r>
    <r>
      <rPr>
        <sz val="8"/>
        <color theme="1"/>
        <rFont val="Arial"/>
      </rPr>
      <t xml:space="preserve">
Установка наружных блоков на летних помещениях (террасах). 
</t>
    </r>
    <r>
      <rPr>
        <b/>
        <sz val="8"/>
        <color theme="1"/>
        <rFont val="Arial"/>
      </rPr>
      <t xml:space="preserve">Для типовых этажей: </t>
    </r>
    <r>
      <rPr>
        <sz val="8"/>
        <color theme="1"/>
        <rFont val="Arial"/>
      </rPr>
      <t xml:space="preserve">
Установка наружных блоков на летних помещениях (балконах, лоджиях).
Количество наружных блоков принять равными количеству летних помещений.
</t>
    </r>
    <r>
      <rPr>
        <b/>
        <sz val="8"/>
        <color theme="1"/>
        <rFont val="Arial"/>
      </rPr>
      <t xml:space="preserve">Для последних жилых этажей: </t>
    </r>
    <r>
      <rPr>
        <sz val="8"/>
        <color theme="1"/>
        <rFont val="Arial"/>
      </rPr>
      <t xml:space="preserve">
Установка наружных блоков на летних помещениях (балконах, лоджиях, террасах). 
В студиях и квартирах с одной спальней предусмотреть кондиционирование только одного помещения - гостиной.
В квартирах с двумя спальнями и более предусмотреть кондиционирование двух помещений - гостиной и мастер-спальни.
Подключение внешнего блока кондиционера выполняется только с правой стороны внешнего блока. Внешний блок кондиционера располагать в декоративной корзине, разработанной и предоставленной застройщиком.</t>
    </r>
  </si>
  <si>
    <t xml:space="preserve"> Зонирование 1 этажа. Кварталы без башен</t>
  </si>
  <si>
    <t>Квартал без башен</t>
  </si>
  <si>
    <t>3.0.12</t>
  </si>
  <si>
    <t>Над машино-местами и техническими помещениями в подвале (техподполье) всегда следует размещать коммерческие помещения.</t>
  </si>
  <si>
    <t xml:space="preserve"> Паркинг в 1 уровнь. Закрытые кварталы без башен</t>
  </si>
  <si>
    <t>3.0.13</t>
  </si>
  <si>
    <t>1. Принцип формирования модуля определен конструктивным шагом несущих конструкций.
2. Стандартные модули равны стандартным конструктивным шагам, нестандартные модули являются доборными.
3. Вариативность сборки модулей осуществляется кратно конструктивным шагам.
4. Места хранения предусмотрены в габаритах машино-места.
В местах для хранения нельзя хранить ЛВЖ, ГЖ, авторезину, горючие вещества и материалы, а также негорючие вещества в сгораемой упаковке.
5. Предусмотрена 1 въездная рампа в 1 уровень с основным уклоном 18% и вспомогательными 10% и 13%.
6. Высота паркинга от уровня чистого пола до низа плиты перекрытия составляет 2680 мм.
7. Высота проезда по рампе в паркинг составляет 2200 мм.
8. Предусмотрен деформационный шов в случае длины паркинга более 40 м.</t>
  </si>
  <si>
    <t xml:space="preserve"> Паркинг в 2 уровня. Закрытые кварталы с 1 башней</t>
  </si>
  <si>
    <t>Закрытый квартал с 1 башней</t>
  </si>
  <si>
    <t>3.0.14</t>
  </si>
  <si>
    <t>1. Места хранения предусмотрены в габаритах машино-места.
В местах для хранения нельзя хранить ЛВЖ, ГЖ, авторезину, горючие вещества и материалы, а также негорючие вещества в сгораемой упаковке.
2. Предусмотрены въезды:
- 1 въездная рампа в -1 уровень с основным уклоном 18% и вспомогательными 10% и 13%;
- 1 наземный въезд в +1 уровень;
- 1 рампа во двор для проезда пожарной машины.
3. Высота паркинга -1 уровня от чистого пола до низа плиты перекрытия составляет 3580 мм.
Обеспечивается проезд для грузового автомобиля высотой до 3000 мм.
4. Высота паркинга +1 уровня от чистого пола до низа плиты перекрытия составляет 3050 мм.
5. Высота проезда по рампе в паркинг составляет 2200 мм.
6. Предусмотрен деформационный шов в случае длины паркинга более 40 м</t>
  </si>
  <si>
    <t xml:space="preserve"> Паркинг в 2 уровня. Закрытые кварталы с 2 башнями</t>
  </si>
  <si>
    <t>Закрытый квартал с 2 башнями</t>
  </si>
  <si>
    <t>3.0.15</t>
  </si>
  <si>
    <t>1. Места хранения предусмотрены в габаритах машино-места.
В местах для хранения нельзя хранить ЛВЖ, ГЖ, авторезину, горючие вещества и материалы, а также негорючие вещества в сгораемой упаковке.
2. Предусмотрены въезды:
- 1 въездная рампа в -1 уровень с основным уклоном 18% и вспомогательными 10% и 13%;
- 1 наземный въезд в +1 уровень;
- 1 рампа во двор для проезда пожарной машины.
3. Высота паркинга -1 уровня от чистого пола до низа плиты перекрытия составляет 3580 мм.
Обеспечивается проезд для грузового автомобиля высотой до 3000 мм.
4. Высота паркинга +1 уровня от чистого пола до низа плиты перекрытия составляет 3050 мм.
5. Высота проезда по рампе в паркинг составляет 2200 мм.
6. Предусмотрен деформационный шов в случае длины паркинга более 40 м.</t>
  </si>
  <si>
    <t>МОП 1 этаж</t>
  </si>
  <si>
    <t>НВФ</t>
  </si>
  <si>
    <t>СФТК</t>
  </si>
  <si>
    <r>
      <rPr>
        <sz val="8"/>
        <color rgb="FF000000"/>
        <rFont val="Arial"/>
      </rPr>
      <t>Размеры оконных проемов в керамическом блоке в пределах типового этажа (3 метра):
- 965; 1060; 1360; 1550; 1740; 1930; 2310; 2690 мм х 1865 мм (h) 
- 965; 1360; 1550; 1740; 1930; 2310; 2690 мм х 2095 мм (h) 
- 965; 1360; 1550; 1740; 1930; 2310; 2690 мм х 2565 мм (h)
Приточный подоконный клапан предусмотреть для проемов размером:
- 2690 мм х 1865 мм (h) 
Не предусматривать приточные клапана для проемов размером:
- 2690 мм х 2095 мм (h) 
- 2690 мм х 2565 мм (h)
Для всех остальных проемов предусмотреть стеновой угловой клапан.
Расстановку радиаторов, приточных вентиляционных клапанов, кондиционеров предусмотреть согласно решения "</t>
    </r>
    <r>
      <rPr>
        <sz val="8"/>
        <color rgb="FF1155CC"/>
        <rFont val="Arial"/>
      </rPr>
      <t>Принцип размещения радиаторов, приточных вентиляционных клапанов, кондиционеров</t>
    </r>
    <r>
      <rPr>
        <sz val="8"/>
        <color rgb="FF000000"/>
        <rFont val="Arial"/>
      </rPr>
      <t>".</t>
    </r>
  </si>
  <si>
    <r>
      <rPr>
        <b/>
        <sz val="9"/>
        <rFont val="Arial"/>
      </rPr>
      <t xml:space="preserve"> Матрица оконных ПВХ-конструкций. Жилье. Типовой этаж</t>
    </r>
  </si>
  <si>
    <r>
      <rPr>
        <sz val="8"/>
        <color rgb="FF000000"/>
        <rFont val="Arial"/>
      </rPr>
      <t xml:space="preserve">Стены:
- Наружные: 250 мм из керамического блока 10,7(10,5)НФ
- Внутренние: 250 мм из керамического блока 10,7(10,5)НФ
Перегородки:
- МОП - квартиры: 120 мм 6,9(6,74)НФ из керамического блока с обшивкой из гипсокартонных листов в два слоя с заполнением минераловатными плитам. Общая толщина конструкции 475 мм.
- Межквартирная (между двумя квартирами) - 120 мм 6,9(6,74)НФ из керамического блока с обшивкой из гипсокартонных листов в два слоя - воздуховоды двух смежных квартир - 120 мм 6,9(6,74)НФ из керамического блока с обшивкой из гипсокартонных листов в два слоя. Общая толщина конструкции 670 мм.
- Межквартирные: 250 мм из керамического блока 10,7(10,5)НФ
- Межкомнатные: 125 мм из ГКЛ
- Межкомнатные по пилонам: 280 мм из ГКЛ или 125 мм (для класса С)
- Санузлов: 125 мм из ГКЛВ
Перегородки из ГКЛ: опирание на конструкции чернового пола (стяжку).
Перегородки кладовых: 120 мм 6,9(6,74)НФ из керамического блока высотой 2500мм под расшивку, потолок - металлическая сетка в раме из уголка 50х5мм.
Облицовка ниш стояков канализации в МОП и кухне (учитывать размещение ревизии кухонного стояка канализации для устройства лючка), стальных вентканалов - гипсокартонная облицовка.
</t>
    </r>
    <r>
      <rPr>
        <b/>
        <sz val="8"/>
        <color rgb="FF000000"/>
        <rFont val="Arial"/>
      </rPr>
      <t>Особенные, уникальные квартиры</t>
    </r>
    <r>
      <rPr>
        <sz val="8"/>
        <color rgb="FF000000"/>
        <rFont val="Arial"/>
      </rPr>
      <t>: В двухуровневых квартирах, квартирах с отдельным входом и квартирах с надстройкой на последних этажах, коммерческих помещениях не выполнять перегородки из гипсокартона и облицовку ниш стояков (зонирование помещений в документации показать пунктирной линией). Предусмотреть разметку на полу, для обозначения контура мокрых зон (для Москвы, Московской области, Тюмени предусмотреть выкладку контура мокрых зон из керамического блока толщиной 120мм высотой в 1 ряд).
Производителя перегородок согласовать с Заказчиком.
Перемычки: 
- Железобетонные брусковые - для дверных проемов
- Полистиролбетонные - для оконных проёмов
- Арматурные - для прохода отверстий инженерных сетей
Плита покрытия вытяжной шахты:
- Общая вытяжная шахта: 120 мм (с уклоном не менее 1,5%) из монолитного железобетона B25 F150 W4.</t>
    </r>
  </si>
  <si>
    <t>B, A</t>
  </si>
  <si>
    <t>Перегородка из ГКЛ Knauf 125 мм</t>
  </si>
  <si>
    <t xml:space="preserve">Гипсокартонная перегородка 125 мм Knauf С112, на стоечном профиле ПС75 с зашивкой с двух сторон гипсовыми строительными плитами толщиной 12,5 мм в два слоя с заполнением минераловатными плитами 50 мм плотностью 30-50 кг/м3 </t>
  </si>
  <si>
    <t xml:space="preserve"> Устройство штукатурного фасада Екатеринбург</t>
  </si>
  <si>
    <r>
      <rPr>
        <sz val="8"/>
        <rFont val="Arial"/>
      </rPr>
      <t xml:space="preserve">Система фасадная теплоизоляционная композиционная (СФТК).
Материалы отделки фасада: 
</t>
    </r>
    <r>
      <rPr>
        <sz val="8"/>
        <color rgb="FF93C47D"/>
        <rFont val="Arial"/>
      </rPr>
      <t>декоративный слой штукатурки ...... (по каталогу .....)
декоративный слой штукатурки ...... (по каталогу .....)
декоративный слой штукатурки ...... (по каталогу .....)
декоративный слой штукатурки ...... (по каталогу .....)</t>
    </r>
    <r>
      <rPr>
        <sz val="8"/>
        <rFont val="Arial"/>
      </rPr>
      <t xml:space="preserve">
Материалы отделки фасада первых этажей: 
Система фасадная теплоизоляционная композиционная (СФТК). 
</t>
    </r>
    <r>
      <rPr>
        <sz val="8"/>
        <color rgb="FF93C47D"/>
        <rFont val="Arial"/>
      </rPr>
      <t>декоративный слой штукатурки ...... (по каталогу .....)</t>
    </r>
    <r>
      <rPr>
        <sz val="8"/>
        <color rgb="FFFF0000"/>
        <rFont val="Arial"/>
      </rPr>
      <t xml:space="preserve">
</t>
    </r>
    <r>
      <rPr>
        <sz val="8"/>
        <rFont val="Arial"/>
      </rPr>
      <t>В качестве теплоизоляционного слоя применять однослойные плиты из минеральной (каменной) ваты на синтетическом связующем.
Толщина утеплителя:
- Основная плоскость СФТК - 150 мм
- Массинг +50 мм - общая толщина 200 мм
- Массинг +80 мм - общая толщина 230 мм
- Массинг +100 мм - общая толщина 250 мм
- Массинг -20 мм - общая толщина 130 мм
- Подшивка горизонтальных элементов: 
 Рампа/арка - 250 мм,
 Ниша заглубленная/подрезка, нижняя плоскость балкон/эркер - 200 мм. 
- Тамбур:
 Стены - толщина по фасаду
 Потолок - 200 мм
- Стены между автостоянкой и подвалом - 100 мм</t>
    </r>
    <r>
      <rPr>
        <sz val="8"/>
        <color rgb="FFFF0000"/>
        <rFont val="Arial"/>
      </rPr>
      <t xml:space="preserve">
</t>
    </r>
    <r>
      <rPr>
        <sz val="8"/>
        <rFont val="Arial"/>
      </rPr>
      <t>- Деформационный шов - 50 мм
- Парапет - 100 мм
- Подбор толщины и количество слоев утеплителя осуществить согласно решения "</t>
    </r>
    <r>
      <rPr>
        <sz val="8"/>
        <color rgb="FF1155CC"/>
        <rFont val="Arial"/>
      </rPr>
      <t>Правила подбора толщины теплоизоляционного слоя</t>
    </r>
    <r>
      <rPr>
        <sz val="8"/>
        <rFont val="Arial"/>
      </rPr>
      <t>"
- Подшивка потолка арки и рампы Аквапанелью в один уровень, отделка в соответствии с концепцией
Толщину теплоизоляционного слоя (подтвердить расчётом).
Не выполнять архитектурное уменьшение толщины утеплителя на величину более 20 мм от основной толщины утеплителя в зоне расположения пилона и оконного проема.
Не выполнять горизонтальные участки СФТК шириной более 50 мм без дополнительной защиты в виде отлива.</t>
    </r>
  </si>
  <si>
    <t xml:space="preserve"> Устройство штукатурного фасада Москва</t>
  </si>
  <si>
    <r>
      <rPr>
        <sz val="8"/>
        <rFont val="Arial"/>
      </rPr>
      <t xml:space="preserve">Система фасадная теплоизоляционная композиционная (СФТК).
Материалы отделки фасада: 
</t>
    </r>
    <r>
      <rPr>
        <sz val="8"/>
        <color rgb="FF93C47D"/>
        <rFont val="Arial"/>
      </rPr>
      <t>декоративный слой штукатурки ...... (по каталогу .....)
декоративный слой штукатурки ...... (по каталогу .....)
декоративный слой штукатурки ...... (по каталогу .....)
декоративный слой штукатурки ...... (по каталогу .....)</t>
    </r>
    <r>
      <rPr>
        <sz val="8"/>
        <rFont val="Arial"/>
      </rPr>
      <t xml:space="preserve">
Материалы отделки фасада первых этажей: 
Система фасадная теплоизоляционная композиционная (СФТК). 
</t>
    </r>
    <r>
      <rPr>
        <sz val="8"/>
        <color rgb="FF93C47D"/>
        <rFont val="Arial"/>
      </rPr>
      <t>декоративный слой штукатурки ...... (по каталогу .....)</t>
    </r>
    <r>
      <rPr>
        <sz val="8"/>
        <color rgb="FFFF0000"/>
        <rFont val="Arial"/>
      </rPr>
      <t xml:space="preserve">
</t>
    </r>
    <r>
      <rPr>
        <sz val="8"/>
        <rFont val="Arial"/>
      </rPr>
      <t>В качестве теплоизоляционного слоя применять однослойные плиты из минеральной (каменной) ваты на синтетическом связующем.
Толщина утеплителя:
- Основная плоскость СФТК - 130 мм
- Массинг +50 мм - общая толщина 180 мм
- Массинг +80 мм - общая толщина 210 мм
- Массинг +100 мм - общая толщина 230 мм
- Массинг -30 мм - общая толщина 100 мм
- Подшивка горизонтальных элементов: 
 Рампа/арка - 200 мм,
 Ниша заглубленная/подрезка, нижняя плоскость балкон/эркер - 200 мм. 
- Тамбур:
 Стены - толщина по фасаду
 Потолок - 200 мм
- Стены между автостоянкой и подвалом - 100 мм</t>
    </r>
    <r>
      <rPr>
        <sz val="8"/>
        <color rgb="FFFF0000"/>
        <rFont val="Arial"/>
      </rPr>
      <t xml:space="preserve">
</t>
    </r>
    <r>
      <rPr>
        <sz val="8"/>
        <rFont val="Arial"/>
      </rPr>
      <t>- Деформационный шов - 50 мм
- Парапет - 50, 100 мм
- Подбор толщины и количество слоев утеплителя осуществить согласно решения "</t>
    </r>
    <r>
      <rPr>
        <sz val="8"/>
        <color rgb="FF1155CC"/>
        <rFont val="Arial"/>
      </rPr>
      <t>Правила подбора толщины теплоизоляционного слоя</t>
    </r>
    <r>
      <rPr>
        <sz val="8"/>
        <rFont val="Arial"/>
      </rPr>
      <t>"
- Подшивка потолка арки и рампы Аквапанелью в один уровень, отделка в соответствии с концепцией
Толщину теплоизоляционного слоя (подтвердить расчётом).
Не выполнять архитектурное уменьшение толщины утеплителя на величину более 20 мм от основной толщины утеплителя в зоне расположения пилона и оконного проема.
Не выполнять горизонтальные участки СФТК шириной более 50 мм без дополнительной защиты в виде отлива.</t>
    </r>
  </si>
  <si>
    <t xml:space="preserve"> Устройство штукатурного фасада Тюмень</t>
  </si>
  <si>
    <t>Тюмень</t>
  </si>
  <si>
    <r>
      <rPr>
        <sz val="8"/>
        <rFont val="Arial"/>
      </rPr>
      <t xml:space="preserve">Система фасадная теплоизоляционная композиционная (СФТК).
Материалы отделки фасада: 
</t>
    </r>
    <r>
      <rPr>
        <sz val="8"/>
        <color rgb="FF93C47D"/>
        <rFont val="Arial"/>
      </rPr>
      <t>декоративный слой штукатурки ...... (по каталогу .....)
декоративный слой штукатурки ...... (по каталогу .....)
декоративный слой штукатурки ...... (по каталогу .....)
декоративный слой штукатурки ...... (по каталогу .....)</t>
    </r>
    <r>
      <rPr>
        <sz val="8"/>
        <rFont val="Arial"/>
      </rPr>
      <t xml:space="preserve">
Материалы отделки фасада первых этажей: 
Система фасадная теплоизоляционная композиционная (СФТК). 
</t>
    </r>
    <r>
      <rPr>
        <sz val="8"/>
        <color rgb="FF93C47D"/>
        <rFont val="Arial"/>
      </rPr>
      <t>декоративный слой штукатурки ...... (по каталогу .....)</t>
    </r>
    <r>
      <rPr>
        <sz val="8"/>
        <color rgb="FFFF0000"/>
        <rFont val="Arial"/>
      </rPr>
      <t xml:space="preserve">
</t>
    </r>
    <r>
      <rPr>
        <sz val="8"/>
        <rFont val="Arial"/>
      </rPr>
      <t>В качестве теплоизоляционного слоя применять однослойные плиты из минеральной (каменной) ваты на синтетическом связующем.
Толщина утеплителя:
- Основная плоскость СФТК - 150 мм
- Массинг +50 мм - общая толщина 200 мм
- Массинг +80 мм - общая толщина 230 мм
- Массинг +100 мм - общая толщина 250 мм
- Массинг -20 мм - общая толщина 130 мм
- Подшивка горизонтальных элементов: 
 Рампа/арка - 250 мм,
 Ниша заглубленная/подрезка, нижняя плоскость балкон/эркер - 200 мм. 
- Тамбур:
 Стены - толщина по фасаду
 Потолок - 200 мм
- Стены между автостоянкой и подвалом - 100 мм</t>
    </r>
    <r>
      <rPr>
        <sz val="8"/>
        <color rgb="FFFF0000"/>
        <rFont val="Arial"/>
      </rPr>
      <t xml:space="preserve">
</t>
    </r>
    <r>
      <rPr>
        <sz val="8"/>
        <rFont val="Arial"/>
      </rPr>
      <t>- Деформационный шов - 50 мм
- Парапет - 100 мм
- Подбор толщины и количество слоев утеплителя осуществить согласно решения "</t>
    </r>
    <r>
      <rPr>
        <sz val="8"/>
        <color rgb="FF1155CC"/>
        <rFont val="Arial"/>
      </rPr>
      <t>Правила подбора толщины теплоизоляционного слоя</t>
    </r>
    <r>
      <rPr>
        <sz val="8"/>
        <rFont val="Arial"/>
      </rPr>
      <t>"
- Подшивка потолка арки и рампы Аквапанелью в один уровень, отделка в соответствии с концепцией
Толщину теплоизоляционного слоя (подтвердить расчётом).
Не выполнять архитектурное уменьшение толщины утеплителя на величину более 20 мм от основной толщины утеплителя в зоне расположения пилона и оконного проема.
Не выполнять горизонтальные участки СФТК шириной более 50 мм без дополнительной защиты в виде отлива.</t>
    </r>
  </si>
  <si>
    <t xml:space="preserve"> Устройство штукатурного фасада Курган</t>
  </si>
  <si>
    <t>Курган</t>
  </si>
  <si>
    <r>
      <rPr>
        <sz val="8"/>
        <rFont val="Arial"/>
      </rPr>
      <t xml:space="preserve">Система фасадная теплоизоляционная композиционная (СФТК).
Материалы отделки фасада: 
</t>
    </r>
    <r>
      <rPr>
        <sz val="8"/>
        <color rgb="FF93C47D"/>
        <rFont val="Arial"/>
      </rPr>
      <t>декоративный слой штукатурки ...... (по каталогу .....)
декоративный слой штукатурки ...... (по каталогу .....)
декоративный слой штукатурки ...... (по каталогу .....)
декоративный слой штукатурки ...... (по каталогу .....)</t>
    </r>
    <r>
      <rPr>
        <sz val="8"/>
        <rFont val="Arial"/>
      </rPr>
      <t xml:space="preserve">
Материалы отделки фасада первых этажей: 
Система фасадная теплоизоляционная композиционная (СФТК). 
</t>
    </r>
    <r>
      <rPr>
        <sz val="8"/>
        <color rgb="FF93C47D"/>
        <rFont val="Arial"/>
      </rPr>
      <t>декоративный слой штукатурки ...... (по каталогу .....)</t>
    </r>
    <r>
      <rPr>
        <sz val="8"/>
        <color rgb="FFFF0000"/>
        <rFont val="Arial"/>
      </rPr>
      <t xml:space="preserve">
</t>
    </r>
    <r>
      <rPr>
        <sz val="8"/>
        <rFont val="Arial"/>
      </rPr>
      <t>В качестве теплоизоляционного слоя применять однослойные плиты из минеральной (каменной) ваты на синтетическом связующем.
Толщина утеплителя:
- Основная плоскость СФТК - 150 мм
- Массинг +50 мм - общая толщина 200 мм
- Массинг +80 мм - общая толщина 230 мм
- Массинг +100 мм - общая толщина 250 мм
- Массинг -20 мм - общая толщина 130 мм
- Подшивка горизонтальных элементов: 
 Рампа/арка - 250 мм,
 Ниша заглубленная/подрезка, нижняя плоскость балкон/эркер - 200 мм. 
- Тамбур:
 Стены - толщина по фасаду
 Потолок - 200 мм
- Стены между автостоянкой и подвалом - 100 мм</t>
    </r>
    <r>
      <rPr>
        <sz val="8"/>
        <color rgb="FFFF0000"/>
        <rFont val="Arial"/>
      </rPr>
      <t xml:space="preserve">
</t>
    </r>
    <r>
      <rPr>
        <sz val="8"/>
        <rFont val="Arial"/>
      </rPr>
      <t>- Деформационный шов - 50 мм
- Парапет - 100 мм
- Подбор толщины и количество слоев утеплителя осуществить согласно решения "</t>
    </r>
    <r>
      <rPr>
        <sz val="8"/>
        <color rgb="FF1155CC"/>
        <rFont val="Arial"/>
      </rPr>
      <t>Правила подбора толщины теплоизоляционного слоя</t>
    </r>
    <r>
      <rPr>
        <sz val="8"/>
        <rFont val="Arial"/>
      </rPr>
      <t>"
- Подшивка потолка арки и рампы Аквапанелью в один уровень, отделка в соответствии с концепцией
Толщину теплоизоляционного слоя (подтвердить расчётом).
Не выполнять архитектурное уменьшение толщины утеплителя на величину более 20 мм от основной толщины утеплителя в зоне расположения пилона и оконного проема.
Не выполнять горизонтальные участки СФТК шириной более 50 мм без дополнительной защиты в виде отлива.</t>
    </r>
  </si>
  <si>
    <r>
      <rPr>
        <sz val="8"/>
        <rFont val="Arial"/>
      </rPr>
      <t xml:space="preserve">Система фасадная теплоизоляционная композиционная (СФТК).
Материалы отделки фасада: 
</t>
    </r>
    <r>
      <rPr>
        <sz val="8"/>
        <color rgb="FF93C47D"/>
        <rFont val="Arial"/>
      </rPr>
      <t>декоративный слой штукатурки ...... (по каталогу .....)
декоративный слой штукатурки ...... (по каталогу .....)
декоративный слой штукатурки ...... (по каталогу .....)
декоративный слой штукатурки ...... (по каталогу .....)</t>
    </r>
    <r>
      <rPr>
        <sz val="8"/>
        <rFont val="Arial"/>
      </rPr>
      <t xml:space="preserve">
Материалы отделки фасада первых этажей: 
Система фасадная теплоизоляционная композиционная (СФТК). 
</t>
    </r>
    <r>
      <rPr>
        <sz val="8"/>
        <color rgb="FF93C47D"/>
        <rFont val="Arial"/>
      </rPr>
      <t>декоративный слой штукатурки ...... (по каталогу .....)</t>
    </r>
    <r>
      <rPr>
        <sz val="8"/>
        <color rgb="FFFF0000"/>
        <rFont val="Arial"/>
      </rPr>
      <t xml:space="preserve">
</t>
    </r>
    <r>
      <rPr>
        <sz val="8"/>
        <rFont val="Arial"/>
      </rPr>
      <t>В качестве теплоизоляционного слоя применять однослойные плиты из минеральной (каменной) ваты на синтетическом связующем.
Толщина утеплителя:
- Основная плоскость СФТК - 150 мм
- Массинг +50 мм - общая толщина 200 мм
- Массинг +80 мм - общая толщина 230 мм
- Массинг +100 мм - общая толщина 250 мм
- Массинг -20 мм - общая толщина 130 мм
- Подшивка горизонтальных элементов: 
 Рампа/арка - 250 мм,
 Ниша заглубленная/подрезка, нижняя плоскость балкон/эркер - 200 мм. 
- Тамбур:
 Стены - толщина по фасаду
 Потолок - 200 мм
- Стены между автостоянкой и подвалом - 100 мм</t>
    </r>
    <r>
      <rPr>
        <sz val="8"/>
        <color rgb="FFFF0000"/>
        <rFont val="Arial"/>
      </rPr>
      <t xml:space="preserve">
</t>
    </r>
    <r>
      <rPr>
        <sz val="8"/>
        <rFont val="Arial"/>
      </rPr>
      <t>- Деформационный шов - 50 мм
- Парапет - 100 мм
- Подбор толщины и количество слоев утеплителя осуществить согласно решения "</t>
    </r>
    <r>
      <rPr>
        <sz val="8"/>
        <color rgb="FF1155CC"/>
        <rFont val="Arial"/>
      </rPr>
      <t>Правила подбора толщины теплоизоляционного слоя</t>
    </r>
    <r>
      <rPr>
        <sz val="8"/>
        <rFont val="Arial"/>
      </rPr>
      <t>"
- Подшивка потолка арки и рампы Аквапанелью в один уровень, отделка в соответствии с концепцией
Толщину теплоизоляционного слоя (подтвердить расчётом).
Не выполнять архитектурное уменьшение толщины утеплителя на величину более 20 мм от основной толщины утеплителя в зоне расположения пилона и оконного проема.
Не выполнять горизонтальные участки СФТК шириной более 50 мм без дополнительной защиты в виде отлива.</t>
    </r>
  </si>
  <si>
    <t xml:space="preserve"> Устройство штукатурного фасада Омск</t>
  </si>
  <si>
    <t>Омск</t>
  </si>
  <si>
    <r>
      <rPr>
        <sz val="8"/>
        <rFont val="Arial"/>
      </rPr>
      <t xml:space="preserve">Система фасадная теплоизоляционная композиционная (СФТК).
Материалы отделки фасада: 
</t>
    </r>
    <r>
      <rPr>
        <sz val="8"/>
        <color rgb="FF93C47D"/>
        <rFont val="Arial"/>
      </rPr>
      <t>декоративный слой штукатурки ...... (по каталогу .....)
декоративный слой штукатурки ...... (по каталогу .....)
декоративный слой штукатурки ...... (по каталогу .....)
декоративный слой штукатурки ...... (по каталогу .....)</t>
    </r>
    <r>
      <rPr>
        <sz val="8"/>
        <rFont val="Arial"/>
      </rPr>
      <t xml:space="preserve">
Материалы отделки фасада первых этажей: 
Система фасадная теплоизоляционная композиционная (СФТК). 
</t>
    </r>
    <r>
      <rPr>
        <sz val="8"/>
        <color rgb="FF93C47D"/>
        <rFont val="Arial"/>
      </rPr>
      <t>декоративный слой штукатурки ...... (по каталогу .....)</t>
    </r>
    <r>
      <rPr>
        <sz val="8"/>
        <color rgb="FFFF0000"/>
        <rFont val="Arial"/>
      </rPr>
      <t xml:space="preserve">
</t>
    </r>
    <r>
      <rPr>
        <sz val="8"/>
        <rFont val="Arial"/>
      </rPr>
      <t>В качестве теплоизоляционного слоя применять однослойные плиты из минеральной (каменной) ваты на синтетическом связующем.
Толщина утеплителя:
- Основная плоскость СФТК - 150 мм
- Массинг +50 мм - общая толщина 200 мм
- Массинг +80 мм - общая толщина 230 мм
- Массинг +100 мм - общая толщина 250 мм
- Массинг -20 мм - общая толщина 130 мм
- Подшивка горизонтальных элементов: 
 Рампа/арка - 250 мм,
 Ниша заглубленная/подрезка, нижняя плоскость балкон/эркер - 200 мм. 
- Тамбур:
 Стены - толщина по фасаду
 Потолок - 200 мм
- Стены между автостоянкой и подвалом - 100 мм</t>
    </r>
    <r>
      <rPr>
        <sz val="8"/>
        <color rgb="FFFF0000"/>
        <rFont val="Arial"/>
      </rPr>
      <t xml:space="preserve">
</t>
    </r>
    <r>
      <rPr>
        <sz val="8"/>
        <rFont val="Arial"/>
      </rPr>
      <t>- Деформационный шов - 50 мм
- Парапет - 100 мм
- Подбор толщины и количество слоев утеплителя осуществить согласно решения "</t>
    </r>
    <r>
      <rPr>
        <sz val="8"/>
        <color rgb="FF1155CC"/>
        <rFont val="Arial"/>
      </rPr>
      <t>Правила подбора толщины теплоизоляционного слоя</t>
    </r>
    <r>
      <rPr>
        <sz val="8"/>
        <rFont val="Arial"/>
      </rPr>
      <t>"
- Подшивка потолка арки и рампы Аквапанелью в один уровень, отделка в соответствии с концепцией
Толщину теплоизоляционного слоя (подтвердить расчётом).
Не выполнять архитектурное уменьшение толщины утеплителя на величину более 20 мм от основной толщины утеплителя в зоне расположения пилона и оконного проема.
Не выполнять горизонтальные участки СФТК шириной более 50 мм без дополнительной защиты в виде отлива.</t>
    </r>
  </si>
  <si>
    <t xml:space="preserve"> Устройство штукатурного фасада Сургут</t>
  </si>
  <si>
    <t>Сургут</t>
  </si>
  <si>
    <r>
      <rPr>
        <sz val="8"/>
        <rFont val="Arial"/>
      </rPr>
      <t xml:space="preserve">Система фасадная теплоизоляционная композиционная (СФТК).
Материалы отделки фасада: 
</t>
    </r>
    <r>
      <rPr>
        <sz val="8"/>
        <color rgb="FF93C47D"/>
        <rFont val="Arial"/>
      </rPr>
      <t>декоративный слой штукатурки ...... (по каталогу .....)
декоративный слой штукатурки ...... (по каталогу .....)
декоративный слой штукатурки ...... (по каталогу .....)
декоративный слой штукатурки ...... (по каталогу .....)</t>
    </r>
    <r>
      <rPr>
        <sz val="8"/>
        <rFont val="Arial"/>
      </rPr>
      <t xml:space="preserve">
Материалы отделки фасада первых этажей: 
Система фасадная теплоизоляционная композиционная (СФТК). 
</t>
    </r>
    <r>
      <rPr>
        <sz val="8"/>
        <color rgb="FF93C47D"/>
        <rFont val="Arial"/>
      </rPr>
      <t>декоративный слой штукатурки ...... (по каталогу .....)</t>
    </r>
    <r>
      <rPr>
        <sz val="8"/>
        <color rgb="FFFF0000"/>
        <rFont val="Arial"/>
      </rPr>
      <t xml:space="preserve">
</t>
    </r>
    <r>
      <rPr>
        <sz val="8"/>
        <rFont val="Arial"/>
      </rPr>
      <t>В качестве теплоизоляционного слоя применять однослойные плиты из минеральной (каменной) ваты на синтетическом связующем.
Толщина утеплителя:
- Основная плоскость СФТК - 180 мм
- Массинг +50 мм - общая толщина 230 мм
- Массинг +80 мм - общая толщина 260 мм
- Массинг -30 мм - общая толщина 150 мм
- Подшивка горизонтальных элементов: 
 Рампа/арка - 250 мм,
 Ниша заглубленная/подрезка, нижняя плоскость балкон/эркер - 250 мм. 
- Тамбур:
 Стены - толщина по фасаду
 Потолок - 250 мм
- Стены между автостоянкой и подвалом - 100 мм</t>
    </r>
    <r>
      <rPr>
        <sz val="8"/>
        <color rgb="FFFF0000"/>
        <rFont val="Arial"/>
      </rPr>
      <t xml:space="preserve">
</t>
    </r>
    <r>
      <rPr>
        <sz val="8"/>
        <rFont val="Arial"/>
      </rPr>
      <t>- Деформационный шов - 50 мм
- Парапет - 50, 100 мм
- Подбор толщины и количество слоев утеплителя осуществить согласно решения "</t>
    </r>
    <r>
      <rPr>
        <sz val="8"/>
        <color rgb="FF1155CC"/>
        <rFont val="Arial"/>
      </rPr>
      <t>Правила подбора толщины теплоизоляционного слоя</t>
    </r>
    <r>
      <rPr>
        <sz val="8"/>
        <rFont val="Arial"/>
      </rPr>
      <t>"
- Подшивка потолка арки и рампы Аквапанелью в один уровень, отделка в соответствии с концепцией
Толщину теплоизоляционного слоя (подтвердить расчётом).
Не выполнять архитектурное уменьшение толщины утеплителя на величину более 20 мм от основной толщины утеплителя в зоне расположения пилона и оконного проема.
Не выполнять горизонтальные участки СФТК шириной более 50 мм без дополнительной защиты в виде отлива.</t>
    </r>
  </si>
  <si>
    <t xml:space="preserve"> Устройство навесного фасада Екатеринбург</t>
  </si>
  <si>
    <r>
      <rPr>
        <sz val="8"/>
        <rFont val="Arial"/>
      </rPr>
      <t xml:space="preserve">Материалы отделки фасада:
</t>
    </r>
    <r>
      <rPr>
        <sz val="8"/>
        <color rgb="FF93C47D"/>
        <rFont val="Arial"/>
      </rPr>
      <t>..... (по каталогу .....)</t>
    </r>
    <r>
      <rPr>
        <sz val="8"/>
        <rFont val="Arial"/>
      </rPr>
      <t xml:space="preserve">
Подсистема навесного фасада:
</t>
    </r>
    <r>
      <rPr>
        <sz val="8"/>
        <color rgb="FF93C47D"/>
        <rFont val="Arial"/>
      </rPr>
      <t>(Наименование производителя) из оцинкованной стали.</t>
    </r>
    <r>
      <rPr>
        <sz val="8"/>
        <rFont val="Arial"/>
      </rPr>
      <t xml:space="preserve"> 
Способ крепления облицовочного материала:</t>
    </r>
    <r>
      <rPr>
        <sz val="8"/>
        <color rgb="FF93C47D"/>
        <rFont val="Arial"/>
      </rPr>
      <t xml:space="preserve">
Тип крепления облицовочного материала</t>
    </r>
    <r>
      <rPr>
        <sz val="8"/>
        <rFont val="Arial"/>
      </rPr>
      <t xml:space="preserve">
В качестве теплоизоляционного слоя системы применять двухслойные плиты из минеральной (каменной) ваты на синтетическом связующем.
Толщина утеплителя:
- Основная плоскость НВФ - 170 мм
- Подшивка горизонтальных элементов: 
 Рампа/арка - 250 мм,
 Ниша заглубленная/подрезка, нижняя плоскость балкон/эркер - 200 мм. 
- Тамбур:
 Стены - толщина по фасаду
 Потолок - 200 мм
- Стены между автостоянкой и подвалом - 100 мм
- Деформационный шов - 50 мм
- Парапет - 100 мм
- Подбор толщины и количество слоев утеплителя осуществить согласно реше</t>
    </r>
    <r>
      <rPr>
        <sz val="8"/>
        <color rgb="FF000000"/>
        <rFont val="Arial"/>
      </rPr>
      <t>н</t>
    </r>
    <r>
      <rPr>
        <sz val="8"/>
        <color rgb="FF1155CC"/>
        <rFont val="Arial"/>
      </rPr>
      <t xml:space="preserve">ия "Правила подбора толщины теплоизоляционного </t>
    </r>
    <r>
      <rPr>
        <sz val="8"/>
        <rFont val="Arial"/>
      </rPr>
      <t>слоя"
- Подшивка потолка арки и рампы Аквапанелью в один уровень, отделка в соответствии с концепцией
Толщину теплоизоляционного слоя (подтвердить расчётом).</t>
    </r>
  </si>
  <si>
    <t xml:space="preserve"> Устройство навесного фасада Москва</t>
  </si>
  <si>
    <r>
      <rPr>
        <sz val="8"/>
        <rFont val="Arial"/>
      </rPr>
      <t xml:space="preserve">Материалы отделки фасада:
</t>
    </r>
    <r>
      <rPr>
        <sz val="8"/>
        <color rgb="FF93C47D"/>
        <rFont val="Arial"/>
      </rPr>
      <t>..... (по каталогу .....)</t>
    </r>
    <r>
      <rPr>
        <sz val="8"/>
        <rFont val="Arial"/>
      </rPr>
      <t xml:space="preserve">
Подсистема навесного фасада:
</t>
    </r>
    <r>
      <rPr>
        <sz val="8"/>
        <color rgb="FF93C47D"/>
        <rFont val="Arial"/>
      </rPr>
      <t xml:space="preserve">(Наименование производителя) из оцинкованной стали. </t>
    </r>
    <r>
      <rPr>
        <sz val="8"/>
        <rFont val="Arial"/>
      </rPr>
      <t xml:space="preserve">
Способ крепления облицовочного материала:
</t>
    </r>
    <r>
      <rPr>
        <sz val="8"/>
        <color rgb="FF93C47D"/>
        <rFont val="Arial"/>
      </rPr>
      <t>Тип крепления облицовочного материала</t>
    </r>
    <r>
      <rPr>
        <sz val="8"/>
        <rFont val="Arial"/>
      </rPr>
      <t xml:space="preserve">
</t>
    </r>
    <r>
      <rPr>
        <sz val="8"/>
        <color rgb="FFFF0000"/>
        <rFont val="Arial"/>
      </rPr>
      <t xml:space="preserve">
</t>
    </r>
    <r>
      <rPr>
        <sz val="8"/>
        <rFont val="Arial"/>
      </rPr>
      <t>В качестве теплоизоляционного слоя системы применять двухслойные плиты из минеральной (каменной) ваты на синтетическом связующем.
Толщина утеплителя:
- Основная плоскость НВФ - 150 мм
- Подшивка горизонтальных элементов: 
 Рампа/арка - 200 мм,
 Ниша заглубленная/подрезка, нижняя плоскость балкон/эркер - 200 мм. 
- Тамбур:
 Стены - толщина по фасаду
 Потолок - 200 мм
- Стены между автостоянкой и подвалом - 100 мм</t>
    </r>
    <r>
      <rPr>
        <sz val="8"/>
        <color rgb="FFFF0000"/>
        <rFont val="Arial"/>
      </rPr>
      <t xml:space="preserve">
</t>
    </r>
    <r>
      <rPr>
        <sz val="8"/>
        <rFont val="Arial"/>
      </rPr>
      <t>- Деформационный шов - 50 мм
- Парапет - 50, 100 мм
- Подбор толщины и количество слоев утеплителя осуществить согласно решения "</t>
    </r>
    <r>
      <rPr>
        <sz val="8"/>
        <color rgb="FF1155CC"/>
        <rFont val="Arial"/>
      </rPr>
      <t>Правила подбора толщины теплоизоляционного слоя</t>
    </r>
    <r>
      <rPr>
        <sz val="8"/>
        <rFont val="Arial"/>
      </rPr>
      <t>"
- Подшивка потолка арки и рампы Аквапанелью в один уровень, отделка в соответствии с концепцией
Толщину теплоизоляционного слоя (подтвердить расчётом).</t>
    </r>
  </si>
  <si>
    <t xml:space="preserve"> Устройство навесного фасада Тюмень</t>
  </si>
  <si>
    <r>
      <rPr>
        <sz val="8"/>
        <rFont val="Arial"/>
      </rPr>
      <t xml:space="preserve">Материалы отделки фасада:
</t>
    </r>
    <r>
      <rPr>
        <sz val="8"/>
        <color rgb="FF93C47D"/>
        <rFont val="Arial"/>
      </rPr>
      <t>..... (по каталогу .....)</t>
    </r>
    <r>
      <rPr>
        <sz val="8"/>
        <rFont val="Arial"/>
      </rPr>
      <t xml:space="preserve">
Подсистема навесного фасада:
</t>
    </r>
    <r>
      <rPr>
        <sz val="8"/>
        <color rgb="FF93C47D"/>
        <rFont val="Arial"/>
      </rPr>
      <t>(Наименование производителя) из оцинкованной стали.</t>
    </r>
    <r>
      <rPr>
        <sz val="8"/>
        <rFont val="Arial"/>
      </rPr>
      <t xml:space="preserve"> 
Способ крепления облицовочного материала:</t>
    </r>
    <r>
      <rPr>
        <sz val="8"/>
        <color rgb="FF93C47D"/>
        <rFont val="Arial"/>
      </rPr>
      <t xml:space="preserve">
Тип крепления облицовочного материала</t>
    </r>
    <r>
      <rPr>
        <sz val="8"/>
        <rFont val="Arial"/>
      </rPr>
      <t xml:space="preserve">
В качестве теплоизоляционного слоя системы применять двухслойные плиты из минеральной (каменной) ваты на синтетическом связующем.
Толщина утеплителя:
- Основная плоскость НВФ - 170 мм
- Подшивка горизонтальных элементов: 
 Рампа/арка - 250 мм,
 Ниша заглубленная/подрезка, нижняя плоскость балкон/эркер - 200 мм. 
- Тамбур:
 Стены - толщина по фасаду
 Потолок - 200 мм
- Стены между автостоянкой и подвалом - 100 мм
- Деформационный шов - 50 мм
- Парапет - 100 мм
- Подбор толщины и количество слоев утеплителя осуществить согласно реше</t>
    </r>
    <r>
      <rPr>
        <sz val="8"/>
        <color rgb="FF000000"/>
        <rFont val="Arial"/>
      </rPr>
      <t>н</t>
    </r>
    <r>
      <rPr>
        <sz val="8"/>
        <color rgb="FF1155CC"/>
        <rFont val="Arial"/>
      </rPr>
      <t xml:space="preserve">ия "Правила подбора толщины теплоизоляционного </t>
    </r>
    <r>
      <rPr>
        <sz val="8"/>
        <rFont val="Arial"/>
      </rPr>
      <t>слоя"
- Подшивка потолка арки и рампы Аквапанелью в один уровень, отделка в соответствии с концепцией
Толщину теплоизоляционного слоя (подтвердить расчётом).</t>
    </r>
  </si>
  <si>
    <t xml:space="preserve"> Устройство навесного фасада Курган</t>
  </si>
  <si>
    <r>
      <rPr>
        <sz val="8"/>
        <rFont val="Arial"/>
      </rPr>
      <t xml:space="preserve">Материалы отделки фасада:
</t>
    </r>
    <r>
      <rPr>
        <sz val="8"/>
        <color rgb="FF93C47D"/>
        <rFont val="Arial"/>
      </rPr>
      <t>..... (по каталогу .....)</t>
    </r>
    <r>
      <rPr>
        <sz val="8"/>
        <rFont val="Arial"/>
      </rPr>
      <t xml:space="preserve">
Подсистема навесного фасада:
</t>
    </r>
    <r>
      <rPr>
        <sz val="8"/>
        <color rgb="FF93C47D"/>
        <rFont val="Arial"/>
      </rPr>
      <t>(Наименование производителя) из оцинкованной стали.</t>
    </r>
    <r>
      <rPr>
        <sz val="8"/>
        <rFont val="Arial"/>
      </rPr>
      <t xml:space="preserve"> 
Способ крепления облицовочного материала:</t>
    </r>
    <r>
      <rPr>
        <sz val="8"/>
        <color rgb="FF93C47D"/>
        <rFont val="Arial"/>
      </rPr>
      <t xml:space="preserve">
Тип крепления облицовочного материала</t>
    </r>
    <r>
      <rPr>
        <sz val="8"/>
        <rFont val="Arial"/>
      </rPr>
      <t xml:space="preserve">
В качестве теплоизоляционного слоя системы применять двухслойные плиты из минеральной (каменной) ваты на синтетическом связующем.
Толщина утеплителя:
- Основная плоскость НВФ - 170 мм
- Подшивка горизонтальных элементов: 
 Рампа/арка - 250 мм,
 Ниша заглубленная/подрезка, нижняя плоскость балкон/эркер - 200 мм. 
- Тамбур:
 Стены - толщина по фасаду
 Потолок - 200 мм
- Стены между автостоянкой и подвалом - 100 мм
- Деформационный шов - 50 мм
- Парапет - 100 мм
- Подбор толщины и количество слоев утеплителя осуществить согласно реше</t>
    </r>
    <r>
      <rPr>
        <sz val="8"/>
        <color rgb="FF000000"/>
        <rFont val="Arial"/>
      </rPr>
      <t>н</t>
    </r>
    <r>
      <rPr>
        <sz val="8"/>
        <color rgb="FF1155CC"/>
        <rFont val="Arial"/>
      </rPr>
      <t xml:space="preserve">ия "Правила подбора толщины теплоизоляционного </t>
    </r>
    <r>
      <rPr>
        <sz val="8"/>
        <rFont val="Arial"/>
      </rPr>
      <t>слоя"
- Подшивка потолка арки и рампы Аквапанелью в один уровень, отделка в соответствии с концепцией
Толщину теплоизоляционного слоя (подтвердить расчётом).</t>
    </r>
  </si>
  <si>
    <r>
      <rPr>
        <sz val="8"/>
        <rFont val="Arial"/>
      </rPr>
      <t xml:space="preserve">Материалы отделки фасада:
</t>
    </r>
    <r>
      <rPr>
        <sz val="8"/>
        <color rgb="FF93C47D"/>
        <rFont val="Arial"/>
      </rPr>
      <t>..... (по каталогу .....)</t>
    </r>
    <r>
      <rPr>
        <sz val="8"/>
        <rFont val="Arial"/>
      </rPr>
      <t xml:space="preserve">
Подсистема навесного фасада:
</t>
    </r>
    <r>
      <rPr>
        <sz val="8"/>
        <color rgb="FF93C47D"/>
        <rFont val="Arial"/>
      </rPr>
      <t>(Наименование производителя) из оцинкованной стали.</t>
    </r>
    <r>
      <rPr>
        <sz val="8"/>
        <rFont val="Arial"/>
      </rPr>
      <t xml:space="preserve"> 
Способ крепления облицовочного материала:</t>
    </r>
    <r>
      <rPr>
        <sz val="8"/>
        <color rgb="FF93C47D"/>
        <rFont val="Arial"/>
      </rPr>
      <t xml:space="preserve">
Тип крепления облицовочного материала</t>
    </r>
    <r>
      <rPr>
        <sz val="8"/>
        <rFont val="Arial"/>
      </rPr>
      <t xml:space="preserve">
В качестве теплоизоляционного слоя системы применять двухслойные плиты из минеральной (каменной) ваты на синтетическом связующем.
Толщина утеплителя:
- Основная плоскость НВФ - 170 мм
- Подшивка горизонтальных элементов: 
 Рампа/арка - 250 мм,
 Ниша заглубленная/подрезка, нижняя плоскость балкон/эркер - 200 мм. 
- Тамбур:
 Стены - толщина по фасаду
 Потолок - 200 мм
- Стены между автостоянкой и подвалом - 100 мм
- Деформационный шов - 50 мм
- Парапет - 100 мм
- Подбор толщины и количество слоев утеплителя осуществить согласно реше</t>
    </r>
    <r>
      <rPr>
        <sz val="8"/>
        <color rgb="FF000000"/>
        <rFont val="Arial"/>
      </rPr>
      <t>н</t>
    </r>
    <r>
      <rPr>
        <sz val="8"/>
        <color rgb="FF1155CC"/>
        <rFont val="Arial"/>
      </rPr>
      <t xml:space="preserve">ия "Правила подбора толщины теплоизоляционного </t>
    </r>
    <r>
      <rPr>
        <sz val="8"/>
        <rFont val="Arial"/>
      </rPr>
      <t>слоя"
- Подшивка потолка арки и рампы Аквапанелью в один уровень, отделка в соответствии с концепцией
Толщину теплоизоляционного слоя (подтвердить расчётом).</t>
    </r>
  </si>
  <si>
    <t xml:space="preserve"> Устройство навесного фасада Омск</t>
  </si>
  <si>
    <r>
      <rPr>
        <sz val="8"/>
        <rFont val="Arial"/>
      </rPr>
      <t xml:space="preserve">Материалы отделки фасада:
</t>
    </r>
    <r>
      <rPr>
        <sz val="8"/>
        <color rgb="FF93C47D"/>
        <rFont val="Arial"/>
      </rPr>
      <t>..... (по каталогу .....)</t>
    </r>
    <r>
      <rPr>
        <sz val="8"/>
        <rFont val="Arial"/>
      </rPr>
      <t xml:space="preserve">
Подсистема навесного фасада:
</t>
    </r>
    <r>
      <rPr>
        <sz val="8"/>
        <color rgb="FF93C47D"/>
        <rFont val="Arial"/>
      </rPr>
      <t>(Наименование производителя) из оцинкованной стали.</t>
    </r>
    <r>
      <rPr>
        <sz val="8"/>
        <rFont val="Arial"/>
      </rPr>
      <t xml:space="preserve"> 
Способ крепления облицовочного материала:</t>
    </r>
    <r>
      <rPr>
        <sz val="8"/>
        <color rgb="FF93C47D"/>
        <rFont val="Arial"/>
      </rPr>
      <t xml:space="preserve">
Тип крепления облицовочного материала</t>
    </r>
    <r>
      <rPr>
        <sz val="8"/>
        <rFont val="Arial"/>
      </rPr>
      <t xml:space="preserve">
В качестве теплоизоляционного слоя системы применять двухслойные плиты из минеральной (каменной) ваты на синтетическом связующем.
Толщина утеплителя:
- Основная плоскость НВФ - 170 мм
- Подшивка горизонтальных элементов: 
 Рампа/арка - 250 мм,
 Ниша заглубленная/подрезка, нижняя плоскость балкон/эркер - 200 мм. 
- Тамбур:
 Стены - толщина по фасаду
 Потолок - 200 мм
- Стены между автостоянкой и подвалом - 100 мм
- Деформационный шов - 50 мм
- Парапет - 100 мм
- Подбор толщины и количество слоев утеплителя осуществить согласно реше</t>
    </r>
    <r>
      <rPr>
        <sz val="8"/>
        <color rgb="FF000000"/>
        <rFont val="Arial"/>
      </rPr>
      <t>н</t>
    </r>
    <r>
      <rPr>
        <sz val="8"/>
        <color rgb="FF1155CC"/>
        <rFont val="Arial"/>
      </rPr>
      <t xml:space="preserve">ия "Правила подбора толщины теплоизоляционного </t>
    </r>
    <r>
      <rPr>
        <sz val="8"/>
        <rFont val="Arial"/>
      </rPr>
      <t>слоя"
- Подшивка потолка арки и рампы Аквапанелью в один уровень, отделка в соответствии с концепцией
Толщину теплоизоляционного слоя (подтвердить расчётом).</t>
    </r>
  </si>
  <si>
    <t xml:space="preserve"> Устройство навесного фасада Сургут</t>
  </si>
  <si>
    <r>
      <rPr>
        <sz val="8"/>
        <rFont val="Arial"/>
      </rPr>
      <t xml:space="preserve">Материалы отделки фасада:
</t>
    </r>
    <r>
      <rPr>
        <sz val="8"/>
        <color rgb="FF93C47D"/>
        <rFont val="Arial"/>
      </rPr>
      <t xml:space="preserve">..... (по каталогу .....)
</t>
    </r>
    <r>
      <rPr>
        <sz val="8"/>
        <rFont val="Arial"/>
      </rPr>
      <t xml:space="preserve">
Подсистема навесного фасада:
</t>
    </r>
    <r>
      <rPr>
        <sz val="8"/>
        <color rgb="FF93C47D"/>
        <rFont val="Arial"/>
      </rPr>
      <t xml:space="preserve">(Наименование производителя) из оцинкованной стали. </t>
    </r>
    <r>
      <rPr>
        <sz val="8"/>
        <rFont val="Arial"/>
      </rPr>
      <t xml:space="preserve">
Способ крепления облицовочного материала:
</t>
    </r>
    <r>
      <rPr>
        <sz val="8"/>
        <color rgb="FF93C47D"/>
        <rFont val="Arial"/>
      </rPr>
      <t xml:space="preserve">Тип крепления облицовочного материала
</t>
    </r>
    <r>
      <rPr>
        <sz val="8"/>
        <rFont val="Arial"/>
      </rPr>
      <t xml:space="preserve">
В качестве теплоизоляционного слоя системы применять двухслойные плиты из минеральной (каменной) ваты на синтетическом связующем.
Толщина утеплителя:
- Основная плоскость НВФ - 200 мм
- Подшивка горизонтальных элементов: 
 Рампа/арка - 250 мм,
 Ниша заглубленная/подрезка, нижняя плоскость балкон/эркер - 200 мм. 
- Тамбур:
 Стены - толщина по фасаду
 Потолок - 200 мм
- Стены между автостоянкой и подвалом - 100 мм</t>
    </r>
    <r>
      <rPr>
        <sz val="8"/>
        <color rgb="FFFF0000"/>
        <rFont val="Arial"/>
      </rPr>
      <t xml:space="preserve">
</t>
    </r>
    <r>
      <rPr>
        <sz val="8"/>
        <rFont val="Arial"/>
      </rPr>
      <t>- Деформационный шов - 50 мм
- Парапет - 100 мм
- Подбор толщины и количество слоев утеплителя осуществить согласно реше</t>
    </r>
    <r>
      <rPr>
        <sz val="8"/>
        <color rgb="FF000000"/>
        <rFont val="Arial"/>
      </rPr>
      <t>ния "</t>
    </r>
    <r>
      <rPr>
        <sz val="8"/>
        <color rgb="FF1155CC"/>
        <rFont val="Arial"/>
      </rPr>
      <t>Правила подбора толщины теплоизоляционного слоя</t>
    </r>
    <r>
      <rPr>
        <sz val="8"/>
        <rFont val="Arial"/>
      </rPr>
      <t>"
- Подшивка потолка арки и рампы Аквапанелью в один уровень, отделка в соответствии с концепцией
Толщину теплоизоляционного слоя (подтвердить расчётом).</t>
    </r>
  </si>
  <si>
    <t xml:space="preserve"> Заполнение светопрозрачные конструкции ПВХ профиль</t>
  </si>
  <si>
    <r>
      <rPr>
        <b/>
        <sz val="8"/>
        <color rgb="FF000000"/>
        <rFont val="Arial"/>
      </rPr>
      <t xml:space="preserve">Оконные конструкции:
</t>
    </r>
    <r>
      <rPr>
        <sz val="8"/>
        <color rgb="FF000000"/>
        <rFont val="Arial"/>
      </rPr>
      <t xml:space="preserve">Размеры оконных проемов и оконных конструкций принять в соответствии с матрицей оконных проёмов и технического задания на рабочую документацию.
</t>
    </r>
    <r>
      <rPr>
        <b/>
        <sz val="8"/>
        <color rgb="FF000000"/>
        <rFont val="Arial"/>
      </rPr>
      <t xml:space="preserve">
Жилые помещения:</t>
    </r>
    <r>
      <rPr>
        <sz val="8"/>
        <color rgb="FF000000"/>
        <rFont val="Arial"/>
      </rPr>
      <t xml:space="preserve">
Оконные конструкции и балконных конструкций для типовых этажей из ПВХ профиля. 
Цвет профиля со стороны фасада </t>
    </r>
    <r>
      <rPr>
        <sz val="8"/>
        <color rgb="FF93C47D"/>
        <rFont val="Arial"/>
      </rPr>
      <t>"цвет" RAL ....</t>
    </r>
    <r>
      <rPr>
        <sz val="8"/>
        <color rgb="FF000000"/>
        <rFont val="Arial"/>
      </rPr>
      <t xml:space="preserve">, со стороны квартиры белый RAL Classic 9003. 
Стеклопакет двухкамерный с солнцезащитным отражающим покрытием, нейтрального оттенка*.
Размеры створки в ПВХ профиле (в том числе балконной двери): ширина до 850 мм, высота до 2300 мм. Длина горизонтального импоста в ПВХ профиле не более 1600 м. 
</t>
    </r>
    <r>
      <rPr>
        <b/>
        <sz val="8"/>
        <color rgb="FF000000"/>
        <rFont val="Arial"/>
      </rPr>
      <t>Подоконные плиты:</t>
    </r>
    <r>
      <rPr>
        <sz val="8"/>
        <color rgb="FF000000"/>
        <rFont val="Arial"/>
      </rPr>
      <t xml:space="preserve">
В МОП: согласно рабочей документации интерьеров МОП
В квартирах и помещениях общественного назначения: подоконные плиты отсутствуют.
</t>
    </r>
    <r>
      <rPr>
        <b/>
        <sz val="8"/>
        <color rgb="FF000000"/>
        <rFont val="Arial"/>
      </rPr>
      <t xml:space="preserve">Витражи:
</t>
    </r>
    <r>
      <rPr>
        <sz val="8"/>
        <color rgb="FF000000"/>
        <rFont val="Arial"/>
      </rPr>
      <t>Коммерческие помещения
Витражные конструкции из алюминиевого профиля со стеклопакетом солнцезащитного стекла с отражающим покрытием нейтрального оттенка*. 
Цвет профиля со стороны фасада</t>
    </r>
    <r>
      <rPr>
        <sz val="8"/>
        <color rgb="FF93C47D"/>
        <rFont val="Arial"/>
      </rPr>
      <t xml:space="preserve"> "цвет" RAL ....</t>
    </r>
    <r>
      <rPr>
        <sz val="8"/>
        <color rgb="FF0000FF"/>
        <rFont val="Arial"/>
      </rPr>
      <t>,</t>
    </r>
    <r>
      <rPr>
        <sz val="8"/>
        <color rgb="FF000000"/>
        <rFont val="Arial"/>
      </rPr>
      <t xml:space="preserve"> со стороны коммерческого помещения белый RAL Classic 9003. 
Стеклопакет двухкамерный с солнцезащитным отражающим покрытием, нейтрального оттенка*
Предусмотреть ламель для притока воздуха для коммерческих помещений в необходимом количестве для обеспечения вентиляции.
</t>
    </r>
    <r>
      <rPr>
        <b/>
        <sz val="8"/>
        <color rgb="FF000000"/>
        <rFont val="Arial"/>
      </rPr>
      <t xml:space="preserve">Входные группы (витражи):
</t>
    </r>
    <r>
      <rPr>
        <sz val="8"/>
        <color rgb="FF000000"/>
        <rFont val="Arial"/>
      </rPr>
      <t xml:space="preserve">Первая линия - Витражные конструкции из алюминиевого профиля с двухкамерным стеклопакетом солнцезащитного стекла с отражающим покрытием нейтрального оттенка*
Вторая линия - Витражные конструкции из алюминиевого профиля с двухкамерным стеклопакетом энергоэффективным стеклом
Цвет профиля со стороны фасада и со стороны помещения </t>
    </r>
    <r>
      <rPr>
        <sz val="8"/>
        <color rgb="FFB6D7A8"/>
        <rFont val="Arial"/>
      </rPr>
      <t>"цвет" RAL .....</t>
    </r>
    <r>
      <rPr>
        <sz val="8"/>
        <color rgb="FF000000"/>
        <rFont val="Arial"/>
      </rPr>
      <t xml:space="preserve">
Первая линия - теплая система, вторая линия - теплая система.</t>
    </r>
    <r>
      <rPr>
        <sz val="8"/>
        <color rgb="FFFF0000"/>
        <rFont val="Arial"/>
      </rPr>
      <t xml:space="preserve">
</t>
    </r>
    <r>
      <rPr>
        <sz val="8"/>
        <color rgb="FF000000"/>
        <rFont val="Arial"/>
      </rPr>
      <t xml:space="preserve">
Примечание: параметры стеклопакетов и тип стекла уточнить проектом и согласовать с заказчиком.</t>
    </r>
  </si>
  <si>
    <r>
      <rPr>
        <b/>
        <sz val="8"/>
        <color rgb="FF000000"/>
        <rFont val="Arial"/>
      </rPr>
      <t>Оконные конструкции:</t>
    </r>
    <r>
      <rPr>
        <sz val="8"/>
        <color rgb="FF000000"/>
        <rFont val="Arial"/>
      </rPr>
      <t xml:space="preserve">
Размеры оконных проемов и оконных конструкций принять в соответствии с матрицей оконных проёмов и технического задания на рабочую документацию.
</t>
    </r>
    <r>
      <rPr>
        <b/>
        <sz val="8"/>
        <color rgb="FF000000"/>
        <rFont val="Arial"/>
      </rPr>
      <t>Жилые помещения:</t>
    </r>
    <r>
      <rPr>
        <sz val="8"/>
        <color rgb="FF000000"/>
        <rFont val="Arial"/>
      </rPr>
      <t xml:space="preserve">
Оконные конструкции и балконных конструкций для типовых этажей из ПВХ профиля. 
Цвет профиля со стороны фасада </t>
    </r>
    <r>
      <rPr>
        <sz val="8"/>
        <color rgb="FF34A853"/>
        <rFont val="Arial"/>
      </rPr>
      <t>"цвет" RAL...</t>
    </r>
    <r>
      <rPr>
        <sz val="8"/>
        <color rgb="FF000000"/>
        <rFont val="Arial"/>
      </rPr>
      <t xml:space="preserve">, со стороны квартиры белый RAL Classic 9003.
Стеклопакет двухкамерный с солнцезащитным отражающим покрытием, нейтрального оттенка*. 
</t>
    </r>
    <r>
      <rPr>
        <b/>
        <sz val="8"/>
        <color rgb="FF000000"/>
        <rFont val="Arial"/>
      </rPr>
      <t>Особенные, уникальные квартиры</t>
    </r>
    <r>
      <rPr>
        <sz val="8"/>
        <color rgb="FF000000"/>
        <rFont val="Arial"/>
      </rPr>
      <t xml:space="preserve"> (двухуровневые квартиры, квартиры с отдельным входом и квартиры с надстройкой на последних этажах) оконные конструкции из дерево - алюминиевого профиля, со стороны квартиры цвет профиля белый RAL Classic 9003. Стеклопакет двухкамерный с солнцезащитным отражающим покрытием, нейтрального оттенка*. 
Размеры створки в ПВХ профиле (в том числе балконной двери): ширина до 850 мм, высота до 2300 мм. Длина горизонтального импоста в ПВХ профиле не более 1600 м. 
</t>
    </r>
    <r>
      <rPr>
        <b/>
        <sz val="8"/>
        <color rgb="FF000000"/>
        <rFont val="Arial"/>
      </rPr>
      <t>Подоконные плиты:</t>
    </r>
    <r>
      <rPr>
        <sz val="8"/>
        <color rgb="FF000000"/>
        <rFont val="Arial"/>
      </rPr>
      <t xml:space="preserve">
В МОП: согласно рабочей документации интерьеров МОП
В квартирах и помещениях общественного назначения: подоконные плиты отсутствуют.
</t>
    </r>
    <r>
      <rPr>
        <b/>
        <sz val="8"/>
        <color rgb="FF000000"/>
        <rFont val="Arial"/>
      </rPr>
      <t>Витражи:</t>
    </r>
    <r>
      <rPr>
        <sz val="8"/>
        <color rgb="FF000000"/>
        <rFont val="Arial"/>
      </rPr>
      <t xml:space="preserve">
Коммерческие помещения:
Витражные конструкции из алюминиевого профиля со стеклопакетом солнцезащитного стекла с отражающим покрытием нейтрального оттенка*. 
Цвет профиля со стороны фасада и со стороны помещения </t>
    </r>
    <r>
      <rPr>
        <sz val="8"/>
        <color rgb="FF34A853"/>
        <rFont val="Arial"/>
      </rPr>
      <t>"цвет" RAL...</t>
    </r>
    <r>
      <rPr>
        <sz val="8"/>
        <color rgb="FF000000"/>
        <rFont val="Arial"/>
      </rPr>
      <t xml:space="preserve">, со стороны коммерческого помещения белый RAL Classic 9003.
Стеклопакет двухкамерный с солнцезащитным отражающим покрытием, нейтрального оттенка*.
Предусмотреть ламель для притока воздуха для коммерческих помещений в необходимом количестве для обеспечения вентиляции.
</t>
    </r>
    <r>
      <rPr>
        <b/>
        <sz val="8"/>
        <color rgb="FF000000"/>
        <rFont val="Arial"/>
      </rPr>
      <t>Входные группы (витражи):</t>
    </r>
    <r>
      <rPr>
        <sz val="8"/>
        <color rgb="FF000000"/>
        <rFont val="Arial"/>
      </rPr>
      <t xml:space="preserve">
Первая линия - Витражные конструкции из алюминиевого профиля с двухкамерным стеклопакетом солнцезащитного стекла с отражающим покрытием нейтрального оттенка*
Вторая линия - Витражные конструкции из алюминиевого профиля с двухкамерным стеклопакетом энергоэффективным стеклом
Цвет профиля со стороны фасада и со стороны помещения </t>
    </r>
    <r>
      <rPr>
        <sz val="8"/>
        <color rgb="FF34A853"/>
        <rFont val="Arial"/>
      </rPr>
      <t>"цвет" RAL...</t>
    </r>
    <r>
      <rPr>
        <sz val="8"/>
        <color rgb="FF000000"/>
        <rFont val="Arial"/>
      </rPr>
      <t>.
Первая линия - теплая система, вторая линия - теплая система.
Примечание: параметры стеклопакетов и тип стекла уточнить проектом и согласовать с заказчиком.</t>
    </r>
  </si>
  <si>
    <t xml:space="preserve"> Заполнение светопрозрачные конструкции ПВХ профиль, дерево-алюминиевый профиль</t>
  </si>
  <si>
    <t>A</t>
  </si>
  <si>
    <r>
      <rPr>
        <b/>
        <sz val="8"/>
        <color rgb="FF000000"/>
        <rFont val="Arial"/>
      </rPr>
      <t>Оконные конструкции:</t>
    </r>
    <r>
      <rPr>
        <sz val="8"/>
        <color rgb="FF000000"/>
        <rFont val="Arial"/>
      </rPr>
      <t xml:space="preserve">
Размеры оконных проемов и оконных конструкций принять в соответствии с матрицей оконных проёмов и технического задания на рабочую документацию.
</t>
    </r>
    <r>
      <rPr>
        <b/>
        <sz val="8"/>
        <color rgb="FF000000"/>
        <rFont val="Arial"/>
      </rPr>
      <t>Жилые помещения:</t>
    </r>
    <r>
      <rPr>
        <sz val="8"/>
        <color rgb="FF000000"/>
        <rFont val="Arial"/>
      </rPr>
      <t xml:space="preserve">
Оконные конструкции и балконных конструкций для типовых этажей из ПВХ и дерево - алюминиевого профиля для типового этажа (при К навесного фасада Δ-20%). 
Цвет профиля со стороны фасада </t>
    </r>
    <r>
      <rPr>
        <sz val="8"/>
        <color rgb="FF34A853"/>
        <rFont val="Arial"/>
      </rPr>
      <t>"цвет" RAL...</t>
    </r>
    <r>
      <rPr>
        <sz val="8"/>
        <color rgb="FF000000"/>
        <rFont val="Arial"/>
      </rPr>
      <t xml:space="preserve">, со стороны квартиры белый RAL Classic 9003.
Стеклопакет двухкамерный с солнцезащитным отражающим покрытием, нейтрального оттенка*. 
</t>
    </r>
    <r>
      <rPr>
        <b/>
        <sz val="8"/>
        <color rgb="FF000000"/>
        <rFont val="Arial"/>
      </rPr>
      <t>Особенные, уникальные квартиры</t>
    </r>
    <r>
      <rPr>
        <sz val="8"/>
        <color rgb="FF000000"/>
        <rFont val="Arial"/>
      </rPr>
      <t xml:space="preserve"> (двухуровневые квартиры, квартиры с отдельным входом и квартиры с надстройкой на последних этажах) оконные конструкции из дерево - алюминиевого профиля, со стороны квартиры цвет профиля белый RAL Classic 9003. Стеклопакет двухкамерный с солнцезащитным отражающим покрытием.
Размеры створки в ПВХ профиле (в том числе балконной двери): ширина до 850 мм, высота до 2300 мм. Длина горизонтального импоста в ПВХ профиле не более 1600 м. 
</t>
    </r>
    <r>
      <rPr>
        <b/>
        <sz val="8"/>
        <color rgb="FF000000"/>
        <rFont val="Arial"/>
      </rPr>
      <t>Подоконные плиты:</t>
    </r>
    <r>
      <rPr>
        <sz val="8"/>
        <color rgb="FF000000"/>
        <rFont val="Arial"/>
      </rPr>
      <t xml:space="preserve">
В МОП: согласно рабочей документации интерьеров МОП
В квартирах и помещениях общественного назначения: подоконные плиты отсутствуют.
</t>
    </r>
    <r>
      <rPr>
        <b/>
        <sz val="8"/>
        <color rgb="FF000000"/>
        <rFont val="Arial"/>
      </rPr>
      <t>Витражи:</t>
    </r>
    <r>
      <rPr>
        <sz val="8"/>
        <color rgb="FF000000"/>
        <rFont val="Arial"/>
      </rPr>
      <t xml:space="preserve">
Коммерческие помещения:
Витражные конструкции из алюминиевого профиля со стеклопакетом солнцезащитного стекла с отражающим покрытием нейтрального оттенка*. 
Цвет профиля со стороны фасада и со стороны помещения </t>
    </r>
    <r>
      <rPr>
        <sz val="8"/>
        <color rgb="FF34A853"/>
        <rFont val="Arial"/>
      </rPr>
      <t>"цвет" RAL...</t>
    </r>
    <r>
      <rPr>
        <sz val="8"/>
        <color rgb="FF000000"/>
        <rFont val="Arial"/>
      </rPr>
      <t xml:space="preserve">, со стороны коммерческого помещения белый RAL Classic 9003.
Стеклопакет двухкамерный с солнцезащитным отражающим покрытием, нейтрального оттенка*.
Предусмотреть ламель для притока воздуха для коммерческих помещений в необходимом количестве для обеспечения вентиляции.
</t>
    </r>
    <r>
      <rPr>
        <b/>
        <sz val="8"/>
        <color rgb="FF000000"/>
        <rFont val="Arial"/>
      </rPr>
      <t>Входные группы (витражи):</t>
    </r>
    <r>
      <rPr>
        <sz val="8"/>
        <color rgb="FF000000"/>
        <rFont val="Arial"/>
      </rPr>
      <t xml:space="preserve">
Первая линия - Витражные конструкции из алюминиевого профиля с двухкамерным стеклопакетом солнцезащитного стекла с отражающим покрытием нейтрального оттенка*
Вторая линия - Витражные конструкции из алюминиевого профиля с двухкамерным стеклопакетом энергоэффективным стеклом
Цвет профиля со стороны фасада и со стороны помещения </t>
    </r>
    <r>
      <rPr>
        <sz val="8"/>
        <color rgb="FF34A853"/>
        <rFont val="Arial"/>
      </rPr>
      <t>"цвет" RAL...</t>
    </r>
    <r>
      <rPr>
        <sz val="8"/>
        <color rgb="FF000000"/>
        <rFont val="Arial"/>
      </rPr>
      <t>.
Первая линия - теплая система, вторая линия - теплая система.
Примечание: параметры стеклопакетов и тип стекла уточнить проектом и согласовать с заказчиком.</t>
    </r>
  </si>
  <si>
    <r>
      <rPr>
        <sz val="8"/>
        <color theme="1"/>
        <rFont val="Arial"/>
      </rPr>
      <t xml:space="preserve">Первая линия остекления входной группы.
</t>
    </r>
    <r>
      <rPr>
        <sz val="8"/>
        <color theme="1"/>
        <rFont val="Arial"/>
      </rPr>
      <t>Двухкамерный стеклопакет, стекло с энергоэффективным покрытием.</t>
    </r>
  </si>
  <si>
    <r>
      <rPr>
        <sz val="8"/>
        <color theme="1"/>
        <rFont val="Arial"/>
      </rPr>
      <t xml:space="preserve">Остекление лоджии, балкона.
</t>
    </r>
    <r>
      <rPr>
        <sz val="8"/>
        <color theme="1"/>
        <rFont val="Arial"/>
      </rPr>
      <t>Однокамерный стеклопакет, стекло с энергоэффективным покрытием.</t>
    </r>
  </si>
  <si>
    <r>
      <rPr>
        <sz val="8"/>
        <color theme="1"/>
        <rFont val="Arial"/>
      </rPr>
      <t xml:space="preserve">Вторая линия остекления входной группы.
</t>
    </r>
    <r>
      <rPr>
        <sz val="8"/>
        <color theme="1"/>
        <rFont val="Arial"/>
      </rPr>
      <t>Двухкамерный стеклопакет.</t>
    </r>
  </si>
  <si>
    <r>
      <rPr>
        <sz val="8"/>
        <color theme="1"/>
        <rFont val="Arial"/>
      </rPr>
      <t xml:space="preserve">Перегородка (раздвижка) внутри теплой лоджии.
</t>
    </r>
    <r>
      <rPr>
        <sz val="8"/>
        <color theme="1"/>
        <rFont val="Arial"/>
      </rPr>
      <t>Однокамерный стеклопакет.</t>
    </r>
  </si>
  <si>
    <t xml:space="preserve">С28, УВ28, С50, Б50 </t>
  </si>
  <si>
    <r>
      <rPr>
        <b/>
        <sz val="8"/>
        <color theme="1"/>
        <rFont val="Arial"/>
      </rPr>
      <t xml:space="preserve">- 1 этаж: 
</t>
    </r>
    <r>
      <rPr>
        <sz val="8"/>
        <color theme="1"/>
        <rFont val="Arial"/>
      </rPr>
      <t>● Лестничная клетка (вход из тамбур шлюза)</t>
    </r>
    <r>
      <rPr>
        <b/>
        <sz val="8"/>
        <color theme="1"/>
        <rFont val="Arial"/>
      </rPr>
      <t xml:space="preserve">
</t>
    </r>
    <r>
      <rPr>
        <sz val="8"/>
        <color theme="1"/>
        <rFont val="Arial"/>
      </rPr>
      <t>ДСВ-О-Н-EIS30 1250х2100(h)
Размер строительного проема 1250х2100(h)мм
Размер светового проема 1050х2000(h)мм при открытой створке на 90°</t>
    </r>
  </si>
  <si>
    <r>
      <rPr>
        <b/>
        <sz val="8"/>
        <color theme="1"/>
        <rFont val="Arial"/>
      </rPr>
      <t xml:space="preserve">- 1 этаж: 
</t>
    </r>
    <r>
      <rPr>
        <sz val="8"/>
        <color theme="1"/>
        <rFont val="Arial"/>
      </rPr>
      <t>● Тамбур - шлюз (вход из технического помещения)</t>
    </r>
    <r>
      <rPr>
        <b/>
        <sz val="8"/>
        <color theme="1"/>
        <rFont val="Arial"/>
      </rPr>
      <t xml:space="preserve">
</t>
    </r>
    <r>
      <rPr>
        <sz val="8"/>
        <color theme="1"/>
        <rFont val="Arial"/>
      </rPr>
      <t>ДСВ-О-Н-EIS30 1100х2100(h)
Размер строительного проема 1100х2100(h)мм
Размер светового проема 900х2000(h)мм при открытой створке на 90°</t>
    </r>
  </si>
  <si>
    <r>
      <rPr>
        <b/>
        <sz val="8"/>
        <color theme="1"/>
        <rFont val="Arial"/>
      </rPr>
      <t xml:space="preserve">- 1 этаж: </t>
    </r>
    <r>
      <rPr>
        <sz val="8"/>
        <color theme="1"/>
        <rFont val="Arial"/>
      </rPr>
      <t xml:space="preserve">
● Насосная хозяйственно - питьевая
● Насосная пожаротушения
● Помещение сетей связи
● Электрощитовая
● ИТП
● КУИ
ДСВ-О-Н-EI30 1100х2100(h)
Размер строительного проема 1100х2100(h)мм
Размер светового проема 900х2000(h)мм при открытой створке на 90°</t>
    </r>
  </si>
  <si>
    <r>
      <rPr>
        <b/>
        <sz val="8"/>
        <color theme="1"/>
        <rFont val="Arial"/>
      </rPr>
      <t xml:space="preserve">- 1 этаж: </t>
    </r>
    <r>
      <rPr>
        <sz val="8"/>
        <color theme="1"/>
        <rFont val="Arial"/>
      </rPr>
      <t xml:space="preserve">
● Венткамера
● Вход в блок кладовых/Двери между секциями
● Кладовая (отдельная)
ДСВ-О-Н-EI60 1100х2100(h)
Размер строительного проема 1100х2100(h)мм
Размер светового проема 900х2000(h)мм при открытой створке на 90°</t>
    </r>
  </si>
  <si>
    <r>
      <rPr>
        <b/>
        <sz val="8"/>
        <color theme="1"/>
        <rFont val="Arial"/>
      </rPr>
      <t xml:space="preserve">- 1 этаж: </t>
    </r>
    <r>
      <rPr>
        <sz val="8"/>
        <color theme="1"/>
        <rFont val="Arial"/>
      </rPr>
      <t xml:space="preserve">
● Кладовая в блоке
ДСВ-О-Н 850х2100(h)
Размер строительного проема 850х2100(h)мм
Размер светового проема 700х2000(h)мм при открытой створке на 90°</t>
    </r>
  </si>
  <si>
    <r>
      <rPr>
        <b/>
        <sz val="8"/>
        <color theme="1"/>
        <rFont val="Arial"/>
      </rPr>
      <t xml:space="preserve">1 этаж: </t>
    </r>
    <r>
      <rPr>
        <sz val="8"/>
        <color theme="1"/>
        <rFont val="Arial"/>
      </rPr>
      <t xml:space="preserve">
● Санузел (МОП)
ДС-О-Н 1100х2400(h)
Размер строительного проема 1100х2400(h)мм
Размер светового проема 900х2300(h)мм при открытой створке на 90°</t>
    </r>
  </si>
  <si>
    <r>
      <rPr>
        <b/>
        <sz val="8"/>
        <color theme="1"/>
        <rFont val="Arial"/>
      </rPr>
      <t>1 этаж, типовой этаж:</t>
    </r>
    <r>
      <rPr>
        <sz val="8"/>
        <color theme="1"/>
        <rFont val="Arial"/>
      </rPr>
      <t xml:space="preserve"> 
● Квартира (вход из межквартирного коридора)
ДСВ-О-Н 1050х2440(h)
Размер строительного проема 1050х2440(h)мм
Размер светового проема 900х2300(h)мм при открытой створке на 90°</t>
    </r>
  </si>
  <si>
    <r>
      <rPr>
        <b/>
        <sz val="8"/>
        <color theme="1"/>
        <rFont val="Arial"/>
      </rPr>
      <t>1 этаж, типовой этаж:</t>
    </r>
    <r>
      <rPr>
        <sz val="8"/>
        <color theme="1"/>
        <rFont val="Arial"/>
      </rPr>
      <t xml:space="preserve"> 
● Квартира (вход из межквартирного коридора) - при особых условиях
ДСВ-О-Н EI30 1050х2440(h)
Размер строительного проема 1050х2440(h)мм
Размер светового проема 900х2300(h)мм при открытой створке на 90°</t>
    </r>
  </si>
  <si>
    <r>
      <rPr>
        <b/>
        <sz val="8"/>
        <color theme="1"/>
        <rFont val="Arial"/>
      </rPr>
      <t>Типовой этаж:</t>
    </r>
    <r>
      <rPr>
        <sz val="8"/>
        <color theme="1"/>
        <rFont val="Arial"/>
      </rPr>
      <t xml:space="preserve"> 
● Лестница Н2 (вход из ЛХ)
● Лифтовой холл Н2 (вход из межквартирного коридора)
ДСВ-О-Вн-EIS30 1250х2400(h)
Размер строительного проема 1250х2400(h)мм
Размер светового проема 1050х2300(h)мм при открытой створке на 90°</t>
    </r>
  </si>
  <si>
    <r>
      <rPr>
        <b/>
        <sz val="8"/>
        <color theme="1"/>
        <rFont val="Arial"/>
      </rPr>
      <t xml:space="preserve">Типовой этаж: </t>
    </r>
    <r>
      <rPr>
        <sz val="8"/>
        <color theme="1"/>
        <rFont val="Arial"/>
      </rPr>
      <t xml:space="preserve">
● Лестница Л1 (вход из ЛХ)
ДСВ-О-Вн-EI30 1250х2400(h)
Размер строительного проема 1250х2400(h)мм
Размер светового проема 1050х2300(h)мм при открытой створке на 90°</t>
    </r>
  </si>
  <si>
    <r>
      <rPr>
        <b/>
        <sz val="8"/>
        <color theme="1"/>
        <rFont val="Arial"/>
      </rPr>
      <t xml:space="preserve">Технический этаж (надстройка): </t>
    </r>
    <r>
      <rPr>
        <sz val="8"/>
        <color theme="1"/>
        <rFont val="Arial"/>
      </rPr>
      <t xml:space="preserve">
● Кровля (вход в лестничную клетку)
● Технический этаж (чердак)
ДСН-О-Н-EI30 1100х1900(h)
Размер строительного проема 1100х1900(h)мм
Размер светового проема 900х1800(h)мм при открытой створке на 90°</t>
    </r>
  </si>
  <si>
    <r>
      <rPr>
        <b/>
        <sz val="8"/>
        <color theme="1"/>
        <rFont val="Arial"/>
      </rPr>
      <t xml:space="preserve">Технический этаж (надстройка, без надстройки): </t>
    </r>
    <r>
      <rPr>
        <sz val="8"/>
        <color theme="1"/>
        <rFont val="Arial"/>
      </rPr>
      <t xml:space="preserve">
● Вентиляционная камера
ДСВ-О-Н-EI60 1100х1900(h)
Размер строительного проема 1100х1900(h)мм
Размер светового проема 900х1800(h)мм при открытой створке на 90°</t>
    </r>
  </si>
  <si>
    <r>
      <rPr>
        <b/>
        <sz val="8"/>
        <color theme="1"/>
        <rFont val="Arial"/>
      </rPr>
      <t>Технический этаж (без надстройки):</t>
    </r>
    <r>
      <rPr>
        <sz val="8"/>
        <color theme="1"/>
        <rFont val="Arial"/>
      </rPr>
      <t xml:space="preserve"> 
● Кровля (вход в лестничную клетку)
● Технический этаж (чердак)
ДСН-О-Н-EI30 1100х1900(h)
Размер строительного проема 1100х1900(h)мм
Размер светового проема 900х1800(h)мм при открытой створке на 90°</t>
    </r>
  </si>
  <si>
    <r>
      <rPr>
        <b/>
        <sz val="8"/>
        <color theme="1"/>
        <rFont val="Arial"/>
      </rPr>
      <t xml:space="preserve">- 1 этаж: </t>
    </r>
    <r>
      <rPr>
        <sz val="8"/>
        <color theme="1"/>
        <rFont val="Arial"/>
      </rPr>
      <t xml:space="preserve">
● Лестница (выход на улицу с -1 этажа (количество не более 50 человек, расчет пожарных рисков на ширину прохода)
● Лестница (выход на улицу из жилья)
● Инженерные помещения
ДАН-О-Н 1300х2400(h)
Размер строительного проема 1300х2400(h)мм
Размер светового проема 1050х2250(h)мм при открытой створке на 90°</t>
    </r>
  </si>
  <si>
    <r>
      <rPr>
        <b/>
        <sz val="8"/>
        <color theme="1"/>
        <rFont val="Arial"/>
      </rPr>
      <t xml:space="preserve">- 1 этаж: </t>
    </r>
    <r>
      <rPr>
        <sz val="8"/>
        <color theme="1"/>
        <rFont val="Arial"/>
      </rPr>
      <t xml:space="preserve">
● Лифтовой холл (вход из паркинга через тамбур-шлюз) 
● Тамбур-шлюз (лестница)
● Тамбур-шлюз (вход из паркинга)
ДАВ-О-Н-EIWS60 1300х2100(h)
Размер строительного проема 1300х2100(h)мм
Размер светового проема 1050х1950((h)мм при открытой створке на 90° </t>
    </r>
  </si>
  <si>
    <r>
      <rPr>
        <b/>
        <sz val="8"/>
        <color theme="1"/>
        <rFont val="Arial"/>
      </rPr>
      <t xml:space="preserve">- 1 этаж: </t>
    </r>
    <r>
      <rPr>
        <sz val="8"/>
        <color theme="1"/>
        <rFont val="Arial"/>
      </rPr>
      <t xml:space="preserve">
● Велосипедная
ДАВ-О-Н-EIW30 1150х2100(h)
Размер строительного проема 1150х2100(h)мм
Размер светового проема 900х1950((h)мм при открытой створке на 90°</t>
    </r>
  </si>
  <si>
    <r>
      <rPr>
        <b/>
        <sz val="8"/>
        <color theme="1"/>
        <rFont val="Arial"/>
      </rPr>
      <t xml:space="preserve">1 этаж: </t>
    </r>
    <r>
      <rPr>
        <sz val="8"/>
        <color theme="1"/>
        <rFont val="Arial"/>
      </rPr>
      <t xml:space="preserve">
● Колясочная
ДАВ-О-Н(В) 1300х2400(h)
Размер строительного проема 1300х2400(h)мм
Размер светового проема 1050х2250((h)мм при открытой створке на 90°</t>
    </r>
  </si>
  <si>
    <r>
      <rPr>
        <b/>
        <sz val="8"/>
        <color theme="1"/>
        <rFont val="Arial"/>
      </rPr>
      <t xml:space="preserve">1 этаж: </t>
    </r>
    <r>
      <rPr>
        <sz val="8"/>
        <color theme="1"/>
        <rFont val="Arial"/>
      </rPr>
      <t xml:space="preserve">
● Межквартирный коридор 
ДАВ-О-Н 1300х2400(h)
Размер строительного проема 1300х2400(h)мм
Размер светового проема 1050х2250((h)мм при открытой створке на 90° </t>
    </r>
  </si>
  <si>
    <r>
      <rPr>
        <b/>
        <sz val="8"/>
        <color theme="1"/>
        <rFont val="Arial"/>
      </rPr>
      <t xml:space="preserve">1 этаж: </t>
    </r>
    <r>
      <rPr>
        <sz val="8"/>
        <color theme="1"/>
        <rFont val="Arial"/>
      </rPr>
      <t xml:space="preserve">
● Лестница (выход из жилья в тамбур) до 50 м, 50T в квартале
ДАВ-О-Вн-EIW30 1300х2400(h)
Размер строительного проема 1300х2400(h)мм
Размер светового проема 1050х2250((h)мм при открытой створке на 90° </t>
    </r>
  </si>
  <si>
    <r>
      <rPr>
        <b/>
        <sz val="8"/>
        <color theme="1"/>
        <rFont val="Arial"/>
      </rPr>
      <t xml:space="preserve">1 этаж: </t>
    </r>
    <r>
      <rPr>
        <sz val="8"/>
        <color theme="1"/>
        <rFont val="Arial"/>
      </rPr>
      <t xml:space="preserve">
● Квартира (наружный фасад)
ДАН-О-Н 1250х3765(h)
Размер строительного проема 1250х3765(h)мм
Размер светового проема 905х2300((h)мм при открытой створке на 90°</t>
    </r>
  </si>
  <si>
    <t>С75, Б75</t>
  </si>
  <si>
    <r>
      <rPr>
        <b/>
        <sz val="8"/>
        <color theme="1"/>
        <rFont val="Arial"/>
      </rPr>
      <t xml:space="preserve">- 1 этаж: 
</t>
    </r>
    <r>
      <rPr>
        <sz val="8"/>
        <color theme="1"/>
        <rFont val="Arial"/>
      </rPr>
      <t>● Лестничная клетка (вход из тамбур шлюза)</t>
    </r>
    <r>
      <rPr>
        <b/>
        <sz val="8"/>
        <color theme="1"/>
        <rFont val="Arial"/>
      </rPr>
      <t xml:space="preserve">
</t>
    </r>
    <r>
      <rPr>
        <sz val="8"/>
        <color theme="1"/>
        <rFont val="Arial"/>
      </rPr>
      <t>ДСВ-О-Н-EIS30 1250х2100(h)
Размер строительного проема 1250х2100(h)мм
Размер светового проема 1050х2000(h)мм при открытой створке на 90°</t>
    </r>
  </si>
  <si>
    <r>
      <rPr>
        <b/>
        <sz val="8"/>
        <color theme="1"/>
        <rFont val="Arial"/>
      </rPr>
      <t xml:space="preserve">- 1 этаж: </t>
    </r>
    <r>
      <rPr>
        <sz val="8"/>
        <color theme="1"/>
        <rFont val="Arial"/>
      </rPr>
      <t xml:space="preserve">
● Тамбур - шлюз (вход из технического помещения)
ДСВ-О-Н-EIS30 1100х2100(h)
Размер строительного проема 1100х2100(h)мм
Размер светового проема 900х2000(h)мм при открытой створке на 90°</t>
    </r>
  </si>
  <si>
    <r>
      <rPr>
        <b/>
        <sz val="8"/>
        <color theme="1"/>
        <rFont val="Arial"/>
      </rPr>
      <t xml:space="preserve">- 1 этаж: </t>
    </r>
    <r>
      <rPr>
        <sz val="8"/>
        <color theme="1"/>
        <rFont val="Arial"/>
      </rPr>
      <t xml:space="preserve">
● Насосная хозяйственно - питьевая
● Насосная пожаротушения
● Помещение сетей связи
● Электрощитовая
● ИТП
● КУИ
ДСВ-О-Н-EI30 1100х2100(h)
Размер строительного проема 1100х2100(h)мм
Размер светового проема 900х2000(h)мм при открытой створке на 90°</t>
    </r>
  </si>
  <si>
    <r>
      <rPr>
        <b/>
        <sz val="8"/>
        <color theme="1"/>
        <rFont val="Arial"/>
      </rPr>
      <t xml:space="preserve">- 1 этаж: </t>
    </r>
    <r>
      <rPr>
        <sz val="8"/>
        <color theme="1"/>
        <rFont val="Arial"/>
      </rPr>
      <t xml:space="preserve">
● Отдельная кладовая
● Блок кладовых/Двери между секциями
● Венткамера
ДСВ-О-Н-EI60 1100х2100(h)
Размер строительного проема 1100х2100(h)мм
Размер светового проема 900х2000(h)мм при открытой створке на 90°</t>
    </r>
  </si>
  <si>
    <r>
      <rPr>
        <b/>
        <sz val="8"/>
        <color theme="1"/>
        <rFont val="Arial"/>
      </rPr>
      <t xml:space="preserve">- 1 этаж: </t>
    </r>
    <r>
      <rPr>
        <sz val="8"/>
        <color theme="1"/>
        <rFont val="Arial"/>
      </rPr>
      <t xml:space="preserve">
● Кладовая в блоке
ДСВ-О-Н 850х2100(h)
Размер строительного проема 850х2100(h)мм
Размер светового проема 700х2000(h)мм при открытой створке на 90°</t>
    </r>
  </si>
  <si>
    <r>
      <rPr>
        <b/>
        <sz val="8"/>
        <color theme="1"/>
        <rFont val="Arial"/>
      </rPr>
      <t xml:space="preserve">1 этаж: </t>
    </r>
    <r>
      <rPr>
        <sz val="8"/>
        <color theme="1"/>
        <rFont val="Arial"/>
      </rPr>
      <t xml:space="preserve">
● Санузел (МОП)
ДС-О-Н 1100х2400(h)
Размер строительного проема 1100х2400(h)мм
Размер светового проема 900х2300(h)мм при открытой створке на 90°</t>
    </r>
  </si>
  <si>
    <r>
      <rPr>
        <b/>
        <sz val="8"/>
        <color theme="1"/>
        <rFont val="Arial"/>
      </rPr>
      <t>1 этаж, типовой этаж:</t>
    </r>
    <r>
      <rPr>
        <sz val="8"/>
        <color theme="1"/>
        <rFont val="Arial"/>
      </rPr>
      <t xml:space="preserve"> 
● Квартира (вход из межквартирного коридора)
ДСВ-О-Н 1050х2440(h)
Размер строительного проема 1050х2440(h)мм
Размер светового проема 900х2300(h)мм при открытой створке на 90°</t>
    </r>
  </si>
  <si>
    <r>
      <rPr>
        <b/>
        <sz val="8"/>
        <color theme="1"/>
        <rFont val="Arial"/>
      </rPr>
      <t>1 этаж, типовой этаж:</t>
    </r>
    <r>
      <rPr>
        <sz val="8"/>
        <color theme="1"/>
        <rFont val="Arial"/>
      </rPr>
      <t xml:space="preserve"> 
● Квартира (вход из межквартирного коридора) - при особых условиях
ДСВ-О-Н EI30 1050х2440(h)
Размер строительного проема 1050х2440(h)мм
Размер светового проема 900х2300(h)мм при открытой створке на 90°</t>
    </r>
  </si>
  <si>
    <r>
      <rPr>
        <b/>
        <sz val="8"/>
        <color theme="1"/>
        <rFont val="Arial"/>
      </rPr>
      <t xml:space="preserve">Типовой этаж: </t>
    </r>
    <r>
      <rPr>
        <sz val="8"/>
        <color theme="1"/>
        <rFont val="Arial"/>
      </rPr>
      <t xml:space="preserve">
● Лестница Н2 (вход из ЛХ)
● Лифтовой холл Н2 (вход из межквартирного коридора)
ДСВ-О-Вн-EIS60 1250х2440(h)
Размер строительного проема 1250х2440(h)мм
Размер светового проема 1050х2300(h)мм при открытой створке на 90°</t>
    </r>
  </si>
  <si>
    <r>
      <rPr>
        <b/>
        <sz val="8"/>
        <color theme="1"/>
        <rFont val="Arial"/>
      </rPr>
      <t xml:space="preserve">Технический этаж (надстройка, без надстройки): </t>
    </r>
    <r>
      <rPr>
        <sz val="8"/>
        <color theme="1"/>
        <rFont val="Arial"/>
      </rPr>
      <t xml:space="preserve">
● Кровля (вход в лестничную клетку)
● Технический этаж (чердак)
● Вентиляционная камера
ДСВ-О-Н-EI60 1100х1900(h)
Размер строительного проема 1100х1900(h)мм
Размер светового проема 900х1800(h)мм при открытой створке на 90°</t>
    </r>
  </si>
  <si>
    <r>
      <rPr>
        <b/>
        <sz val="8"/>
        <color theme="1"/>
        <rFont val="Arial"/>
      </rPr>
      <t xml:space="preserve">- 1 этаж: </t>
    </r>
    <r>
      <rPr>
        <sz val="8"/>
        <color theme="1"/>
        <rFont val="Arial"/>
      </rPr>
      <t xml:space="preserve">
● Лестница (выход на улицу с -1 этажа (количество не более 50 человек, расчет пожарных рисков на ширину прохода)
● Лестница (выход на улицу из жилья)
● Инженерные помещения
ДАН-О-Н 1300х2400(h)
Размер строительного проема 1300х2400(h)мм
Размер светового проема 1050х2250(h)мм при открытой створке на 90°</t>
    </r>
  </si>
  <si>
    <r>
      <rPr>
        <b/>
        <sz val="8"/>
        <color theme="1"/>
        <rFont val="Arial"/>
      </rPr>
      <t xml:space="preserve">- 1 этаж: </t>
    </r>
    <r>
      <rPr>
        <sz val="8"/>
        <color theme="1"/>
        <rFont val="Arial"/>
      </rPr>
      <t xml:space="preserve">
● Лифтовой холл (вход из паркинга через тамбур-шлюз) 
● Тамбур-шлюз (лестница)
● Тамбур-шлюз (вход из паркинга)
ДАВ-О-Н-EIWS60 1300х2100(h)
Размер строительного проема 1300х2100(h)мм
Размер светового проема 1050х1950((h)мм при открытой створке на 90° </t>
    </r>
  </si>
  <si>
    <r>
      <rPr>
        <b/>
        <sz val="8"/>
        <color theme="1"/>
        <rFont val="Arial"/>
      </rPr>
      <t xml:space="preserve">- 1 этаж: </t>
    </r>
    <r>
      <rPr>
        <sz val="8"/>
        <color theme="1"/>
        <rFont val="Arial"/>
      </rPr>
      <t xml:space="preserve">
● Велосипедная
ДАВ-О-Н-EIW30 1150х2100(h)
Размер строительного проема 1150х2100(h)мм
Размер светового проема 900х1950((h)мм при открытой створке на 90°</t>
    </r>
  </si>
  <si>
    <r>
      <rPr>
        <b/>
        <sz val="8"/>
        <color theme="1"/>
        <rFont val="Arial"/>
      </rPr>
      <t xml:space="preserve">1 этаж: </t>
    </r>
    <r>
      <rPr>
        <sz val="8"/>
        <color theme="1"/>
        <rFont val="Arial"/>
      </rPr>
      <t xml:space="preserve">
● Колясочная
ДАВ-О-Н(В) 1300х2400(h)
Размер строительного проема 1300х2400(h)мм
Размер светового проема 1050х2250((h)мм при открытой створке на 90°</t>
    </r>
  </si>
  <si>
    <r>
      <rPr>
        <b/>
        <sz val="8"/>
        <color theme="1"/>
        <rFont val="Arial"/>
      </rPr>
      <t xml:space="preserve">1 этаж: </t>
    </r>
    <r>
      <rPr>
        <sz val="8"/>
        <color theme="1"/>
        <rFont val="Arial"/>
      </rPr>
      <t xml:space="preserve">
● Межквартирный коридор 
ДАВ-О-Н 1300х2400(h)
Размер строительного проема 1300х2400(h)мм
Размер светового проема 1050х2250((h)мм при открытой створке на 90° </t>
    </r>
  </si>
  <si>
    <r>
      <rPr>
        <b/>
        <sz val="8"/>
        <color theme="1"/>
        <rFont val="Arial"/>
      </rPr>
      <t xml:space="preserve">1 этаж: </t>
    </r>
    <r>
      <rPr>
        <sz val="8"/>
        <color theme="1"/>
        <rFont val="Arial"/>
      </rPr>
      <t xml:space="preserve">
● Лестница (выход из жилья в тамбур) 75T
ДАВ-О-Вн-EIWS60 1300х2400(h)
Размер строительного проема 1300х2400(h)мм
Размер светового проема 1050х2250((h)мм при открытой створке на 90° </t>
    </r>
  </si>
  <si>
    <r>
      <rPr>
        <b/>
        <sz val="8"/>
        <color theme="1"/>
        <rFont val="Arial"/>
      </rPr>
      <t xml:space="preserve">1 этаж: </t>
    </r>
    <r>
      <rPr>
        <sz val="8"/>
        <color theme="1"/>
        <rFont val="Arial"/>
      </rPr>
      <t xml:space="preserve">
● Квартира (наружный фасад)
ДАН-О-Н 1250х3765(h)
Размер строительного проема 1250х3765(h)мм
Размер светового проема 95х2300((h)мм при открытой створке на 90°</t>
    </r>
  </si>
  <si>
    <t xml:space="preserve"> Заполнение дверных проёмов Б100</t>
  </si>
  <si>
    <t>Б100</t>
  </si>
  <si>
    <t>Дверной блок стальной внутренний однопольный открывание наружу EIS60 1250х2100(h)</t>
  </si>
  <si>
    <r>
      <rPr>
        <b/>
        <sz val="8"/>
        <color theme="1"/>
        <rFont val="Arial"/>
      </rPr>
      <t xml:space="preserve">- 1 этаж: 
</t>
    </r>
    <r>
      <rPr>
        <sz val="8"/>
        <color theme="1"/>
        <rFont val="Arial"/>
      </rPr>
      <t>● Лестничная клетка (вход из тамбур шлюза)</t>
    </r>
    <r>
      <rPr>
        <b/>
        <sz val="8"/>
        <color theme="1"/>
        <rFont val="Arial"/>
      </rPr>
      <t xml:space="preserve">
</t>
    </r>
    <r>
      <rPr>
        <sz val="8"/>
        <color theme="1"/>
        <rFont val="Arial"/>
      </rPr>
      <t>ДСВ-О-Н-EIS60 1250х2100(h)
Размер строительного проема 1250х2100(h)мм
Размер светового проема 1050х2000(h)мм при открытой створке на 90°</t>
    </r>
  </si>
  <si>
    <t>Дверной блок стальной внутренний однопольный открывание наружу EIS60 1100х2100(h)</t>
  </si>
  <si>
    <r>
      <rPr>
        <b/>
        <sz val="8"/>
        <color theme="1"/>
        <rFont val="Arial"/>
      </rPr>
      <t xml:space="preserve">- 1 этаж: </t>
    </r>
    <r>
      <rPr>
        <sz val="8"/>
        <color theme="1"/>
        <rFont val="Arial"/>
      </rPr>
      <t xml:space="preserve">
● Тамбур - шлюз (вход из технического помещения)
ДСВ-О-Н-EIS60 1100х2100(h)
Размер строительного проема 1100х2100(h)мм
Размер светового проема 900х2000(h)мм при открытой створке на 90°</t>
    </r>
  </si>
  <si>
    <r>
      <rPr>
        <b/>
        <sz val="8"/>
        <color theme="1"/>
        <rFont val="Arial"/>
      </rPr>
      <t xml:space="preserve">- 1 этаж: </t>
    </r>
    <r>
      <rPr>
        <sz val="8"/>
        <color theme="1"/>
        <rFont val="Arial"/>
      </rPr>
      <t xml:space="preserve">
● Насосная хозяйственно - питьевая
● Насосная пожаротушения
● Помещение сетей связи
● Электрощитовая
● ИТП
● КУИ
ДСВ-О-Н-EI30 1100х2100(h)
Размер строительного проема 1100х2100(h)мм
Размер светового проема 900х2000(h)мм при открытой створке на 90°</t>
    </r>
  </si>
  <si>
    <r>
      <rPr>
        <b/>
        <sz val="8"/>
        <color theme="1"/>
        <rFont val="Arial"/>
      </rPr>
      <t xml:space="preserve">- 1 этаж: </t>
    </r>
    <r>
      <rPr>
        <sz val="8"/>
        <color theme="1"/>
        <rFont val="Arial"/>
      </rPr>
      <t xml:space="preserve">
● Отдельная кладовая
● Блок кладовых/Двери между секциями
● Венткамера
ДСВ-О-Н-EI60 1100х2100(h)
Размер строительного проема 1100х2100(h)мм
Размер светового проема 900х2000(h)мм при открытой створке на 90°</t>
    </r>
  </si>
  <si>
    <r>
      <rPr>
        <b/>
        <sz val="8"/>
        <color theme="1"/>
        <rFont val="Arial"/>
      </rPr>
      <t xml:space="preserve">- 1 этаж: </t>
    </r>
    <r>
      <rPr>
        <sz val="8"/>
        <color theme="1"/>
        <rFont val="Arial"/>
      </rPr>
      <t xml:space="preserve">
● Кладовая в блоке
ДСВ-О-Н 850х2100(h)
Размер строительного проема 850х2100(h)мм
Размер светового проема 700х2000(h)мм при открытой створке на 90°</t>
    </r>
  </si>
  <si>
    <r>
      <rPr>
        <b/>
        <sz val="8"/>
        <color theme="1"/>
        <rFont val="Arial"/>
      </rPr>
      <t xml:space="preserve">1 этаж: </t>
    </r>
    <r>
      <rPr>
        <sz val="8"/>
        <color theme="1"/>
        <rFont val="Arial"/>
      </rPr>
      <t xml:space="preserve">
● Санузел (МОП)
ДС-О-Н 1100х2400(h)
Размер строительного проема 1100х2400(h)мм
Размер светового проема 900х2300(h)мм при открытой створке на 90°</t>
    </r>
  </si>
  <si>
    <r>
      <rPr>
        <b/>
        <sz val="8"/>
        <color theme="1"/>
        <rFont val="Arial"/>
      </rPr>
      <t xml:space="preserve">1 этаж, типовой этаж: </t>
    </r>
    <r>
      <rPr>
        <sz val="8"/>
        <color theme="1"/>
        <rFont val="Arial"/>
      </rPr>
      <t xml:space="preserve">
● Квартира (вход из межквартирного коридора)
ДСВ-О-Н 1050х2440(h)
Размер строительного проема 1050х2440(h)мм
Размер светового проема 900х2300(h)мм при открытой створке на 90°</t>
    </r>
  </si>
  <si>
    <r>
      <rPr>
        <b/>
        <sz val="8"/>
        <color theme="1"/>
        <rFont val="Arial"/>
      </rPr>
      <t>1 этаж, типовой этаж:</t>
    </r>
    <r>
      <rPr>
        <sz val="8"/>
        <color theme="1"/>
        <rFont val="Arial"/>
      </rPr>
      <t xml:space="preserve"> 
● Квартира (вход из межквартирного коридора) - при особых условиях
ДСВ-О-Н EI30 1050х2440(h)
Размер строительного проема 1050х2440(h)мм
Размер светового проема 900х2300(h)мм при открытой створке на 90°</t>
    </r>
  </si>
  <si>
    <t>Дверной блок стальной внутренний однопольный открывание внутрь EIS60 1400х2440(h)</t>
  </si>
  <si>
    <r>
      <rPr>
        <b/>
        <sz val="8"/>
        <color theme="1"/>
        <rFont val="Arial"/>
      </rPr>
      <t xml:space="preserve">Типовой этаж: </t>
    </r>
    <r>
      <rPr>
        <sz val="8"/>
        <color theme="1"/>
        <rFont val="Arial"/>
      </rPr>
      <t xml:space="preserve">
● Лестница Н2 (вход из ЛХ)
● Лифтовой холл Н2 (вход из межквартирного коридора)
ДСВ-О-Вн-EIS60 1400х2440(h)
Размер строительного проема 1400х2440(h)мм
Размер светового проема 1200х2300(h)мм при открытой створке на 90°</t>
    </r>
  </si>
  <si>
    <r>
      <rPr>
        <b/>
        <sz val="8"/>
        <color theme="1"/>
        <rFont val="Arial"/>
      </rPr>
      <t xml:space="preserve">Технический этаж (надстройка, без надстройки): </t>
    </r>
    <r>
      <rPr>
        <sz val="8"/>
        <color theme="1"/>
        <rFont val="Arial"/>
      </rPr>
      <t xml:space="preserve">
● Кровля (вход в лестничную клетку)
● Технический этаж (чердак)
● Вентиляционная камера
ДСВ-О-Н-EI60 1100х1900(h)
Размер строительного проема 1100х1900(h)мм
Размер светового проема 900х1800(h)мм при открытой створке на 90°</t>
    </r>
  </si>
  <si>
    <r>
      <rPr>
        <b/>
        <sz val="8"/>
        <color theme="1"/>
        <rFont val="Arial"/>
      </rPr>
      <t xml:space="preserve">- 1 этаж: </t>
    </r>
    <r>
      <rPr>
        <sz val="8"/>
        <color theme="1"/>
        <rFont val="Arial"/>
      </rPr>
      <t xml:space="preserve">
● Лестница (выход на улицу с -1 этажа (количество не более 50 человек, расчет пожарных рисков на ширину прохода)
● Лестница (выход на улицу из жилья)
● Инженерные помещения
ДАН-О-Н 1300х2400(h)
Размер строительного проема 1300х2400(h)мм
Размер светового проема 1050х2250(h)мм при открытой створке на 90°</t>
    </r>
  </si>
  <si>
    <r>
      <rPr>
        <b/>
        <sz val="8"/>
        <color theme="1"/>
        <rFont val="Arial"/>
      </rPr>
      <t xml:space="preserve">- 1 этаж: </t>
    </r>
    <r>
      <rPr>
        <sz val="8"/>
        <color theme="1"/>
        <rFont val="Arial"/>
      </rPr>
      <t xml:space="preserve">
● Лифтовой холл (вход из паркинга через тамбур-шлюз) 
● Тамбур-шлюз (лестница)
● Тамбур-шлюз (вход из паркинга)
ДАВ-О-Н-EIWS60 1300х2100(h)
Размер строительного проема 1300х2100(h)мм
Размер светового проема 1050х1950((h)мм при открытой створке на 90° </t>
    </r>
  </si>
  <si>
    <r>
      <rPr>
        <b/>
        <sz val="8"/>
        <color theme="1"/>
        <rFont val="Arial"/>
      </rPr>
      <t xml:space="preserve">- 1 этаж: </t>
    </r>
    <r>
      <rPr>
        <sz val="8"/>
        <color theme="1"/>
        <rFont val="Arial"/>
      </rPr>
      <t xml:space="preserve">
● Велосипедная
ДАВ-О-Н-EIW30 1150х2100(h)
Размер строительного проема 1150х2100(h)мм
Размер светового проема 900х1950((h)мм при открытой створке на 90°</t>
    </r>
  </si>
  <si>
    <r>
      <rPr>
        <b/>
        <sz val="8"/>
        <color theme="1"/>
        <rFont val="Arial"/>
      </rPr>
      <t xml:space="preserve">1 этаж: </t>
    </r>
    <r>
      <rPr>
        <sz val="8"/>
        <color theme="1"/>
        <rFont val="Arial"/>
      </rPr>
      <t xml:space="preserve">
● Колясочная
ДАВ-О-Н(В) 1300х2400(h)
Размер строительного проема 1300х2400(h)мм
Размер светового проема 1050х2250((h)мм при открытой створке на 90°</t>
    </r>
  </si>
  <si>
    <r>
      <rPr>
        <b/>
        <sz val="8"/>
        <color theme="1"/>
        <rFont val="Arial"/>
      </rPr>
      <t xml:space="preserve">1 этаж: </t>
    </r>
    <r>
      <rPr>
        <sz val="8"/>
        <color theme="1"/>
        <rFont val="Arial"/>
      </rPr>
      <t xml:space="preserve">
● Межквартирный коридор 
ДАВ-О-Н 1300х2400(h)
Размер строительного проема 1300х2400(h)мм
Размер светового проема 1050х2250((h)мм при открытой створке на 90° </t>
    </r>
  </si>
  <si>
    <t>Дверной блок алюминиевый внутренний двупольный открывание внутрь EIWS60 1600х2400(h)</t>
  </si>
  <si>
    <r>
      <rPr>
        <b/>
        <sz val="8"/>
        <color theme="1"/>
        <rFont val="Arial"/>
      </rPr>
      <t xml:space="preserve">1 этаж: </t>
    </r>
    <r>
      <rPr>
        <sz val="8"/>
        <color theme="1"/>
        <rFont val="Arial"/>
      </rPr>
      <t xml:space="preserve">
● Лестница (выход из жилья в тамбур) 100T
ДАВ-Д-Вн-EIWS60 1600х2400(h)
Размер строительного проема 1600х2400(h)мм
Размер светового проема 1200х2250((h)мм при открытой створке на 90° 
Размер активной створки 1000мм</t>
    </r>
  </si>
  <si>
    <r>
      <rPr>
        <b/>
        <sz val="8"/>
        <color theme="1"/>
        <rFont val="Arial"/>
      </rPr>
      <t xml:space="preserve">1 этаж: </t>
    </r>
    <r>
      <rPr>
        <sz val="8"/>
        <color theme="1"/>
        <rFont val="Arial"/>
      </rPr>
      <t xml:space="preserve">
● Квартира (наружный фасад)
ДАН-О-Н 1250х3765(h)
Размер строительного проема 1250х3765(h)мм
Размер светового проема 95х2300((h)мм при открытой створке на 90°</t>
    </r>
  </si>
  <si>
    <t>МОП</t>
  </si>
  <si>
    <r>
      <rPr>
        <sz val="8"/>
        <color theme="1"/>
        <rFont val="Arial"/>
      </rPr>
      <t xml:space="preserve">Помещения мест общего пользования: 
</t>
    </r>
    <r>
      <rPr>
        <b/>
        <i/>
        <sz val="8"/>
        <color theme="1"/>
        <rFont val="Arial"/>
      </rPr>
      <t>Черновая отделка:</t>
    </r>
    <r>
      <rPr>
        <sz val="8"/>
        <color theme="1"/>
        <rFont val="Arial"/>
      </rPr>
      <t xml:space="preserve">
Полы: верхний слой - стяжка.
Стены: 
- Под нанесение декоративных штукатурок, обоев, окраски - улучшенная гипсовая штукатурка 15 мм по кладке и 15 мм по бетону, шпатлевка и затирка поверхности (перегородки и зашивки ГКЛ, ГКЛВ без штукатурки, только шпатлевание и затирка швов под последующую покраску). Категория качества поверхностей К4. 
- Под выполнение облицовочных работ различными типами плиток и листовых материалов - улучшенная гипсовая штукатурка 15 мм по кладке и 15 мм по бетону, (перегородки и зашивки ГКЛ, ГКЛВ без отделки). Категория качества поверхностей К1. 
- Потолок: монолитная ж/б плита перекрытия класс поверхности А3 (без отделки).
В швах сопряжения перегородок и стен предусмотреть армировку штукатурного слоя сеткой стеклотканевой штукатурной.
</t>
    </r>
    <r>
      <rPr>
        <b/>
        <i/>
        <sz val="8"/>
        <color theme="1"/>
        <rFont val="Arial"/>
      </rPr>
      <t>Чистовая отделка</t>
    </r>
    <r>
      <rPr>
        <sz val="8"/>
        <color theme="1"/>
        <rFont val="Arial"/>
      </rPr>
      <t xml:space="preserve"> согласно концепции и рабочей документации по интерьерам МОП.
Предусмотреть грязезащиту.</t>
    </r>
  </si>
  <si>
    <r>
      <rPr>
        <sz val="8"/>
        <color theme="1"/>
        <rFont val="Arial"/>
      </rPr>
      <t xml:space="preserve">Пол МОП. Холл, лифтовой холл, коридор, </t>
    </r>
    <r>
      <rPr>
        <sz val="8"/>
        <color rgb="FFFF0000"/>
        <rFont val="Arial"/>
      </rPr>
      <t>подъезды,</t>
    </r>
    <r>
      <rPr>
        <sz val="8"/>
        <color theme="1"/>
        <rFont val="Arial"/>
      </rPr>
      <t xml:space="preserve"> первый этаж</t>
    </r>
  </si>
  <si>
    <r>
      <rPr>
        <b/>
        <sz val="8"/>
        <color rgb="FF000000"/>
        <rFont val="Arial"/>
      </rPr>
      <t xml:space="preserve">Квартиры: </t>
    </r>
    <r>
      <rPr>
        <sz val="8"/>
        <color rgb="FF000000"/>
        <rFont val="Arial"/>
      </rPr>
      <t xml:space="preserve">
Полы: черновые (верхний слой - стяжка). Гидроизоляция мокрых зон (санузлов) выполняется силами и за счет собственника помещений.
Стены: улучшенная гипсовая штукатурка 15 мм по кладке и 15 мм по монолитному железобетону, категория качества поверхностей не менее К2. 
В мокрых помещениях цементно-песчаная штукатурка 15 мм по кладке и 15 мм по монолитному железобетону, категория качества поверхностей К1.
Перегородки и зашивки ГКЛ без отделки.
Потолок: Монолитная ж/б плита перекрытия класс поверхности А4 (без отделки).
Оконные и дверные откосы: без отделки (штукатурку не выполнять).
</t>
    </r>
    <r>
      <rPr>
        <b/>
        <sz val="8"/>
        <color rgb="FF000000"/>
        <rFont val="Arial"/>
      </rPr>
      <t xml:space="preserve">Квартиры двухуровневые; с отдельным входом; с надстройкой на последнем этаже: </t>
    </r>
    <r>
      <rPr>
        <sz val="8"/>
        <color rgb="FF000000"/>
        <rFont val="Arial"/>
      </rPr>
      <t xml:space="preserve">
Полы: верхний слой - стяжка - двухуровневые, с отдельным входом.
Полы: черновые - с надстройкой на верхнем этаже.
Гидроизоляция мокрых зон (санузлов) выполняется силами и за счет собственника помещений.
Стены: Без отделки.
Потолок: Монолитная ж/б плита перекрытия класс поверхности А4 (без отделки).
Оконные и дверные откосы: без отделки (штукатурку не выполнять).
В двухуровневых квартирах (дуплексах) предусмотреть временные деревянные лестницы. </t>
    </r>
  </si>
  <si>
    <r>
      <rPr>
        <sz val="8"/>
        <color theme="1"/>
        <rFont val="Arial"/>
      </rPr>
      <t>1. Финишная отделка (выполняется собственником) - 20 мм
2. Стяжка из ц/п раствора М150 с полипропиленовой фиброй - 50 мм
3. Экструзионный пенополистирол плотностью 35 кг/м3</t>
    </r>
    <r>
      <rPr>
        <b/>
        <sz val="8"/>
        <color theme="1"/>
        <rFont val="Arial"/>
      </rPr>
      <t xml:space="preserve"> </t>
    </r>
    <r>
      <rPr>
        <sz val="8"/>
        <color theme="1"/>
        <rFont val="Arial"/>
      </rPr>
      <t>- 80 мм
4. Железобетонная плита перекрытия</t>
    </r>
  </si>
  <si>
    <t>3.5.3.7</t>
  </si>
  <si>
    <t>Пол балкон (лоджия)</t>
  </si>
  <si>
    <t>1. Финишная отделка (выполняется собственником)
2. Гидроизоляция MasterSeal 550
3. Железобетонная плита перекрытия</t>
  </si>
  <si>
    <t>Монолит</t>
  </si>
  <si>
    <t>Префаб</t>
  </si>
  <si>
    <r>
      <rPr>
        <b/>
        <sz val="8"/>
        <color theme="1"/>
        <rFont val="Arial"/>
      </rPr>
      <t>Автостоянка:</t>
    </r>
    <r>
      <rPr>
        <sz val="8"/>
        <color theme="1"/>
        <rFont val="Arial"/>
      </rPr>
      <t xml:space="preserve">
Полы, стены, потолок: чистовая отделка согласно концепции и рабочей документации по интерьерам автостоянки.
В конструкции полов автостоянки не применять лотки, не выполнять разуклонку полов.</t>
    </r>
  </si>
  <si>
    <t>Кладовые</t>
  </si>
  <si>
    <t>Екатеринбург, Тюмень, Омск, Курган, Новосибирск</t>
  </si>
  <si>
    <t>Кровельный пирог Сургут</t>
  </si>
  <si>
    <t>Состав:
1. Техноэласт ЭКП - 4 мм
2. Техноэласт ЭПП - 4 мм
3. Праймер битумный Технониколь №1
4. Цементно-песчаная стяжка М150, армированная сеткой 4Вр-I 150х150 - 50 мм
5. Разуклонка из керамзита - от 30 мм 
6. Утеплитель ЭППС Технониколь - 240 мм
7. Пароизоляция Биполь
8. Монолитный железобетон (плита перекрытия)</t>
  </si>
  <si>
    <t>Кровельный пирог Москва</t>
  </si>
  <si>
    <t>Состав:
1. Техноэласт ЭКП - 4 мм
2. Техноэласт ЭПП - 4 мм
3. Праймер битумный Технониколь №1
4. Цементно-песчаная стяжка М150, армированная сеткой 4Вр-I 150х150 - 50 мм
5. Разуклонка из керамзита - от 30 мм 
6. Утеплитель ЭППС Технониколь - 170 мм
7. Пароизоляция Биполь
8. Монолитный железобетон (плита перекрытия)</t>
  </si>
  <si>
    <r>
      <rPr>
        <sz val="8"/>
        <color theme="1"/>
        <rFont val="Arial"/>
      </rPr>
      <t xml:space="preserve">Состав:
1. Слои благоустройства
2. Профилированная мембрана Planter Geo
3. Утеплитель ЭППС Технониколь - 100 мм
4. Техноэласт ГРИН – 4 мм
5. Техноэласт ЭПП – 4 мм
6. Праймер битумный ТЕХНОНИКОЛЬ №01
7. Армированная цементная - песчаная стяжка, сеткой ВрI 50х50мм - 40 мм
</t>
    </r>
    <r>
      <rPr>
        <sz val="8"/>
        <color theme="1"/>
        <rFont val="Arial"/>
      </rPr>
      <t>8. Уклонообразующий слой из керамзита - от 50мм</t>
    </r>
    <r>
      <rPr>
        <sz val="8"/>
        <color theme="1"/>
        <rFont val="Arial"/>
      </rPr>
      <t xml:space="preserve">
9. Монолитный железобетон (плита перекрытия)</t>
    </r>
  </si>
  <si>
    <t>Неэксплуатируемая</t>
  </si>
  <si>
    <t>Эксплуатируемая</t>
  </si>
  <si>
    <r>
      <rPr>
        <b/>
        <sz val="9"/>
        <color rgb="FF000000"/>
        <rFont val="Arial"/>
      </rPr>
      <t>4</t>
    </r>
    <r>
      <rPr>
        <b/>
        <sz val="9"/>
        <color rgb="FF000000"/>
        <rFont val="Arial"/>
      </rPr>
      <t>.1 Временное водопонижение</t>
    </r>
  </si>
  <si>
    <r>
      <rPr>
        <b/>
        <sz val="9"/>
        <color rgb="FF000000"/>
        <rFont val="Arial"/>
      </rPr>
      <t>4</t>
    </r>
    <r>
      <rPr>
        <b/>
        <sz val="9"/>
        <color rgb="FF000000"/>
        <rFont val="Arial"/>
      </rPr>
      <t>.2 Дренаж</t>
    </r>
  </si>
  <si>
    <r>
      <rPr>
        <sz val="8"/>
        <color theme="1"/>
        <rFont val="Arial"/>
      </rPr>
      <t>Для эксплуатации трубчатых дрен.
Колодец заводского изготовления по типовому проекту 902-09-22.84 альбом 2 из сборных железобетонных элементов</t>
    </r>
    <r>
      <rPr>
        <sz val="8"/>
        <color rgb="FFFF0000"/>
        <rFont val="Arial"/>
      </rPr>
      <t>.</t>
    </r>
  </si>
  <si>
    <t>4.2.3 Особые требования для региона Сургут</t>
  </si>
  <si>
    <t>4.2.1.а</t>
  </si>
  <si>
    <t>Выполнять замещение основания на 600 мм от низа плиты пола паркинга.
В замещенном основании предусмотреть:
50 мм - утепление ЭППС для снижения влияния отрицательных температур
550 мм - песчаная подготовка из крупного песка (или 400 мм под пластовым дренажем) - для ликвидации капиллярного поднятия влаги
На период устройства замещения основания потребуется выполнить устройство водопонижения.
Строительство паркинга выполнять за один сезон, при положительных температурах наружного воздуха. На период отрицательных температур - выполнить укрытие плиты паркинга для предотвращения промораживания основания.</t>
  </si>
  <si>
    <t>Компоновка рампы Класс C</t>
  </si>
  <si>
    <t>Компоновка рампы Класс А</t>
  </si>
  <si>
    <t>Компоновка арки Класс C</t>
  </si>
  <si>
    <t>Компоновка арки Класс A</t>
  </si>
  <si>
    <r>
      <rPr>
        <sz val="8"/>
        <color rgb="FF000000"/>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нормативные нагрузки: квартиры 150кг/м², офисы 200кг/м², пути эвакуации 300кг/м², торговые залы 400кг/м².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rgb="FF000000"/>
        <rFont val="Arial"/>
      </rPr>
      <t xml:space="preserve">Основные параметры каркаса:
</t>
    </r>
    <r>
      <rPr>
        <sz val="8"/>
        <color rgb="FF000000"/>
        <rFont val="Arial"/>
      </rPr>
      <t xml:space="preserve">Базовый шаг вертикальных конструкции 3450мм.
Предусмотреть деформационные швы на границе сблокированных секций при разнице высот секций в два и более этажей или при суммарной длине сблокированных секций более 55 м (16 базовых шагов по 3,45 м).
• Плита фундаментная монолитная </t>
    </r>
    <r>
      <rPr>
        <b/>
        <sz val="8"/>
        <color rgb="FF000000"/>
        <rFont val="Arial"/>
      </rPr>
      <t xml:space="preserve">- </t>
    </r>
    <r>
      <rPr>
        <sz val="8"/>
        <color rgb="FF000000"/>
        <rFont val="Arial"/>
      </rPr>
      <t>по расчету, но не более 500 мм
• Стена приямка лифтового монолитная 300 мм
• Плита приямка лифтового монолитная 300 мм
• Стена монолитная 250 мм - Наружная стена подвала, Стена арка, Стена рампа 
• Балка монолитная над въездной аркой, рампой - 950х500(h) мм (с учетом плиты перекрытия)
• Стена лестнично - лифтового узла монолитная 160 мм - (с -1 по 9 этаж)
• Пилон монолитный 250х1500; 250х1800 мм - Пилон каркаса переходной
• Пилон монолитный 250х900; 250х1200 мм - Пилон каркаса (с -1 по 9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</si>
  <si>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r>
      <rPr>
        <sz val="8"/>
        <rFont val="Arial"/>
      </rPr>
      <t>Плита фундаментная монолитная 500 мм. (</t>
    </r>
    <r>
      <rPr>
        <sz val="8"/>
        <color rgb="FF1155CC"/>
        <rFont val="Arial"/>
      </rPr>
      <t>армирование сетками</t>
    </r>
    <r>
      <rPr>
        <sz val="8"/>
        <rFont val="Arial"/>
      </rPr>
      <t>)</t>
    </r>
  </si>
  <si>
    <t>Сетка</t>
  </si>
  <si>
    <r>
      <rPr>
        <sz val="8"/>
        <rFont val="Arial"/>
      </rPr>
      <t>Пилон монолитный 250х600 мм. (</t>
    </r>
    <r>
      <rPr>
        <sz val="8"/>
        <color rgb="FF1155CC"/>
        <rFont val="Arial"/>
      </rPr>
      <t>армирование сетками</t>
    </r>
    <r>
      <rPr>
        <sz val="8"/>
        <rFont val="Arial"/>
      </rPr>
      <t>)</t>
    </r>
  </si>
  <si>
    <r>
      <rPr>
        <sz val="8"/>
        <color rgb="FF000000"/>
        <rFont val="Arial"/>
      </rPr>
      <t xml:space="preserve">Армирование пилонов принять пространственными каркасами из сварных сеток по типовому альбому БСА.1-КЖ.И-Р1.
</t>
    </r>
    <r>
      <rPr>
        <sz val="8"/>
        <color rgb="FF000000"/>
        <rFont val="Arial"/>
      </rPr>
      <t xml:space="preserve">На участках, где невозможно выполнить армирование при помощи типовых сеток - выполнить армирование отдельными стержнями (обосновать расчетом).
</t>
    </r>
    <r>
      <rPr>
        <sz val="8"/>
        <color rgb="FF000000"/>
        <rFont val="Arial"/>
      </rPr>
      <t xml:space="preserve">
Диаметр основной продольной рабочей арматуры - 8, 10, 12, 16 мм (принять по расчету).
Диаметр дополнительной продольной арматуры - 10, 12, 16, 20, 25 мм (принять по расчету).
</t>
    </r>
    <r>
      <rPr>
        <sz val="8"/>
        <color rgb="FF000000"/>
        <rFont val="Arial"/>
      </rPr>
      <t>Диаметры</t>
    </r>
    <r>
      <rPr>
        <sz val="8"/>
        <color rgb="FF000000"/>
        <rFont val="Arial"/>
      </rPr>
      <t xml:space="preserve"> поперечной арматуры принять в соответствии с п.10.3.6, 10.3.12 СП 63.13330.2018. 
Шаг стержней принять максимально возможный (кратный 50 мм), по расчету.
Класс рабочей арматуры для сеток/каркасов А500С.
Бетон: B30, (W4, F150) - ниже плиты пола первого этажа
 B25, (W4, F150) - выше плиты пола первого этажа
Расход арматуры: не более 80 кг/м3</t>
    </r>
  </si>
  <si>
    <r>
      <rPr>
        <sz val="8"/>
        <rFont val="Arial"/>
      </rPr>
      <t>Пилон монолитный 250х900 мм. (</t>
    </r>
    <r>
      <rPr>
        <sz val="8"/>
        <color rgb="FF1155CC"/>
        <rFont val="Arial"/>
      </rPr>
      <t>армирование сетками</t>
    </r>
    <r>
      <rPr>
        <sz val="8"/>
        <rFont val="Arial"/>
      </rPr>
      <t>)</t>
    </r>
  </si>
  <si>
    <r>
      <rPr>
        <sz val="8"/>
        <color rgb="FF000000"/>
        <rFont val="Arial"/>
      </rPr>
      <t xml:space="preserve">Армирование пилонов принять пространственными каркасами из сварных сеток по типовому альбому БСА.1-КЖ.И-Р1.
</t>
    </r>
    <r>
      <rPr>
        <sz val="8"/>
        <color rgb="FF000000"/>
        <rFont val="Arial"/>
      </rPr>
      <t>На участках, где невозможно выполнить армирование при помощи типовых сеток - выполнить армирование отдельными стержнями (обосновать расчетом).</t>
    </r>
    <r>
      <rPr>
        <sz val="8"/>
        <color rgb="FF000000"/>
        <rFont val="Arial"/>
      </rPr>
      <t xml:space="preserve">
Диаметр основной продольной рабочей арматуры - 8, 10, 12, 16 мм (принять по расчету).
Диаметр дополнительной продольной арматуры - 10, 12, 16, 20, 25 мм (принять по расчету).
Диаметры поперечной арматуры принять в соответствии с п.10.3.6, 10.3.12 СП 63.13330.2018. 
Шаг стержней принять максимально возможный (кратный 50 мм), по расчету.
Класс рабочей арматуры для сеток/каркасов А500С.
Бетон: B30, (W4, F150) - ниже плиты пола первого этажа
 B25, (W4, F150) - выше плиты пола первого этажа
Расход арматуры: не более 80 кг/м3</t>
    </r>
  </si>
  <si>
    <r>
      <rPr>
        <sz val="8"/>
        <rFont val="Arial"/>
      </rPr>
      <t>Пилон монолитный 250х1200 мм. (</t>
    </r>
    <r>
      <rPr>
        <sz val="8"/>
        <color rgb="FF1155CC"/>
        <rFont val="Arial"/>
      </rPr>
      <t>армирование сетками</t>
    </r>
    <r>
      <rPr>
        <sz val="8"/>
        <rFont val="Arial"/>
      </rPr>
      <t>)</t>
    </r>
  </si>
  <si>
    <r>
      <rPr>
        <sz val="8"/>
        <rFont val="Arial"/>
      </rPr>
      <t>Пилон монолитный 250х1500 мм. (</t>
    </r>
    <r>
      <rPr>
        <sz val="8"/>
        <color rgb="FF1155CC"/>
        <rFont val="Arial"/>
      </rPr>
      <t>армирование сетками</t>
    </r>
    <r>
      <rPr>
        <sz val="8"/>
        <rFont val="Arial"/>
      </rPr>
      <t>)</t>
    </r>
  </si>
  <si>
    <r>
      <rPr>
        <sz val="8"/>
        <rFont val="Arial"/>
      </rPr>
      <t>Пилон монолитный 250х1800 мм. (</t>
    </r>
    <r>
      <rPr>
        <sz val="8"/>
        <color rgb="FF1155CC"/>
        <rFont val="Arial"/>
      </rPr>
      <t>армирование сетками</t>
    </r>
    <r>
      <rPr>
        <sz val="8"/>
        <rFont val="Arial"/>
      </rPr>
      <t>)</t>
    </r>
  </si>
  <si>
    <r>
      <rPr>
        <sz val="8"/>
        <rFont val="Arial"/>
      </rPr>
      <t>Стена монолитная 250 мм. (</t>
    </r>
    <r>
      <rPr>
        <sz val="8"/>
        <color rgb="FF1155CC"/>
        <rFont val="Arial"/>
      </rPr>
      <t>армирование сетками</t>
    </r>
    <r>
      <rPr>
        <sz val="8"/>
        <rFont val="Arial"/>
      </rPr>
      <t>)</t>
    </r>
  </si>
  <si>
    <t>Стена сборная железобетонная 130 мм.</t>
  </si>
  <si>
    <t>Наружная стена подвала - 1 этажа;
Сборная железобетонная стена заводского изготовления с контрфорсами (150х400мм)</t>
  </si>
  <si>
    <r>
      <rPr>
        <sz val="8"/>
        <rFont val="Arial"/>
      </rPr>
      <t>Стена лестнично - лифтового узла монолитная 160 мм. (</t>
    </r>
    <r>
      <rPr>
        <sz val="8"/>
        <color rgb="FF1155CC"/>
        <rFont val="Arial"/>
      </rPr>
      <t>армирование сетками</t>
    </r>
    <r>
      <rPr>
        <sz val="8"/>
        <rFont val="Arial"/>
      </rPr>
      <t>)</t>
    </r>
  </si>
  <si>
    <t>Стена лестнично - лифтового узла сборная железобетонная 160 мм.</t>
  </si>
  <si>
    <t>Для префабрицированной лестничной клетки</t>
  </si>
  <si>
    <r>
      <rPr>
        <sz val="8"/>
        <rFont val="Arial"/>
      </rPr>
      <t>Плита перекрытия монолитная 180 мм. (</t>
    </r>
    <r>
      <rPr>
        <sz val="8"/>
        <color rgb="FF1155CC"/>
        <rFont val="Arial"/>
      </rPr>
      <t>армирование сетками</t>
    </r>
    <r>
      <rPr>
        <sz val="8"/>
        <rFont val="Arial"/>
      </rPr>
      <t>)</t>
    </r>
  </si>
  <si>
    <r>
      <rPr>
        <sz val="8"/>
        <rFont val="Arial"/>
      </rPr>
      <t>Плита перекрытия монолитная 200 мм. (</t>
    </r>
    <r>
      <rPr>
        <sz val="8"/>
        <color rgb="FF1155CC"/>
        <rFont val="Arial"/>
      </rPr>
      <t>армирование сетками</t>
    </r>
    <r>
      <rPr>
        <sz val="8"/>
        <rFont val="Arial"/>
      </rPr>
      <t>)</t>
    </r>
  </si>
  <si>
    <r>
      <rPr>
        <sz val="8"/>
        <rFont val="Arial"/>
      </rPr>
      <t>Плита покрытия монолитная 200 мм. (</t>
    </r>
    <r>
      <rPr>
        <sz val="8"/>
        <color rgb="FF1155CC"/>
        <rFont val="Arial"/>
      </rPr>
      <t>армирование сетками</t>
    </r>
    <r>
      <rPr>
        <sz val="8"/>
        <rFont val="Arial"/>
      </rPr>
      <t>)</t>
    </r>
  </si>
  <si>
    <t>Армирование выполнять отдельными стержнями.
Класс рабочей арматуры А500С.
Бетон: B25, (W4, F150)
Расход арматуры: не более 80 кг/м3</t>
  </si>
  <si>
    <r>
      <rPr>
        <sz val="8"/>
        <color theme="1"/>
        <rFont val="Arial"/>
      </rPr>
      <t xml:space="preserve">Между - 1 и 1 этажом, 1 и 2 этажом, между последним этажом и чердаком. 
</t>
    </r>
    <r>
      <rPr>
        <sz val="8"/>
        <color theme="1"/>
        <rFont val="Arial"/>
      </rPr>
      <t>Армирование выполнять отдельными стержнями.</t>
    </r>
    <r>
      <rPr>
        <sz val="8"/>
        <color theme="1"/>
        <rFont val="Arial"/>
      </rPr>
      <t xml:space="preserve">
</t>
    </r>
    <r>
      <rPr>
        <sz val="8"/>
        <color theme="1"/>
        <rFont val="Arial"/>
      </rPr>
      <t>Класс рабочей арматуры А500С.</t>
    </r>
    <r>
      <rPr>
        <sz val="8"/>
        <color theme="1"/>
        <rFont val="Arial"/>
      </rPr>
      <t xml:space="preserve">
Бетон: B25, (W4, F150)
Расход арматуры: не более 80 кг/м3</t>
    </r>
  </si>
  <si>
    <r>
      <rPr>
        <sz val="8"/>
        <color theme="1"/>
        <rFont val="Arial"/>
      </rPr>
      <t>Для типового этажа префабрицированной лестничной клетки высотой 3 метра.
БЛП 2540х1800х320</t>
    </r>
    <r>
      <rPr>
        <sz val="8"/>
        <color rgb="FFFF0000"/>
        <rFont val="Arial"/>
      </rPr>
      <t xml:space="preserve">-Л - </t>
    </r>
    <r>
      <rPr>
        <sz val="8"/>
        <color rgb="FF434343"/>
        <rFont val="Arial"/>
      </rPr>
      <t>для прямой секции</t>
    </r>
    <r>
      <rPr>
        <sz val="8"/>
        <color theme="1"/>
        <rFont val="Arial"/>
      </rPr>
      <t xml:space="preserve">
</t>
    </r>
    <r>
      <rPr>
        <sz val="8"/>
        <color rgb="FFFF0000"/>
        <rFont val="Arial"/>
      </rPr>
      <t>БЛП 2540х1800х320-П - для прямой секции</t>
    </r>
    <r>
      <rPr>
        <sz val="8"/>
        <color theme="1"/>
        <rFont val="Arial"/>
      </rPr>
      <t xml:space="preserve">
Сборный железобетон заводского изготовления.
Согласно альбома БЛК-3.0-КЖ.Р1</t>
    </r>
  </si>
  <si>
    <r>
      <rPr>
        <sz val="8"/>
        <color theme="1"/>
        <rFont val="Arial"/>
      </rPr>
      <t>Для типового этажа префабрицированной лестничной клетки высотой 3 метра.
БЛП 1200х1800х320</t>
    </r>
    <r>
      <rPr>
        <sz val="8"/>
        <color rgb="FFFF0000"/>
        <rFont val="Arial"/>
      </rPr>
      <t xml:space="preserve">-Л - </t>
    </r>
    <r>
      <rPr>
        <sz val="8"/>
        <color theme="1"/>
        <rFont val="Arial"/>
      </rPr>
      <t xml:space="preserve">для угловой секции
</t>
    </r>
    <r>
      <rPr>
        <sz val="8"/>
        <color rgb="FFFF0000"/>
        <rFont val="Arial"/>
      </rPr>
      <t>БЛП 1200х1800х320-П - для угловой секции</t>
    </r>
    <r>
      <rPr>
        <sz val="8"/>
        <color theme="1"/>
        <rFont val="Arial"/>
      </rPr>
      <t xml:space="preserve">
Сборный железобетон заводского изготовления.
Согласно альбома БЛК-3.0-КЖ.Р1</t>
    </r>
  </si>
  <si>
    <t>Армирование выполнять отдельными стержнями.
Класс рабочей арматуры А500С.
Армирование ступеней не предусматривать.
Бетон: B25, (W4, F150)
Расход арматуры: не более 80 кг/м3</t>
  </si>
  <si>
    <r>
      <rPr>
        <sz val="8"/>
        <color theme="1"/>
        <rFont val="Arial"/>
      </rPr>
      <t xml:space="preserve">Монолитный парапет по плите перекрытия, покрытия.
Высотой </t>
    </r>
    <r>
      <rPr>
        <sz val="8"/>
        <color theme="1"/>
        <rFont val="Arial"/>
      </rPr>
      <t>470 мм; 950 мм; 1650 мм.</t>
    </r>
    <r>
      <rPr>
        <sz val="8"/>
        <color theme="1"/>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</si>
  <si>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r>
      <rPr>
        <sz val="8"/>
        <rFont val="Arial"/>
      </rPr>
      <t xml:space="preserve">Балкон префабрицированный, заводского изготовления.
Согласно </t>
    </r>
    <r>
      <rPr>
        <sz val="8"/>
        <color rgb="FF1155CC"/>
        <rFont val="Arial"/>
      </rPr>
      <t>матрица префаб.балконов V2.0</t>
    </r>
    <r>
      <rPr>
        <sz val="8"/>
        <rFont val="Arial"/>
      </rPr>
      <t>.</t>
    </r>
  </si>
  <si>
    <t>4.3.1.28</t>
  </si>
  <si>
    <t>Балкон монолитный Сургут</t>
  </si>
  <si>
    <t>В составе монолитных плит перекрытия.</t>
  </si>
  <si>
    <t>С50</t>
  </si>
  <si>
    <r>
      <rPr>
        <sz val="8"/>
        <color rgb="FF000000"/>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нормативные нагрузки: квартиры 150кг/м², офисы 200кг/м², пути эвакуации 300кг/м², торговые залы 400кг/м².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rgb="FF000000"/>
        <rFont val="Arial"/>
      </rPr>
      <t xml:space="preserve">Основные параметры каркаса:
</t>
    </r>
    <r>
      <rPr>
        <sz val="8"/>
        <color rgb="FF000000"/>
        <rFont val="Arial"/>
      </rPr>
      <t xml:space="preserve">Базовый шаг вертикальных конструкции 3450мм.
Предусмотреть деформационные швы на границе сблокированных секций при разнице высот секций в два и более этажей или при суммарной длине сблокированных секций более 55 м (16 базовых шагов по 3,45 м).
• Плита фундаментная монолитная </t>
    </r>
    <r>
      <rPr>
        <b/>
        <sz val="8"/>
        <color rgb="FF000000"/>
        <rFont val="Arial"/>
      </rPr>
      <t xml:space="preserve">- </t>
    </r>
    <r>
      <rPr>
        <sz val="8"/>
        <color rgb="FF000000"/>
        <rFont val="Arial"/>
      </rPr>
      <t>по расчету, но не более 800 мм
• Стена приямка лифтового монолитная 300 мм
• Плита приямка лифтового монолитная 400 мм
• Стена монолитная 250 мм - Наружная стена подвала, Стена арка, Стена рампа 
• Стена лестнично - лифтового узла монолитная 160 мм - (с -1 по 16, 17 этаж)
• Пилон монолитный 250х1500; 250х1800 мм - Пилон каркаса переходной
• Пилон монолитный 250х900; 250х1200 мм - Пилон каркаса (с -1 по 16, 17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</si>
  <si>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r>
      <rPr>
        <sz val="8"/>
        <rFont val="Arial"/>
      </rPr>
      <t>Плита фундаментная монолитная 800 мм. (</t>
    </r>
    <r>
      <rPr>
        <sz val="8"/>
        <color rgb="FF1155CC"/>
        <rFont val="Arial"/>
      </rPr>
      <t>армирование сетками</t>
    </r>
    <r>
      <rPr>
        <sz val="8"/>
        <rFont val="Arial"/>
      </rPr>
      <t>)</t>
    </r>
  </si>
  <si>
    <r>
      <rPr>
        <sz val="8"/>
        <rFont val="Arial"/>
      </rPr>
      <t>Пилон монолитный 250х600 мм. (</t>
    </r>
    <r>
      <rPr>
        <sz val="8"/>
        <color rgb="FF1155CC"/>
        <rFont val="Arial"/>
      </rPr>
      <t>армирование сетками</t>
    </r>
    <r>
      <rPr>
        <sz val="8"/>
        <rFont val="Arial"/>
      </rPr>
      <t>)</t>
    </r>
  </si>
  <si>
    <r>
      <rPr>
        <sz val="8"/>
        <color rgb="FF000000"/>
        <rFont val="Arial"/>
      </rPr>
      <t xml:space="preserve">Армирование пилонов принять пространственными каркасами из сварных сеток по типовому альбому БСА.1-КЖ.И-Р1.
</t>
    </r>
    <r>
      <rPr>
        <sz val="8"/>
        <color rgb="FF000000"/>
        <rFont val="Arial"/>
      </rPr>
      <t xml:space="preserve">На участках, где невозможно выполнить армирование при помощи типовых сеток - выполнить армирование отдельными стержнями (обосновать расчетом).
</t>
    </r>
    <r>
      <rPr>
        <sz val="8"/>
        <color rgb="FF000000"/>
        <rFont val="Arial"/>
      </rPr>
      <t xml:space="preserve">
Диаметр основной продольной рабочей арматуры - 8, 10, 12, 16 мм (принять по расчету).
Диаметр дополнительной продольной арматуры - 10, 12, 16, 20, 25 мм (принять по расчету).
</t>
    </r>
    <r>
      <rPr>
        <sz val="8"/>
        <color rgb="FF000000"/>
        <rFont val="Arial"/>
      </rPr>
      <t>Диаметры</t>
    </r>
    <r>
      <rPr>
        <sz val="8"/>
        <color rgb="FF000000"/>
        <rFont val="Arial"/>
      </rPr>
      <t xml:space="preserve"> поперечной арматуры принять в соответствии с п.10.3.6, 10.3.12 СП 63.13330.2018. 
Шаг стержней принять максимально возможный (кратный 50 мм), по расчету.
Класс рабочей арматуры для сеток/каркасов А500С.
Бетон: B30, (W4, F150) - ниже плиты пола первого этажа
 B25, (W4, F150) - выше плиты пола первого этажа
Расход арматуры: не более 80 кг/м3</t>
    </r>
  </si>
  <si>
    <r>
      <rPr>
        <sz val="8"/>
        <rFont val="Arial"/>
      </rPr>
      <t>Пилон монолитный 250х900 мм. (</t>
    </r>
    <r>
      <rPr>
        <sz val="8"/>
        <color rgb="FF1155CC"/>
        <rFont val="Arial"/>
      </rPr>
      <t>армирование сетками</t>
    </r>
    <r>
      <rPr>
        <sz val="8"/>
        <rFont val="Arial"/>
      </rPr>
      <t>)</t>
    </r>
  </si>
  <si>
    <r>
      <rPr>
        <sz val="8"/>
        <color rgb="FF000000"/>
        <rFont val="Arial"/>
      </rPr>
      <t xml:space="preserve">Армирование пилонов принять пространственными каркасами из сварных сеток по типовому альбому БСА.1-КЖ.И-Р1.
</t>
    </r>
    <r>
      <rPr>
        <sz val="8"/>
        <color rgb="FF000000"/>
        <rFont val="Arial"/>
      </rPr>
      <t>На участках, где невозможно выполнить армирование при помощи типовых сеток - выполнить армирование отдельными стержнями (обосновать расчетом).</t>
    </r>
    <r>
      <rPr>
        <sz val="8"/>
        <color rgb="FF000000"/>
        <rFont val="Arial"/>
      </rPr>
      <t xml:space="preserve">
Диаметр основной продольной рабочей арматуры - 8, 10, 12, 16 мм (принять по расчету).
Диаметр дополнительной продольной арматуры - 10, 12, 16, 20, 25 мм (принять по расчету).
Диаметры поперечной арматуры принять в соответствии с п.10.3.6, 10.3.12 СП 63.13330.2018. 
Шаг стержней принять максимально возможный (кратный 50 мм), по расчету.
Класс рабочей арматуры для сеток/каркасов А500С.
Бетон: B30, (W4, F150) - ниже плиты пола первого этажа
 B25, (W4, F150) - выше плиты пола первого этажа
Расход арматуры: не более 80 кг/м3</t>
    </r>
  </si>
  <si>
    <r>
      <rPr>
        <sz val="8"/>
        <rFont val="Arial"/>
      </rPr>
      <t>Пилон монолитный 250х1200 мм. (</t>
    </r>
    <r>
      <rPr>
        <sz val="8"/>
        <color rgb="FF1155CC"/>
        <rFont val="Arial"/>
      </rPr>
      <t>армирование сетками</t>
    </r>
    <r>
      <rPr>
        <sz val="8"/>
        <rFont val="Arial"/>
      </rPr>
      <t>)</t>
    </r>
  </si>
  <si>
    <r>
      <rPr>
        <sz val="8"/>
        <rFont val="Arial"/>
      </rPr>
      <t>Пилон монолитный 250х1500 мм. (</t>
    </r>
    <r>
      <rPr>
        <sz val="8"/>
        <color rgb="FF1155CC"/>
        <rFont val="Arial"/>
      </rPr>
      <t>армирование сетками</t>
    </r>
    <r>
      <rPr>
        <sz val="8"/>
        <rFont val="Arial"/>
      </rPr>
      <t>)</t>
    </r>
  </si>
  <si>
    <r>
      <rPr>
        <sz val="8"/>
        <rFont val="Arial"/>
      </rPr>
      <t>Пилон монолитный 250х1800 мм. (</t>
    </r>
    <r>
      <rPr>
        <sz val="8"/>
        <color rgb="FF1155CC"/>
        <rFont val="Arial"/>
      </rPr>
      <t>армирование сетками</t>
    </r>
    <r>
      <rPr>
        <sz val="8"/>
        <rFont val="Arial"/>
      </rPr>
      <t>)</t>
    </r>
  </si>
  <si>
    <r>
      <rPr>
        <sz val="8"/>
        <rFont val="Arial"/>
      </rPr>
      <t>Стена монолитная 250 мм. (</t>
    </r>
    <r>
      <rPr>
        <sz val="8"/>
        <color rgb="FF1155CC"/>
        <rFont val="Arial"/>
      </rPr>
      <t>армирование сетками</t>
    </r>
    <r>
      <rPr>
        <sz val="8"/>
        <rFont val="Arial"/>
      </rPr>
      <t>)</t>
    </r>
  </si>
  <si>
    <r>
      <rPr>
        <sz val="8"/>
        <color rgb="FF000000"/>
        <rFont val="Arial"/>
      </rPr>
      <t>Наружная стена подвала - 1 этажа;
Стены рампы, арки
Армирование пилонов принять пространственными каркасами из сварных сеток по типовому альбому БСА.1-КЖ.И-Р1. 
На участках, где невозможно выполнить армирование при помощи типовых сеток - выполнить армирование отдельными стержнями.
Диаметр основной продольной рабочей арматуры - 8, 10, 12, 16 мм (принять по расчету).
Диаметр дополнительной продольной арматуры - 8, 10, 12, 16 мм (принять по расчету).
Диаметры поперечной арматуры принять в соответствии с п.10.3.6, 10.3.12 СП 63.13330.2018. 
Шаг стержней принять максимально возможный (кратный 50 мм), по расчету. 
Класс рабочей арматуры для сеток/каркасов А500С.
Бетон</t>
    </r>
    <r>
      <rPr>
        <sz val="8"/>
        <color rgb="FF000000"/>
        <rFont val="Arial"/>
      </rPr>
      <t>: B30</t>
    </r>
    <r>
      <rPr>
        <sz val="8"/>
        <color rgb="FF000000"/>
        <rFont val="Arial"/>
      </rPr>
      <t>, (W - в зависимости от инженерно-геологических условий площадки строительства, F150, F200 - для Сургута)
 В35, (W - в зависимости от инженерно-геологических условий площадки строительства, F150, F200 - для Сургута) - для отметки ниже 0,000
Расход арматуры: не более 80 кг/м3</t>
    </r>
  </si>
  <si>
    <r>
      <rPr>
        <sz val="8"/>
        <rFont val="Arial"/>
      </rPr>
      <t>Стена лестнично - лифтового узла монолитная 160 мм. (</t>
    </r>
    <r>
      <rPr>
        <sz val="8"/>
        <color rgb="FF1155CC"/>
        <rFont val="Arial"/>
      </rPr>
      <t>армирование сетками</t>
    </r>
    <r>
      <rPr>
        <sz val="8"/>
        <rFont val="Arial"/>
      </rPr>
      <t>)</t>
    </r>
  </si>
  <si>
    <r>
      <rPr>
        <sz val="8"/>
        <rFont val="Arial"/>
      </rPr>
      <t>Плита перекрытия монолитная 180 мм. (</t>
    </r>
    <r>
      <rPr>
        <sz val="8"/>
        <color rgb="FF1155CC"/>
        <rFont val="Arial"/>
      </rPr>
      <t>армирование сетками</t>
    </r>
    <r>
      <rPr>
        <sz val="8"/>
        <rFont val="Arial"/>
      </rPr>
      <t>)</t>
    </r>
  </si>
  <si>
    <r>
      <rPr>
        <sz val="8"/>
        <color rgb="FF000000"/>
        <rFont val="Arial"/>
      </rPr>
      <t>Плита перекрытия между подвалом и первым этажом, типового этажа.
Нижнее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Дополнительное нижнее армирование принять сварными однонаправленными сетками</t>
    </r>
    <r>
      <rPr>
        <sz val="8"/>
        <color rgb="FF000000"/>
        <rFont val="Arial"/>
      </rPr>
      <t xml:space="preserve"> (или двунаправленными, если рабочая арматура требуется в двух направлениях).</t>
    </r>
    <r>
      <rPr>
        <sz val="8"/>
        <color rgb="FF000000"/>
        <rFont val="Arial"/>
      </rPr>
      <t xml:space="preserve">
Верхнее рабочее армирование принять сварными двунаправленными сетками расположенными в зоне действия изгибающих моментов. Исключить фоновое армирование плит перекрытий в верхней сжатой зоне.
Армирование выполнять при помощи типовых сеток БСА.1-КЖ.И-Р1. На участках, где невозможно выполнить армирование при помощи типовых сеток - выполнить армирование отдельными стержнями.
Класс рабочей арматуры для сеток/каркасов А500С.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экструдированного пенополистирола ЭППС35.
В деформационных швах между плитами перекрытия установить пенополистирол ППС25.
Бетон: B25, (W4, F150)
Расход арматуры: не более 80 кг/м3</t>
    </r>
  </si>
  <si>
    <r>
      <rPr>
        <sz val="8"/>
        <rFont val="Arial"/>
      </rPr>
      <t>Плита перекрытия монолитная 200 мм. (</t>
    </r>
    <r>
      <rPr>
        <sz val="8"/>
        <color rgb="FF1155CC"/>
        <rFont val="Arial"/>
      </rPr>
      <t>армирование сетками</t>
    </r>
    <r>
      <rPr>
        <sz val="8"/>
        <rFont val="Arial"/>
      </rPr>
      <t>)</t>
    </r>
  </si>
  <si>
    <r>
      <rPr>
        <sz val="8"/>
        <rFont val="Arial"/>
      </rPr>
      <t>Плита покрытия монолитная 200 мм. (</t>
    </r>
    <r>
      <rPr>
        <sz val="8"/>
        <color rgb="FF1155CC"/>
        <rFont val="Arial"/>
      </rPr>
      <t>армирование сетками</t>
    </r>
    <r>
      <rPr>
        <sz val="8"/>
        <rFont val="Arial"/>
      </rPr>
      <t>)</t>
    </r>
  </si>
  <si>
    <r>
      <rPr>
        <sz val="8"/>
        <color theme="1"/>
        <rFont val="Arial"/>
      </rPr>
      <t xml:space="preserve">Между - 1 и 1 этажом, 1 и 2 этажом, между последним этажом и чердаком. 
</t>
    </r>
    <r>
      <rPr>
        <sz val="8"/>
        <color theme="1"/>
        <rFont val="Arial"/>
      </rPr>
      <t>Армирование выполнять отдельными стержнями.</t>
    </r>
    <r>
      <rPr>
        <sz val="8"/>
        <color theme="1"/>
        <rFont val="Arial"/>
      </rPr>
      <t xml:space="preserve">
</t>
    </r>
    <r>
      <rPr>
        <sz val="8"/>
        <color theme="1"/>
        <rFont val="Arial"/>
      </rPr>
      <t>Класс рабочей арматуры А500С.</t>
    </r>
    <r>
      <rPr>
        <sz val="8"/>
        <color theme="1"/>
        <rFont val="Arial"/>
      </rPr>
      <t xml:space="preserve">
Бетон: B25, (W4, F150)
Расход арматуры: не более 80 кг/м3</t>
    </r>
  </si>
  <si>
    <r>
      <rPr>
        <sz val="8"/>
        <color theme="1"/>
        <rFont val="Arial"/>
      </rPr>
      <t xml:space="preserve">Между - 1 и 1 этажом, 1 и 2 этажом, между последним этажом и чердаком. 
Армирование ступеней не предусматривать.
</t>
    </r>
    <r>
      <rPr>
        <sz val="8"/>
        <color theme="1"/>
        <rFont val="Arial"/>
      </rPr>
      <t>Армирование выполнять отдельными стержнями.
Класс рабочей арматуры А500С.</t>
    </r>
    <r>
      <rPr>
        <sz val="8"/>
        <color theme="1"/>
        <rFont val="Arial"/>
      </rPr>
      <t xml:space="preserve">
Бетон: B25, (W4, F150)
Расход арматуры: не более 80 кг/м3</t>
    </r>
  </si>
  <si>
    <r>
      <rPr>
        <sz val="8"/>
        <color theme="1"/>
        <rFont val="Arial"/>
      </rPr>
      <t xml:space="preserve">Монолитный парапет по плите перекрытия, покрытия.
Высотой </t>
    </r>
    <r>
      <rPr>
        <sz val="8"/>
        <color theme="1"/>
        <rFont val="Arial"/>
      </rPr>
      <t>470 мм; 950 мм; 1650 мм.</t>
    </r>
    <r>
      <rPr>
        <sz val="8"/>
        <color theme="1"/>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</si>
  <si>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r>
      <rPr>
        <sz val="8"/>
        <rFont val="Arial"/>
      </rPr>
      <t xml:space="preserve">Балкон префабрицированный, заводского изготовления.
Согласно </t>
    </r>
    <r>
      <rPr>
        <sz val="8"/>
        <color rgb="FF1155CC"/>
        <rFont val="Arial"/>
      </rPr>
      <t>матрица префаб.балконов V2.0</t>
    </r>
    <r>
      <rPr>
        <sz val="8"/>
        <rFont val="Arial"/>
      </rPr>
      <t>.</t>
    </r>
  </si>
  <si>
    <t>4.3.3.27</t>
  </si>
  <si>
    <t xml:space="preserve"> Каркас монолитный башня до 50 метров</t>
  </si>
  <si>
    <t>Б50</t>
  </si>
  <si>
    <r>
      <rPr>
        <sz val="8"/>
        <color rgb="FF000000"/>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нормативные нагрузки: квартиры 150кг/м², офисы 200кг/м², пути эвакуации 300кг/м², торговые залы 400кг/м².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rgb="FF000000"/>
        <rFont val="Arial"/>
      </rPr>
      <t xml:space="preserve">Основные параметры каркаса:
</t>
    </r>
    <r>
      <rPr>
        <sz val="8"/>
        <color rgb="FF000000"/>
        <rFont val="Arial"/>
      </rPr>
      <t xml:space="preserve">Базовый шаг вертикальных конструкции 3450мм.
• Плита фундаментная монолитная </t>
    </r>
    <r>
      <rPr>
        <b/>
        <sz val="8"/>
        <color rgb="FF000000"/>
        <rFont val="Arial"/>
      </rPr>
      <t xml:space="preserve">- </t>
    </r>
    <r>
      <rPr>
        <sz val="8"/>
        <color rgb="FF000000"/>
        <rFont val="Arial"/>
      </rPr>
      <t>по расчету, но не более 800 мм
• Стена приямка лифтового монолитная 300 мм
• Плита приямка лифтового монолитная 400 мм
• Стена монолитная 250 мм - Наружная стена подвала, Стена арка, Стена рампа 
• Стена лестнично - лифтового узла монолитная 160 мм - (с -1 по 16, 17 этаж)
• Пилон монолитный 250х1500; 250х1800 мм - Пилон каркаса переходной
• Пилон монолитный 250х900; 250х1200 мм - Пилон каркаса (с -1 по 16, 17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</si>
  <si>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r>
      <rPr>
        <sz val="8"/>
        <rFont val="Arial"/>
      </rPr>
      <t>Плита фундаментная монолитная 800 мм. (</t>
    </r>
    <r>
      <rPr>
        <sz val="8"/>
        <color rgb="FF1155CC"/>
        <rFont val="Arial"/>
      </rPr>
      <t>армирование сетками</t>
    </r>
    <r>
      <rPr>
        <sz val="8"/>
        <rFont val="Arial"/>
      </rPr>
      <t>)</t>
    </r>
  </si>
  <si>
    <r>
      <rPr>
        <sz val="8"/>
        <rFont val="Arial"/>
      </rPr>
      <t>Пилон монолитный 250х600 мм. (</t>
    </r>
    <r>
      <rPr>
        <sz val="8"/>
        <color rgb="FF1155CC"/>
        <rFont val="Arial"/>
      </rPr>
      <t>армирование сетками</t>
    </r>
    <r>
      <rPr>
        <sz val="8"/>
        <rFont val="Arial"/>
      </rPr>
      <t>)</t>
    </r>
  </si>
  <si>
    <r>
      <rPr>
        <sz val="8"/>
        <color rgb="FF000000"/>
        <rFont val="Arial"/>
      </rPr>
      <t xml:space="preserve">Армирование пилонов принять пространственными каркасами из сварных сеток по типовому альбому БСА.1-КЖ.И-Р1.
</t>
    </r>
    <r>
      <rPr>
        <sz val="8"/>
        <color rgb="FF000000"/>
        <rFont val="Arial"/>
      </rPr>
      <t xml:space="preserve">На участках, где невозможно выполнить армирование при помощи типовых сеток - выполнить армирование отдельными стержнями (обосновать расчетом).
</t>
    </r>
    <r>
      <rPr>
        <sz val="8"/>
        <color rgb="FF000000"/>
        <rFont val="Arial"/>
      </rPr>
      <t xml:space="preserve">
Диаметр основной продольной рабочей арматуры - 8, 10, 12, 16 мм (принять по расчету).
Диаметр дополнительной продольной арматуры - 10, 12, 16, 20, 25 мм (принять по расчету).
</t>
    </r>
    <r>
      <rPr>
        <sz val="8"/>
        <color rgb="FF000000"/>
        <rFont val="Arial"/>
      </rPr>
      <t>Диаметры</t>
    </r>
    <r>
      <rPr>
        <sz val="8"/>
        <color rgb="FF000000"/>
        <rFont val="Arial"/>
      </rPr>
      <t xml:space="preserve"> поперечной арматуры принять в соответствии с п.10.3.6, 10.3.12 СП 63.13330.2018. 
Шаг стержней принять максимально возможный (кратный 50 мм), по расчету.
Класс рабочей арматуры для сеток/каркасов А500С.
Бетон: B30, (W4, F150) - ниже плиты пола первого этажа
 B25, (W4, F150) - выше плиты пола первого этажа
Расход арматуры: не более 80 кг/м3</t>
    </r>
  </si>
  <si>
    <r>
      <rPr>
        <sz val="8"/>
        <rFont val="Arial"/>
      </rPr>
      <t>Пилон монолитный 250х900 мм. (</t>
    </r>
    <r>
      <rPr>
        <sz val="8"/>
        <color rgb="FF1155CC"/>
        <rFont val="Arial"/>
      </rPr>
      <t>армирование сетками</t>
    </r>
    <r>
      <rPr>
        <sz val="8"/>
        <rFont val="Arial"/>
      </rPr>
      <t>)</t>
    </r>
  </si>
  <si>
    <r>
      <rPr>
        <sz val="8"/>
        <color rgb="FF000000"/>
        <rFont val="Arial"/>
      </rPr>
      <t xml:space="preserve">Армирование пилонов принять пространственными каркасами из сварных сеток по типовому альбому БСА.1-КЖ.И-Р1.
</t>
    </r>
    <r>
      <rPr>
        <sz val="8"/>
        <color rgb="FF000000"/>
        <rFont val="Arial"/>
      </rPr>
      <t>На участках, где невозможно выполнить армирование при помощи типовых сеток - выполнить армирование отдельными стержнями (обосновать расчетом).</t>
    </r>
    <r>
      <rPr>
        <sz val="8"/>
        <color rgb="FF000000"/>
        <rFont val="Arial"/>
      </rPr>
      <t xml:space="preserve">
Диаметр основной продольной рабочей арматуры - 8, 10, 12, 16 мм (принять по расчету).
Диаметр дополнительной продольной арматуры - 10, 12, 16, 20, 25 мм (принять по расчету).
Диаметры поперечной арматуры принять в соответствии с п.10.3.6, 10.3.12 СП 63.13330.2018. 
Шаг стержней принять максимально возможный (кратный 50 мм), по расчету.
Класс рабочей арматуры для сеток/каркасов А500С.
Бетон: B30, (W4, F150) - ниже плиты пола первого этажа
 B25, (W4, F150) - выше плиты пола первого этажа
Расход арматуры: не более 80 кг/м3</t>
    </r>
  </si>
  <si>
    <r>
      <rPr>
        <sz val="8"/>
        <rFont val="Arial"/>
      </rPr>
      <t>Пилон монолитный 250х1200 мм. (</t>
    </r>
    <r>
      <rPr>
        <sz val="8"/>
        <color rgb="FF1155CC"/>
        <rFont val="Arial"/>
      </rPr>
      <t>армирование сетками</t>
    </r>
    <r>
      <rPr>
        <sz val="8"/>
        <rFont val="Arial"/>
      </rPr>
      <t>)</t>
    </r>
  </si>
  <si>
    <r>
      <rPr>
        <sz val="8"/>
        <rFont val="Arial"/>
      </rPr>
      <t>Пилон монолитный 250х1500 мм. (</t>
    </r>
    <r>
      <rPr>
        <sz val="8"/>
        <color rgb="FF1155CC"/>
        <rFont val="Arial"/>
      </rPr>
      <t>армирование сетками</t>
    </r>
    <r>
      <rPr>
        <sz val="8"/>
        <rFont val="Arial"/>
      </rPr>
      <t>)</t>
    </r>
  </si>
  <si>
    <r>
      <rPr>
        <sz val="8"/>
        <rFont val="Arial"/>
      </rPr>
      <t>Пилон монолитный 250х1800 мм. (</t>
    </r>
    <r>
      <rPr>
        <sz val="8"/>
        <color rgb="FF1155CC"/>
        <rFont val="Arial"/>
      </rPr>
      <t>армирование сетками</t>
    </r>
    <r>
      <rPr>
        <sz val="8"/>
        <rFont val="Arial"/>
      </rPr>
      <t>)</t>
    </r>
  </si>
  <si>
    <r>
      <rPr>
        <sz val="8"/>
        <rFont val="Arial"/>
      </rPr>
      <t>Стена монолитная 250 мм. (</t>
    </r>
    <r>
      <rPr>
        <sz val="8"/>
        <color rgb="FF1155CC"/>
        <rFont val="Arial"/>
      </rPr>
      <t>армирование сетками</t>
    </r>
    <r>
      <rPr>
        <sz val="8"/>
        <rFont val="Arial"/>
      </rPr>
      <t>)</t>
    </r>
  </si>
  <si>
    <r>
      <rPr>
        <sz val="8"/>
        <color rgb="FF000000"/>
        <rFont val="Arial"/>
      </rPr>
      <t>Наружная стена подвала - 1 этажа;
Стены рампы, арки
Армирование пилонов принять пространственными каркасами из сварных сеток по типовому альбому БСА.1-КЖ.И-Р1. 
На участках, где невозможно выполнить армирование при помощи типовых сеток - выполнить армирование отдельными стержнями.
Диаметр основной продольной рабочей арматуры - 8, 10, 12, 16 мм (принять по расчету).
Диаметр дополнительной продольной арматуры - 8, 10, 12, 16 мм (принять по расчету).
Диаметры поперечной арматуры принять в соответствии с п.10.3.6, 10.3.12 СП 63.13330.2018. 
Шаг стержней принять максимально возможный (кратный 50 мм), по расчету. 
Класс рабочей арматуры для сеток/каркасов А500С.
Бетон</t>
    </r>
    <r>
      <rPr>
        <sz val="8"/>
        <color rgb="FF000000"/>
        <rFont val="Arial"/>
      </rPr>
      <t>: B30</t>
    </r>
    <r>
      <rPr>
        <sz val="8"/>
        <color rgb="FF000000"/>
        <rFont val="Arial"/>
      </rPr>
      <t>, (W - в зависимости от инженерно-геологических условий площадки строительства, F150, F200 - для Сургута)
 В35, (W - в зависимости от инженерно-геологических условий площадки строительства, F150, F200 - для Сургута) - для отметки ниже 0,000
Расход арматуры: не более 80 кг/м3</t>
    </r>
  </si>
  <si>
    <r>
      <rPr>
        <sz val="8"/>
        <rFont val="Arial"/>
      </rPr>
      <t>Стена лестнично - лифтового узла монолитная 160 мм. (</t>
    </r>
    <r>
      <rPr>
        <sz val="8"/>
        <color rgb="FF1155CC"/>
        <rFont val="Arial"/>
      </rPr>
      <t>армирование сетками</t>
    </r>
    <r>
      <rPr>
        <sz val="8"/>
        <rFont val="Arial"/>
      </rPr>
      <t>)</t>
    </r>
  </si>
  <si>
    <r>
      <rPr>
        <sz val="8"/>
        <rFont val="Arial"/>
      </rPr>
      <t>Плита перекрытия монолитная 180 мм. (</t>
    </r>
    <r>
      <rPr>
        <sz val="8"/>
        <color rgb="FF1155CC"/>
        <rFont val="Arial"/>
      </rPr>
      <t>армирование сетками</t>
    </r>
    <r>
      <rPr>
        <sz val="8"/>
        <rFont val="Arial"/>
      </rPr>
      <t>)</t>
    </r>
  </si>
  <si>
    <r>
      <rPr>
        <sz val="8"/>
        <color rgb="FF000000"/>
        <rFont val="Arial"/>
      </rPr>
      <t>Плита перекрытия между подвалом и первым этажом, типового этажа.
Нижнее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Дополнительное нижнее армирование принять сварными однонаправленными сетками</t>
    </r>
    <r>
      <rPr>
        <sz val="8"/>
        <color rgb="FF000000"/>
        <rFont val="Arial"/>
      </rPr>
      <t xml:space="preserve"> (или двунаправленными, если рабочая арматура требуется в двух направлениях).</t>
    </r>
    <r>
      <rPr>
        <sz val="8"/>
        <color rgb="FF000000"/>
        <rFont val="Arial"/>
      </rPr>
      <t xml:space="preserve">
Верхнее рабочее армирование принять сварными двунаправленными сетками расположенными в зоне действия изгибающих моментов. Исключить фоновое армирование плит перекрытий в верхней сжатой зоне.
Армирование выполнять при помощи типовых сеток БСА.1-КЖ.И-Р1. На участках, где невозможно выполнить армирование при помощи типовых сеток - выполнить армирование отдельными стержнями.
Класс рабочей арматуры для сеток/каркасов А500С.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экструдированного пенополистирола ЭППС35.
В деформационных швах между плитами перекрытия установить пенополистирол ППС25.
Бетон: B25, (W4, F150)
Расход арматуры: не более 80 кг/м3</t>
    </r>
  </si>
  <si>
    <r>
      <rPr>
        <sz val="8"/>
        <rFont val="Arial"/>
      </rPr>
      <t>Плита перекрытия монолитная 200 мм. (</t>
    </r>
    <r>
      <rPr>
        <sz val="8"/>
        <color rgb="FF1155CC"/>
        <rFont val="Arial"/>
      </rPr>
      <t>армирование сетками</t>
    </r>
    <r>
      <rPr>
        <sz val="8"/>
        <rFont val="Arial"/>
      </rPr>
      <t>)</t>
    </r>
  </si>
  <si>
    <r>
      <rPr>
        <sz val="8"/>
        <rFont val="Arial"/>
      </rPr>
      <t>Плита покрытия монолитная 200 мм. (</t>
    </r>
    <r>
      <rPr>
        <sz val="8"/>
        <color rgb="FF1155CC"/>
        <rFont val="Arial"/>
      </rPr>
      <t>армирование сетками</t>
    </r>
    <r>
      <rPr>
        <sz val="8"/>
        <rFont val="Arial"/>
      </rPr>
      <t>)</t>
    </r>
  </si>
  <si>
    <r>
      <rPr>
        <sz val="8"/>
        <color theme="1"/>
        <rFont val="Arial"/>
      </rPr>
      <t xml:space="preserve">Между - 1 и 1 этажом, 1 и 2 этажом, между последним этажом и чердаком. 
</t>
    </r>
    <r>
      <rPr>
        <sz val="8"/>
        <color theme="1"/>
        <rFont val="Arial"/>
      </rPr>
      <t>Армирование выполнять отдельными стержнями.</t>
    </r>
    <r>
      <rPr>
        <sz val="8"/>
        <color theme="1"/>
        <rFont val="Arial"/>
      </rPr>
      <t xml:space="preserve">
</t>
    </r>
    <r>
      <rPr>
        <sz val="8"/>
        <color theme="1"/>
        <rFont val="Arial"/>
      </rPr>
      <t>Класс рабочей арматуры А500С.</t>
    </r>
    <r>
      <rPr>
        <sz val="8"/>
        <color theme="1"/>
        <rFont val="Arial"/>
      </rPr>
      <t xml:space="preserve">
Бетон: B25, (W4, F150)
Расход арматуры: не более 80 кг/м3</t>
    </r>
  </si>
  <si>
    <t>4.3.3.22.2</t>
  </si>
  <si>
    <r>
      <rPr>
        <sz val="8"/>
        <color theme="1"/>
        <rFont val="Arial"/>
      </rPr>
      <t xml:space="preserve">Между - 1 и 1 этажом, 1 и 2 этажом, между последним этажом и чердаком. 
Армирование ступеней не предусматривать.
</t>
    </r>
    <r>
      <rPr>
        <sz val="8"/>
        <color theme="1"/>
        <rFont val="Arial"/>
      </rPr>
      <t>Армирование выполнять отдельными стержнями.
Класс рабочей арматуры А500С.</t>
    </r>
    <r>
      <rPr>
        <sz val="8"/>
        <color theme="1"/>
        <rFont val="Arial"/>
      </rPr>
      <t xml:space="preserve">
Бетон: B25, (W4, F150)
Расход арматуры: не более 80 кг/м3</t>
    </r>
  </si>
  <si>
    <r>
      <rPr>
        <sz val="8"/>
        <color theme="1"/>
        <rFont val="Arial"/>
      </rPr>
      <t xml:space="preserve">Монолитный парапет по плите перекрытия, покрытия.
Высотой </t>
    </r>
    <r>
      <rPr>
        <sz val="8"/>
        <color theme="1"/>
        <rFont val="Arial"/>
      </rPr>
      <t>470 мм; 950 мм; 1650 мм.</t>
    </r>
    <r>
      <rPr>
        <sz val="8"/>
        <color theme="1"/>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</si>
  <si>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r>
      <rPr>
        <sz val="8"/>
        <rFont val="Arial"/>
      </rPr>
      <t xml:space="preserve">Балкон префабрицированный, заводского изготовления.
Согласно </t>
    </r>
    <r>
      <rPr>
        <sz val="8"/>
        <color rgb="FF1155CC"/>
        <rFont val="Arial"/>
      </rPr>
      <t>матрица префаб.балконов V2.0</t>
    </r>
    <r>
      <rPr>
        <sz val="8"/>
        <rFont val="Arial"/>
      </rPr>
      <t>.</t>
    </r>
  </si>
  <si>
    <t xml:space="preserve"> Каркас монолитный секция до 75 метров</t>
  </si>
  <si>
    <t>С75</t>
  </si>
  <si>
    <r>
      <rPr>
        <sz val="8"/>
        <color rgb="FF000000"/>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нормативные нагрузки: квартиры 150кг/м², офисы 200кг/м², пути эвакуации 300кг/м², торговые залы 400кг/м².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rgb="FF000000"/>
        <rFont val="Arial"/>
      </rPr>
      <t xml:space="preserve">Основные параметры каркаса:
</t>
    </r>
    <r>
      <rPr>
        <sz val="8"/>
        <color rgb="FF000000"/>
        <rFont val="Arial"/>
      </rPr>
      <t xml:space="preserve">Базовый шаг вертикальных конструкции 3450мм.
Предусмотреть деформационные швы на границе сблокированных секций при разнице высот секций в два и более этажей или при суммарной длине сблокированных секций более 55 м (16 базовых шагов по 3,45 м).
• Плита фундаментная монолитная </t>
    </r>
    <r>
      <rPr>
        <b/>
        <sz val="8"/>
        <color rgb="FF000000"/>
        <rFont val="Arial"/>
      </rPr>
      <t xml:space="preserve">- </t>
    </r>
    <r>
      <rPr>
        <sz val="8"/>
        <color rgb="FF000000"/>
        <rFont val="Arial"/>
      </rPr>
      <t>по расчету, но не более 900 мм
• Стена приямка лифтового монолитная 300 мм
• Плита приямка лифтового монолитная 500 мм
• Стена монолитная 250 мм - Наружная стена подвала, Стена арка, Стена рампа 
• Стена лестнично - лифтового узла монолитная 180 мм - (с -1 по 16, 17 этаж)
• Пилон монолитный 250х1500; 250х1800 мм - Пилон каркаса переходной
• Пилон монолитный 250х900; 250х1200 мм - Пилон каркаса (с -1 по 16, 17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</si>
  <si>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r>
      <rPr>
        <sz val="8"/>
        <rFont val="Arial"/>
      </rPr>
      <t>Плита фундаментная монолитная 900 мм. (</t>
    </r>
    <r>
      <rPr>
        <sz val="8"/>
        <color rgb="FF1155CC"/>
        <rFont val="Arial"/>
      </rPr>
      <t>армирование сетками</t>
    </r>
    <r>
      <rPr>
        <sz val="8"/>
        <rFont val="Arial"/>
      </rPr>
      <t>)</t>
    </r>
  </si>
  <si>
    <r>
      <rPr>
        <sz val="8"/>
        <rFont val="Arial"/>
      </rPr>
      <t>Пилон монолитный 250х600 мм. (</t>
    </r>
    <r>
      <rPr>
        <sz val="8"/>
        <color rgb="FF1155CC"/>
        <rFont val="Arial"/>
      </rPr>
      <t>армирование сетками</t>
    </r>
    <r>
      <rPr>
        <sz val="8"/>
        <rFont val="Arial"/>
      </rPr>
      <t>)</t>
    </r>
  </si>
  <si>
    <r>
      <rPr>
        <sz val="8"/>
        <color rgb="FF000000"/>
        <rFont val="Arial"/>
      </rPr>
      <t xml:space="preserve">Армирование пилонов принять пространственными каркасами из сварных сеток по типовому альбому БСА.1-КЖ.И-Р1.
</t>
    </r>
    <r>
      <rPr>
        <sz val="8"/>
        <color rgb="FF000000"/>
        <rFont val="Arial"/>
      </rPr>
      <t xml:space="preserve">На участках, где невозможно выполнить армирование при помощи типовых сеток - выполнить армирование отдельными стержнями (обосновать расчетом).
</t>
    </r>
    <r>
      <rPr>
        <sz val="8"/>
        <color rgb="FF000000"/>
        <rFont val="Arial"/>
      </rPr>
      <t xml:space="preserve">
Диаметр основной продольной рабочей арматуры - 8, 10, 12, 16 мм (принять по расчету).
Диаметр дополнительной продольной арматуры - 10, 12, 16, 20, 25 мм (принять по расчету).
</t>
    </r>
    <r>
      <rPr>
        <sz val="8"/>
        <color rgb="FF000000"/>
        <rFont val="Arial"/>
      </rPr>
      <t>Диаметры</t>
    </r>
    <r>
      <rPr>
        <sz val="8"/>
        <color rgb="FF000000"/>
        <rFont val="Arial"/>
      </rPr>
      <t xml:space="preserve"> поперечной арматуры принять в соответствии с п.10.3.6, 10.3.12 СП 63.13330.2018. 
Шаг стержней принять максимально возможный (кратный 50 мм), по расчету.
Класс рабочей арматуры для сеток/каркасов А500С.
Бетон: B30, (W4, F150) - ниже плиты пола первого этажа
 B25, (W4, F150) - выше плиты пола первого этажа
Расход арматуры: не более 80 кг/м3</t>
    </r>
  </si>
  <si>
    <r>
      <rPr>
        <sz val="8"/>
        <rFont val="Arial"/>
      </rPr>
      <t>Пилон монолитный 250х900 мм. (</t>
    </r>
    <r>
      <rPr>
        <sz val="8"/>
        <color rgb="FF1155CC"/>
        <rFont val="Arial"/>
      </rPr>
      <t>армирование сетками</t>
    </r>
    <r>
      <rPr>
        <sz val="8"/>
        <rFont val="Arial"/>
      </rPr>
      <t>)</t>
    </r>
  </si>
  <si>
    <r>
      <rPr>
        <sz val="8"/>
        <color rgb="FF000000"/>
        <rFont val="Arial"/>
      </rPr>
      <t xml:space="preserve">Армирование пилонов принять пространственными каркасами из сварных сеток по типовому альбому БСА.1-КЖ.И-Р1.
</t>
    </r>
    <r>
      <rPr>
        <sz val="8"/>
        <color rgb="FF000000"/>
        <rFont val="Arial"/>
      </rPr>
      <t>На участках, где невозможно выполнить армирование при помощи типовых сеток - выполнить армирование отдельными стержнями (обосновать расчетом).</t>
    </r>
    <r>
      <rPr>
        <sz val="8"/>
        <color rgb="FF000000"/>
        <rFont val="Arial"/>
      </rPr>
      <t xml:space="preserve">
Диаметр основной продольной рабочей арматуры - 8, 10, 12, 16 мм (принять по расчету).
Диаметр дополнительной продольной арматуры - 10, 12, 16, 20, 25 мм (принять по расчету).
Диаметры поперечной арматуры принять в соответствии с п.10.3.6, 10.3.12 СП 63.13330.2018. 
Шаг стержней принять максимально возможный (кратный 50 мм), по расчету.
Класс рабочей арматуры для сеток/каркасов А500С.
Бетон: B30, (W4, F150) - ниже плиты пола первого этажа
 B25, (W4, F150) - выше плиты пола первого этажа
Расход арматуры: не более 80 кг/м3</t>
    </r>
  </si>
  <si>
    <r>
      <rPr>
        <sz val="8"/>
        <rFont val="Arial"/>
      </rPr>
      <t>Пилон монолитный 250х1200 мм. (</t>
    </r>
    <r>
      <rPr>
        <sz val="8"/>
        <color rgb="FF1155CC"/>
        <rFont val="Arial"/>
      </rPr>
      <t>армирование сетками</t>
    </r>
    <r>
      <rPr>
        <sz val="8"/>
        <rFont val="Arial"/>
      </rPr>
      <t>)</t>
    </r>
  </si>
  <si>
    <r>
      <rPr>
        <sz val="8"/>
        <rFont val="Arial"/>
      </rPr>
      <t>Пилон монолитный 250х1500 мм. (</t>
    </r>
    <r>
      <rPr>
        <sz val="8"/>
        <color rgb="FF1155CC"/>
        <rFont val="Arial"/>
      </rPr>
      <t>армирование сетками</t>
    </r>
    <r>
      <rPr>
        <sz val="8"/>
        <rFont val="Arial"/>
      </rPr>
      <t>)</t>
    </r>
  </si>
  <si>
    <r>
      <rPr>
        <sz val="8"/>
        <rFont val="Arial"/>
      </rPr>
      <t>Пилон монолитный 250х1800 мм. (</t>
    </r>
    <r>
      <rPr>
        <sz val="8"/>
        <color rgb="FF1155CC"/>
        <rFont val="Arial"/>
      </rPr>
      <t>армирование сетками</t>
    </r>
    <r>
      <rPr>
        <sz val="8"/>
        <rFont val="Arial"/>
      </rPr>
      <t>)</t>
    </r>
  </si>
  <si>
    <r>
      <rPr>
        <sz val="8"/>
        <rFont val="Arial"/>
      </rPr>
      <t>Стена монолитная 250 мм. (</t>
    </r>
    <r>
      <rPr>
        <sz val="8"/>
        <color rgb="FF1155CC"/>
        <rFont val="Arial"/>
      </rPr>
      <t>армирование сетками</t>
    </r>
    <r>
      <rPr>
        <sz val="8"/>
        <rFont val="Arial"/>
      </rPr>
      <t>)</t>
    </r>
  </si>
  <si>
    <r>
      <rPr>
        <sz val="8"/>
        <color rgb="FF000000"/>
        <rFont val="Arial"/>
      </rPr>
      <t>Наружная стена подвала - 1 этажа;
Стены рампы, арки
Армирование пилонов принять пространственными каркасами из сварных сеток по типовому альбому БСА.1-КЖ.И-Р1. 
На участках, где невозможно выполнить армирование при помощи типовых сеток - выполнить армирование отдельными стержнями.
Диаметр основной продольной рабочей арматуры - 8, 10, 12, 16 мм (принять по расчету).
Диаметр дополнительной продольной арматуры - 8, 10, 12, 16 мм (принять по расчету).
Диаметры поперечной арматуры принять в соответствии с п.10.3.6, 10.3.12 СП 63.13330.2018. 
Шаг стержней принять максимально возможный (кратный 50 мм), по расчету. 
Класс рабочей арматуры для сеток/каркасов А500С.
Бетон</t>
    </r>
    <r>
      <rPr>
        <sz val="8"/>
        <color rgb="FF000000"/>
        <rFont val="Arial"/>
      </rPr>
      <t>: B30</t>
    </r>
    <r>
      <rPr>
        <sz val="8"/>
        <color rgb="FF000000"/>
        <rFont val="Arial"/>
      </rPr>
      <t>, (W - в зависимости от инженерно-геологических условий площадки строительства, F150, F200 - для Сургута)
 В35, (W - в зависимости от инженерно-геологических условий площадки строительства, F150, F200 - для Сургута) - для отметки ниже 0,000
Расход арматуры: не более 80 кг/м3</t>
    </r>
  </si>
  <si>
    <r>
      <rPr>
        <sz val="8"/>
        <rFont val="Arial"/>
      </rPr>
      <t>Стена лестнично - лифтового узла монолитная 180 мм. (</t>
    </r>
    <r>
      <rPr>
        <sz val="8"/>
        <color rgb="FF1155CC"/>
        <rFont val="Arial"/>
      </rPr>
      <t>армирование сетками</t>
    </r>
    <r>
      <rPr>
        <sz val="8"/>
        <rFont val="Arial"/>
      </rPr>
      <t>)</t>
    </r>
  </si>
  <si>
    <t>Стена лестнично - лифтового узла сборная железобетонная 180 мм.</t>
  </si>
  <si>
    <r>
      <rPr>
        <sz val="8"/>
        <rFont val="Arial"/>
      </rPr>
      <t>Плита перекрытия монолитная 180 мм. (</t>
    </r>
    <r>
      <rPr>
        <sz val="8"/>
        <color rgb="FF1155CC"/>
        <rFont val="Arial"/>
      </rPr>
      <t>армирование сетками</t>
    </r>
    <r>
      <rPr>
        <sz val="8"/>
        <rFont val="Arial"/>
      </rPr>
      <t>)</t>
    </r>
  </si>
  <si>
    <r>
      <rPr>
        <sz val="8"/>
        <color rgb="FF000000"/>
        <rFont val="Arial"/>
      </rPr>
      <t>Плита перекрытия между подвалом и первым этажом, типового этажа.
Нижнее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Дополнительное нижнее армирование принять сварными однонаправленными сетками</t>
    </r>
    <r>
      <rPr>
        <sz val="8"/>
        <color rgb="FF000000"/>
        <rFont val="Arial"/>
      </rPr>
      <t xml:space="preserve"> (или двунаправленными, если рабочая арматура требуется в двух направлениях).</t>
    </r>
    <r>
      <rPr>
        <sz val="8"/>
        <color rgb="FF000000"/>
        <rFont val="Arial"/>
      </rPr>
      <t xml:space="preserve">
Верхнее рабочее армирование принять сварными двунаправленными сетками расположенными в зоне действия изгибающих моментов. Исключить фоновое армирование плит перекрытий в верхней сжатой зоне.
Армирование выполнять при помощи типовых сеток БСА.1-КЖ.И-Р1. На участках, где невозможно выполнить армирование при помощи типовых сеток - выполнить армирование отдельными стержнями.
Класс рабочей арматуры для сеток/каркасов А500С.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экструдированного пенополистирола ЭППС35.
В деформационных швах между плитами перекрытия установить пенополистирол ППС25.
Бетон: B25, (W4, F150)
Расход арматуры: не более 80 кг/м3</t>
    </r>
  </si>
  <si>
    <r>
      <rPr>
        <sz val="8"/>
        <rFont val="Arial"/>
      </rPr>
      <t>Плита перекрытия монолитная 200 мм. (</t>
    </r>
    <r>
      <rPr>
        <sz val="8"/>
        <color rgb="FF1155CC"/>
        <rFont val="Arial"/>
      </rPr>
      <t>армирование сетками</t>
    </r>
    <r>
      <rPr>
        <sz val="8"/>
        <rFont val="Arial"/>
      </rPr>
      <t>)</t>
    </r>
  </si>
  <si>
    <r>
      <rPr>
        <sz val="8"/>
        <rFont val="Arial"/>
      </rPr>
      <t>Плита покрытия монолитная 200 мм. (</t>
    </r>
    <r>
      <rPr>
        <sz val="8"/>
        <color rgb="FF1155CC"/>
        <rFont val="Arial"/>
      </rPr>
      <t>армирование сетками</t>
    </r>
    <r>
      <rPr>
        <sz val="8"/>
        <rFont val="Arial"/>
      </rPr>
      <t>)</t>
    </r>
  </si>
  <si>
    <r>
      <rPr>
        <sz val="8"/>
        <color theme="1"/>
        <rFont val="Arial"/>
      </rPr>
      <t xml:space="preserve">Между - 1 и 1 этажом, 1 и 2 этажом, между последним этажом и чердаком. 
</t>
    </r>
    <r>
      <rPr>
        <sz val="8"/>
        <color theme="1"/>
        <rFont val="Arial"/>
      </rPr>
      <t>Армирование выполнять отдельными стержнями.</t>
    </r>
    <r>
      <rPr>
        <sz val="8"/>
        <color theme="1"/>
        <rFont val="Arial"/>
      </rPr>
      <t xml:space="preserve">
</t>
    </r>
    <r>
      <rPr>
        <sz val="8"/>
        <color theme="1"/>
        <rFont val="Arial"/>
      </rPr>
      <t>Класс рабочей арматуры А500С.</t>
    </r>
    <r>
      <rPr>
        <sz val="8"/>
        <color theme="1"/>
        <rFont val="Arial"/>
      </rPr>
      <t xml:space="preserve">
Бетон: B25, (W4, F150)
Расход арматуры: не более 80 кг/м3</t>
    </r>
  </si>
  <si>
    <r>
      <rPr>
        <sz val="8"/>
        <color theme="1"/>
        <rFont val="Arial"/>
      </rPr>
      <t xml:space="preserve">Между - 1 и 1 этажом, 1 и 2 этажом, между последним этажом и чердаком. 
Армирование ступеней не предусматривать.
</t>
    </r>
    <r>
      <rPr>
        <sz val="8"/>
        <color theme="1"/>
        <rFont val="Arial"/>
      </rPr>
      <t>Армирование выполнять отдельными стержнями.
Класс рабочей арматуры А500С.</t>
    </r>
    <r>
      <rPr>
        <sz val="8"/>
        <color theme="1"/>
        <rFont val="Arial"/>
      </rPr>
      <t xml:space="preserve">
Бетон: B25, (W4, F150)
Расход арматуры: не более 80 кг/м3</t>
    </r>
  </si>
  <si>
    <r>
      <rPr>
        <sz val="8"/>
        <color theme="1"/>
        <rFont val="Arial"/>
      </rPr>
      <t xml:space="preserve">Монолитный парапет по плите перекрытия, покрытия.
Высотой </t>
    </r>
    <r>
      <rPr>
        <sz val="8"/>
        <color theme="1"/>
        <rFont val="Arial"/>
      </rPr>
      <t>470 мм; 950 мм; 1650 мм.</t>
    </r>
    <r>
      <rPr>
        <sz val="8"/>
        <color theme="1"/>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</si>
  <si>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r>
      <rPr>
        <sz val="8"/>
        <rFont val="Arial"/>
      </rPr>
      <t xml:space="preserve">Балкон префабрицированный, заводского изготовления.
Согласно </t>
    </r>
    <r>
      <rPr>
        <sz val="8"/>
        <color rgb="FF1155CC"/>
        <rFont val="Arial"/>
      </rPr>
      <t>матрица префаб.балконов V2.0</t>
    </r>
    <r>
      <rPr>
        <sz val="8"/>
        <rFont val="Arial"/>
      </rPr>
      <t>.</t>
    </r>
  </si>
  <si>
    <t>4.3.4.27</t>
  </si>
  <si>
    <t>Б75</t>
  </si>
  <si>
    <r>
      <rPr>
        <sz val="8"/>
        <color rgb="FF000000"/>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нормативные нагрузки: квартиры 150кг/м², офисы 200кг/м², пути эвакуации 300кг/м², торговые залы 400кг/м².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rgb="FF000000"/>
        <rFont val="Arial"/>
      </rPr>
      <t xml:space="preserve">Основные параметры каркаса:
</t>
    </r>
    <r>
      <rPr>
        <sz val="8"/>
        <color rgb="FF000000"/>
        <rFont val="Arial"/>
      </rPr>
      <t xml:space="preserve">Базовый шаг вертикальных конструкции 3450мм.
• Плита фундаментная монолитная </t>
    </r>
    <r>
      <rPr>
        <b/>
        <sz val="8"/>
        <color rgb="FF000000"/>
        <rFont val="Arial"/>
      </rPr>
      <t xml:space="preserve">- </t>
    </r>
    <r>
      <rPr>
        <sz val="8"/>
        <color rgb="FF000000"/>
        <rFont val="Arial"/>
      </rPr>
      <t>по расчету, но не более 900 мм
• Стена приямка лифтового монолитная 300 мм
• Плита приямка лифтового монолитная 500 мм
• Стена монолитная 250 мм - Наружная стена подвала, Стена арка, Стена рампа 
• Стена лестнично - лифтового узла монолитная 180 мм - (с -1 по 16, 17 этаж)
• Пилон монолитный 250х1500; 250х1800 мм - Пилон каркаса переходной
• Пилон монолитный 250х900; 250х1200 мм - Пилон каркаса (с -1 по 16, 17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</si>
  <si>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r>
      <rPr>
        <sz val="8"/>
        <rFont val="Arial"/>
      </rPr>
      <t>Плита фундаментная монолитная 900 мм. (</t>
    </r>
    <r>
      <rPr>
        <sz val="8"/>
        <color rgb="FF1155CC"/>
        <rFont val="Arial"/>
      </rPr>
      <t>армирование сетками</t>
    </r>
    <r>
      <rPr>
        <sz val="8"/>
        <rFont val="Arial"/>
      </rPr>
      <t>)</t>
    </r>
  </si>
  <si>
    <r>
      <rPr>
        <sz val="8"/>
        <rFont val="Arial"/>
      </rPr>
      <t>Пилон монолитный 250х600 мм. (</t>
    </r>
    <r>
      <rPr>
        <sz val="8"/>
        <color rgb="FF1155CC"/>
        <rFont val="Arial"/>
      </rPr>
      <t>армирование сетками</t>
    </r>
    <r>
      <rPr>
        <sz val="8"/>
        <rFont val="Arial"/>
      </rPr>
      <t>)</t>
    </r>
  </si>
  <si>
    <r>
      <rPr>
        <sz val="8"/>
        <color rgb="FF000000"/>
        <rFont val="Arial"/>
      </rPr>
      <t xml:space="preserve">Армирование пилонов принять пространственными каркасами из сварных сеток по типовому альбому БСА.1-КЖ.И-Р1.
</t>
    </r>
    <r>
      <rPr>
        <sz val="8"/>
        <color rgb="FF000000"/>
        <rFont val="Arial"/>
      </rPr>
      <t xml:space="preserve">На участках, где невозможно выполнить армирование при помощи типовых сеток - выполнить армирование отдельными стержнями (обосновать расчетом).
</t>
    </r>
    <r>
      <rPr>
        <sz val="8"/>
        <color rgb="FF000000"/>
        <rFont val="Arial"/>
      </rPr>
      <t xml:space="preserve">
Диаметр основной продольной рабочей арматуры - 8, 10, 12, 16 мм (принять по расчету).
Диаметр дополнительной продольной арматуры - 10, 12, 16, 20, 25 мм (принять по расчету).
</t>
    </r>
    <r>
      <rPr>
        <sz val="8"/>
        <color rgb="FF000000"/>
        <rFont val="Arial"/>
      </rPr>
      <t>Диаметры</t>
    </r>
    <r>
      <rPr>
        <sz val="8"/>
        <color rgb="FF000000"/>
        <rFont val="Arial"/>
      </rPr>
      <t xml:space="preserve"> поперечной арматуры принять в соответствии с п.10.3.6, 10.3.12 СП 63.13330.2018. 
Шаг стержней принять максимально возможный (кратный 50 мм), по расчету.
Класс рабочей арматуры для сеток/каркасов А500С.
Бетон: B30, (W4, F150) - ниже плиты пола первого этажа
 B25, (W4, F150) - выше плиты пола первого этажа
Расход арматуры: не более 80 кг/м3</t>
    </r>
  </si>
  <si>
    <r>
      <rPr>
        <sz val="8"/>
        <rFont val="Arial"/>
      </rPr>
      <t>Пилон монолитный 250х900 мм. (</t>
    </r>
    <r>
      <rPr>
        <sz val="8"/>
        <color rgb="FF1155CC"/>
        <rFont val="Arial"/>
      </rPr>
      <t>армирование сетками</t>
    </r>
    <r>
      <rPr>
        <sz val="8"/>
        <rFont val="Arial"/>
      </rPr>
      <t>)</t>
    </r>
  </si>
  <si>
    <r>
      <rPr>
        <sz val="8"/>
        <color rgb="FF000000"/>
        <rFont val="Arial"/>
      </rPr>
      <t xml:space="preserve">Армирование пилонов принять пространственными каркасами из сварных сеток по типовому альбому БСА.1-КЖ.И-Р1.
</t>
    </r>
    <r>
      <rPr>
        <sz val="8"/>
        <color rgb="FF000000"/>
        <rFont val="Arial"/>
      </rPr>
      <t>На участках, где невозможно выполнить армирование при помощи типовых сеток - выполнить армирование отдельными стержнями (обосновать расчетом).</t>
    </r>
    <r>
      <rPr>
        <sz val="8"/>
        <color rgb="FF000000"/>
        <rFont val="Arial"/>
      </rPr>
      <t xml:space="preserve">
Диаметр основной продольной рабочей арматуры - 8, 10, 12, 16 мм (принять по расчету).
Диаметр дополнительной продольной арматуры - 10, 12, 16, 20, 25 мм (принять по расчету).
Диаметры поперечной арматуры принять в соответствии с п.10.3.6, 10.3.12 СП 63.13330.2018. 
Шаг стержней принять максимально возможный (кратный 50 мм), по расчету.
Класс рабочей арматуры для сеток/каркасов А500С.
Бетон: B30, (W4, F150) - ниже плиты пола первого этажа
 B25, (W4, F150) - выше плиты пола первого этажа
Расход арматуры: не более 80 кг/м3</t>
    </r>
  </si>
  <si>
    <r>
      <rPr>
        <sz val="8"/>
        <rFont val="Arial"/>
      </rPr>
      <t>Пилон монолитный 250х1200 мм. (</t>
    </r>
    <r>
      <rPr>
        <sz val="8"/>
        <color rgb="FF1155CC"/>
        <rFont val="Arial"/>
      </rPr>
      <t>армирование сетками</t>
    </r>
    <r>
      <rPr>
        <sz val="8"/>
        <rFont val="Arial"/>
      </rPr>
      <t>)</t>
    </r>
  </si>
  <si>
    <r>
      <rPr>
        <sz val="8"/>
        <rFont val="Arial"/>
      </rPr>
      <t>Пилон монолитный 250х1500 мм. (</t>
    </r>
    <r>
      <rPr>
        <sz val="8"/>
        <color rgb="FF1155CC"/>
        <rFont val="Arial"/>
      </rPr>
      <t>армирование сетками</t>
    </r>
    <r>
      <rPr>
        <sz val="8"/>
        <rFont val="Arial"/>
      </rPr>
      <t>)</t>
    </r>
  </si>
  <si>
    <r>
      <rPr>
        <sz val="8"/>
        <rFont val="Arial"/>
      </rPr>
      <t>Пилон монолитный 250х1800 мм. (</t>
    </r>
    <r>
      <rPr>
        <sz val="8"/>
        <color rgb="FF1155CC"/>
        <rFont val="Arial"/>
      </rPr>
      <t>армирование сетками</t>
    </r>
    <r>
      <rPr>
        <sz val="8"/>
        <rFont val="Arial"/>
      </rPr>
      <t>)</t>
    </r>
  </si>
  <si>
    <r>
      <rPr>
        <sz val="8"/>
        <rFont val="Arial"/>
      </rPr>
      <t>Стена монолитная 250 мм. (</t>
    </r>
    <r>
      <rPr>
        <sz val="8"/>
        <color rgb="FF1155CC"/>
        <rFont val="Arial"/>
      </rPr>
      <t>армирование сетками</t>
    </r>
    <r>
      <rPr>
        <sz val="8"/>
        <rFont val="Arial"/>
      </rPr>
      <t>)</t>
    </r>
  </si>
  <si>
    <r>
      <rPr>
        <sz val="8"/>
        <color rgb="FF000000"/>
        <rFont val="Arial"/>
      </rPr>
      <t>Наружная стена подвала - 1 этажа;
Стены рампы, арки
Армирование пилонов принять пространственными каркасами из сварных сеток по типовому альбому БСА.1-КЖ.И-Р1. 
На участках, где невозможно выполнить армирование при помощи типовых сеток - выполнить армирование отдельными стержнями.
Диаметр основной продольной рабочей арматуры - 8, 10, 12, 16 мм (принять по расчету).
Диаметр дополнительной продольной арматуры - 8, 10, 12, 16 мм (принять по расчету).
Диаметры поперечной арматуры принять в соответствии с п.10.3.6, 10.3.12 СП 63.13330.2018. 
Шаг стержней принять максимально возможный (кратный 50 мм), по расчету. 
Класс рабочей арматуры для сеток/каркасов А500С.
Бетон</t>
    </r>
    <r>
      <rPr>
        <sz val="8"/>
        <color rgb="FF000000"/>
        <rFont val="Arial"/>
      </rPr>
      <t>: B30</t>
    </r>
    <r>
      <rPr>
        <sz val="8"/>
        <color rgb="FF000000"/>
        <rFont val="Arial"/>
      </rPr>
      <t>, (W - в зависимости от инженерно-геологических условий площадки строительства, F150, F200 - для Сургута)
 В35, (W - в зависимости от инженерно-геологических условий площадки строительства, F150, F200 - для Сургута) - для отметки ниже 0,000
Расход арматуры: не более 80 кг/м3</t>
    </r>
  </si>
  <si>
    <r>
      <rPr>
        <sz val="8"/>
        <rFont val="Arial"/>
      </rPr>
      <t>Стена лестнично - лифтового узла монолитная 180 мм. (</t>
    </r>
    <r>
      <rPr>
        <sz val="8"/>
        <color rgb="FF1155CC"/>
        <rFont val="Arial"/>
      </rPr>
      <t>армирование сетками</t>
    </r>
    <r>
      <rPr>
        <sz val="8"/>
        <rFont val="Arial"/>
      </rPr>
      <t>)</t>
    </r>
  </si>
  <si>
    <r>
      <rPr>
        <sz val="8"/>
        <rFont val="Arial"/>
      </rPr>
      <t>Плита перекрытия монолитная 180 мм. (</t>
    </r>
    <r>
      <rPr>
        <sz val="8"/>
        <color rgb="FF1155CC"/>
        <rFont val="Arial"/>
      </rPr>
      <t>армирование сетками</t>
    </r>
    <r>
      <rPr>
        <sz val="8"/>
        <rFont val="Arial"/>
      </rPr>
      <t>)</t>
    </r>
  </si>
  <si>
    <r>
      <rPr>
        <sz val="8"/>
        <color rgb="FF000000"/>
        <rFont val="Arial"/>
      </rPr>
      <t>Плита перекрытия между подвалом и первым этажом, типового этажа.
Нижнее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Дополнительное нижнее армирование принять сварными однонаправленными сетками</t>
    </r>
    <r>
      <rPr>
        <sz val="8"/>
        <color rgb="FF000000"/>
        <rFont val="Arial"/>
      </rPr>
      <t xml:space="preserve"> (или двунаправленными, если рабочая арматура требуется в двух направлениях).</t>
    </r>
    <r>
      <rPr>
        <sz val="8"/>
        <color rgb="FF000000"/>
        <rFont val="Arial"/>
      </rPr>
      <t xml:space="preserve">
Верхнее рабочее армирование принять сварными двунаправленными сетками расположенными в зоне действия изгибающих моментов. Исключить фоновое армирование плит перекрытий в верхней сжатой зоне.
Армирование выполнять при помощи типовых сеток БСА.1-КЖ.И-Р1. На участках, где невозможно выполнить армирование при помощи типовых сеток - выполнить армирование отдельными стержнями.
Класс рабочей арматуры для сеток/каркасов А500С.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экструдированного пенополистирола ЭППС35.
В деформационных швах между плитами перекрытия установить пенополистирол ППС25.
Бетон: B25, (W4, F150)
Расход арматуры: не более 80 кг/м3</t>
    </r>
  </si>
  <si>
    <r>
      <rPr>
        <sz val="8"/>
        <rFont val="Arial"/>
      </rPr>
      <t>Плита перекрытия монолитная 200 мм. (</t>
    </r>
    <r>
      <rPr>
        <sz val="8"/>
        <color rgb="FF1155CC"/>
        <rFont val="Arial"/>
      </rPr>
      <t>армирование сетками</t>
    </r>
    <r>
      <rPr>
        <sz val="8"/>
        <rFont val="Arial"/>
      </rPr>
      <t>)</t>
    </r>
  </si>
  <si>
    <r>
      <rPr>
        <sz val="8"/>
        <rFont val="Arial"/>
      </rPr>
      <t>Плита покрытия монолитная 200 мм. (</t>
    </r>
    <r>
      <rPr>
        <sz val="8"/>
        <color rgb="FF1155CC"/>
        <rFont val="Arial"/>
      </rPr>
      <t>армирование сетками</t>
    </r>
    <r>
      <rPr>
        <sz val="8"/>
        <rFont val="Arial"/>
      </rPr>
      <t>)</t>
    </r>
  </si>
  <si>
    <r>
      <rPr>
        <sz val="8"/>
        <color theme="1"/>
        <rFont val="Arial"/>
      </rPr>
      <t xml:space="preserve">Между - 1 и 1 этажом, 1 и 2 этажом, между последним этажом и чердаком. 
</t>
    </r>
    <r>
      <rPr>
        <sz val="8"/>
        <color theme="1"/>
        <rFont val="Arial"/>
      </rPr>
      <t>Армирование выполнять отдельными стержнями.</t>
    </r>
    <r>
      <rPr>
        <sz val="8"/>
        <color theme="1"/>
        <rFont val="Arial"/>
      </rPr>
      <t xml:space="preserve">
</t>
    </r>
    <r>
      <rPr>
        <sz val="8"/>
        <color theme="1"/>
        <rFont val="Arial"/>
      </rPr>
      <t>Класс рабочей арматуры А500С.</t>
    </r>
    <r>
      <rPr>
        <sz val="8"/>
        <color theme="1"/>
        <rFont val="Arial"/>
      </rPr>
      <t xml:space="preserve">
Бетон: B25, (W4, F150)
Расход арматуры: не более 80 кг/м3</t>
    </r>
  </si>
  <si>
    <r>
      <rPr>
        <sz val="8"/>
        <color theme="1"/>
        <rFont val="Arial"/>
      </rPr>
      <t xml:space="preserve">Между - 1 и 1 этажом, 1 и 2 этажом, между последним этажом и чердаком. 
Армирование ступеней не предусматривать.
</t>
    </r>
    <r>
      <rPr>
        <sz val="8"/>
        <color theme="1"/>
        <rFont val="Arial"/>
      </rPr>
      <t>Армирование выполнять отдельными стержнями.
Класс рабочей арматуры А500С.</t>
    </r>
    <r>
      <rPr>
        <sz val="8"/>
        <color theme="1"/>
        <rFont val="Arial"/>
      </rPr>
      <t xml:space="preserve">
Бетон: B25, (W4, F150)
Расход арматуры: не более 80 кг/м3</t>
    </r>
  </si>
  <si>
    <r>
      <rPr>
        <sz val="8"/>
        <color theme="1"/>
        <rFont val="Arial"/>
      </rPr>
      <t xml:space="preserve">Монолитный парапет по плите перекрытия, покрытия.
Высотой </t>
    </r>
    <r>
      <rPr>
        <sz val="8"/>
        <color theme="1"/>
        <rFont val="Arial"/>
      </rPr>
      <t>470 мм; 950 мм; 1650 мм.</t>
    </r>
    <r>
      <rPr>
        <sz val="8"/>
        <color theme="1"/>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</si>
  <si>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r>
      <rPr>
        <sz val="8"/>
        <rFont val="Arial"/>
      </rPr>
      <t xml:space="preserve">Балкон префабрицированный, заводского изготовления.
Согласно </t>
    </r>
    <r>
      <rPr>
        <sz val="8"/>
        <color rgb="FF1155CC"/>
        <rFont val="Arial"/>
      </rPr>
      <t>матрица префаб.балконов V2.0</t>
    </r>
    <r>
      <rPr>
        <sz val="8"/>
        <rFont val="Arial"/>
      </rPr>
      <t>.</t>
    </r>
  </si>
  <si>
    <t xml:space="preserve"> Каркас монолитный башня до 100 метров</t>
  </si>
  <si>
    <t>4.3.5</t>
  </si>
  <si>
    <r>
      <rPr>
        <sz val="8"/>
        <color rgb="FF000000"/>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нормативные нагрузки: квартиры 150кг/м², офисы 200кг/м², пути эвакуации 300кг/м², торговые залы 400кг/м².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rgb="FF000000"/>
        <rFont val="Arial"/>
      </rPr>
      <t xml:space="preserve">Основные параметры каркаса:
</t>
    </r>
    <r>
      <rPr>
        <sz val="8"/>
        <color rgb="FF000000"/>
        <rFont val="Arial"/>
      </rPr>
      <t xml:space="preserve">Базовый шаг вертикальных конструкции 3450мм.
• Плита фундаментная монолитная </t>
    </r>
    <r>
      <rPr>
        <b/>
        <sz val="8"/>
        <color rgb="FF000000"/>
        <rFont val="Arial"/>
      </rPr>
      <t xml:space="preserve">- </t>
    </r>
    <r>
      <rPr>
        <sz val="8"/>
        <color rgb="FF000000"/>
        <rFont val="Arial"/>
      </rPr>
      <t>по расчету, но не более 1000 мм
• Стена приямка лифтового монолитная 300 мм
• Плита приямка лифтового монолитная 500 мм
• Стена монолитная 250 мм - Наружная стена подвала, Стена арка, Стена рампа 
• Стена лестнично - лифтового узла монолитная 200 мм - (с -1 по 16, 17 этаж)
• Пилон монолитный 250х1500; 250х1800 мм - Пилон каркаса переходной
• Пилон монолитный 250х900; 250х1200 мм - Пилон каркаса (с -1 по 16, 17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</si>
  <si>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t>4.3.5.1</t>
  </si>
  <si>
    <t>4.3.5.2</t>
  </si>
  <si>
    <t>4.3.5.3</t>
  </si>
  <si>
    <t>4.3.5.4</t>
  </si>
  <si>
    <r>
      <rPr>
        <sz val="8"/>
        <rFont val="Arial"/>
      </rPr>
      <t>Плита фундаментная монолитная 1000 мм. (</t>
    </r>
    <r>
      <rPr>
        <sz val="8"/>
        <color rgb="FF1155CC"/>
        <rFont val="Arial"/>
      </rPr>
      <t>армирование сетками</t>
    </r>
    <r>
      <rPr>
        <sz val="8"/>
        <rFont val="Arial"/>
      </rPr>
      <t>)</t>
    </r>
  </si>
  <si>
    <t>4.3.5.5</t>
  </si>
  <si>
    <t>4.3.5.6</t>
  </si>
  <si>
    <t>4.3.5.7</t>
  </si>
  <si>
    <t>4.3.5.8</t>
  </si>
  <si>
    <t>4.3.5.9</t>
  </si>
  <si>
    <t>4.3.5.10</t>
  </si>
  <si>
    <t>4.3.5.11</t>
  </si>
  <si>
    <t>4.3.5.12</t>
  </si>
  <si>
    <r>
      <rPr>
        <sz val="8"/>
        <rFont val="Arial"/>
      </rPr>
      <t>Пилон монолитный 250х600 мм. (</t>
    </r>
    <r>
      <rPr>
        <sz val="8"/>
        <color rgb="FF1155CC"/>
        <rFont val="Arial"/>
      </rPr>
      <t>армирование сетками</t>
    </r>
    <r>
      <rPr>
        <sz val="8"/>
        <rFont val="Arial"/>
      </rPr>
      <t>)</t>
    </r>
  </si>
  <si>
    <r>
      <rPr>
        <sz val="8"/>
        <color rgb="FF000000"/>
        <rFont val="Arial"/>
      </rPr>
      <t xml:space="preserve">Армирование пилонов принять пространственными каркасами из сварных сеток по типовому альбому БСА.1-КЖ.И-Р1.
</t>
    </r>
    <r>
      <rPr>
        <sz val="8"/>
        <color rgb="FF000000"/>
        <rFont val="Arial"/>
      </rPr>
      <t xml:space="preserve">На участках, где невозможно выполнить армирование при помощи типовых сеток - выполнить армирование отдельными стержнями (обосновать расчетом).
</t>
    </r>
    <r>
      <rPr>
        <sz val="8"/>
        <color rgb="FF000000"/>
        <rFont val="Arial"/>
      </rPr>
      <t xml:space="preserve">
Диаметр основной продольной рабочей арматуры - 8, 10, 12, 16 мм (принять по расчету).
Диаметр дополнительной продольной арматуры - 10, 12, 16, 20, 25 мм (принять по расчету).
</t>
    </r>
    <r>
      <rPr>
        <sz val="8"/>
        <color rgb="FF000000"/>
        <rFont val="Arial"/>
      </rPr>
      <t>Диаметры</t>
    </r>
    <r>
      <rPr>
        <sz val="8"/>
        <color rgb="FF000000"/>
        <rFont val="Arial"/>
      </rPr>
      <t xml:space="preserve"> поперечной арматуры принять в соответствии с п.10.3.6, 10.3.12 СП 63.13330.2018. 
Шаг стержней принять максимально возможный (кратный 50 мм), по расчету.
Класс рабочей арматуры для сеток/каркасов А500С.
Бетон: B30, (W4, F150) - ниже плиты пола первого этажа
 B25, (W4, F150) - выше плиты пола первого этажа
Расход арматуры: не более 80 кг/м3</t>
    </r>
  </si>
  <si>
    <t>4.3.5.13</t>
  </si>
  <si>
    <r>
      <rPr>
        <sz val="8"/>
        <rFont val="Arial"/>
      </rPr>
      <t>Пилон монолитный 250х900 мм. (</t>
    </r>
    <r>
      <rPr>
        <sz val="8"/>
        <color rgb="FF1155CC"/>
        <rFont val="Arial"/>
      </rPr>
      <t>армирование сетками</t>
    </r>
    <r>
      <rPr>
        <sz val="8"/>
        <rFont val="Arial"/>
      </rPr>
      <t>)</t>
    </r>
  </si>
  <si>
    <r>
      <rPr>
        <sz val="8"/>
        <color rgb="FF000000"/>
        <rFont val="Arial"/>
      </rPr>
      <t xml:space="preserve">Армирование пилонов принять пространственными каркасами из сварных сеток по типовому альбому БСА.1-КЖ.И-Р1.
</t>
    </r>
    <r>
      <rPr>
        <sz val="8"/>
        <color rgb="FF000000"/>
        <rFont val="Arial"/>
      </rPr>
      <t>На участках, где невозможно выполнить армирование при помощи типовых сеток - выполнить армирование отдельными стержнями (обосновать расчетом).</t>
    </r>
    <r>
      <rPr>
        <sz val="8"/>
        <color rgb="FF000000"/>
        <rFont val="Arial"/>
      </rPr>
      <t xml:space="preserve">
Диаметр основной продольной рабочей арматуры - 8, 10, 12, 16 мм (принять по расчету).
Диаметр дополнительной продольной арматуры - 10, 12, 16, 20, 25 мм (принять по расчету).
Диаметры поперечной арматуры принять в соответствии с п.10.3.6, 10.3.12 СП 63.13330.2018. 
Шаг стержней принять максимально возможный (кратный 50 мм), по расчету.
Класс рабочей арматуры для сеток/каркасов А500С.
Бетон: B30, (W4, F150) - ниже плиты пола первого этажа
 B25, (W4, F150) - выше плиты пола первого этажа
Расход арматуры: не более 80 кг/м3</t>
    </r>
  </si>
  <si>
    <t>4.3.5.14</t>
  </si>
  <si>
    <r>
      <rPr>
        <sz val="8"/>
        <rFont val="Arial"/>
      </rPr>
      <t>Пилон монолитный 250х1200 мм. (</t>
    </r>
    <r>
      <rPr>
        <sz val="8"/>
        <color rgb="FF1155CC"/>
        <rFont val="Arial"/>
      </rPr>
      <t>армирование сетками</t>
    </r>
    <r>
      <rPr>
        <sz val="8"/>
        <rFont val="Arial"/>
      </rPr>
      <t>)</t>
    </r>
  </si>
  <si>
    <t>4.3.5.15</t>
  </si>
  <si>
    <r>
      <rPr>
        <sz val="8"/>
        <rFont val="Arial"/>
      </rPr>
      <t>Пилон монолитный 250х1500 мм. (</t>
    </r>
    <r>
      <rPr>
        <sz val="8"/>
        <color rgb="FF1155CC"/>
        <rFont val="Arial"/>
      </rPr>
      <t>армирование сетками</t>
    </r>
    <r>
      <rPr>
        <sz val="8"/>
        <rFont val="Arial"/>
      </rPr>
      <t>)</t>
    </r>
  </si>
  <si>
    <t>4.3.5.16</t>
  </si>
  <si>
    <r>
      <rPr>
        <sz val="8"/>
        <rFont val="Arial"/>
      </rPr>
      <t>Пилон монолитный 250х1800 мм. (</t>
    </r>
    <r>
      <rPr>
        <sz val="8"/>
        <color rgb="FF1155CC"/>
        <rFont val="Arial"/>
      </rPr>
      <t>армирование сетками</t>
    </r>
    <r>
      <rPr>
        <sz val="8"/>
        <rFont val="Arial"/>
      </rPr>
      <t>)</t>
    </r>
  </si>
  <si>
    <t>4.3.5.17</t>
  </si>
  <si>
    <r>
      <rPr>
        <sz val="8"/>
        <rFont val="Arial"/>
      </rPr>
      <t>Стена монолитная 250 мм. (</t>
    </r>
    <r>
      <rPr>
        <sz val="8"/>
        <color rgb="FF1155CC"/>
        <rFont val="Arial"/>
      </rPr>
      <t>армирование сетками</t>
    </r>
    <r>
      <rPr>
        <sz val="8"/>
        <rFont val="Arial"/>
      </rPr>
      <t>)</t>
    </r>
  </si>
  <si>
    <r>
      <rPr>
        <sz val="8"/>
        <color rgb="FF000000"/>
        <rFont val="Arial"/>
      </rPr>
      <t>Наружная стена подвала - 1 этажа;
Стены рампы, арки
Армирование пилонов принять пространственными каркасами из сварных сеток по типовому альбому БСА.1-КЖ.И-Р1. 
На участках, где невозможно выполнить армирование при помощи типовых сеток - выполнить армирование отдельными стержнями.
Диаметр основной продольной рабочей арматуры - 8, 10, 12, 16 мм (принять по расчету).
Диаметр дополнительной продольной арматуры - 8, 10, 12, 16 мм (принять по расчету).
Диаметры поперечной арматуры принять в соответствии с п.10.3.6, 10.3.12 СП 63.13330.2018. 
Шаг стержней принять максимально возможный (кратный 50 мм), по расчету. 
Класс рабочей арматуры для сеток/каркасов А500С.
Бетон</t>
    </r>
    <r>
      <rPr>
        <sz val="8"/>
        <color rgb="FF000000"/>
        <rFont val="Arial"/>
      </rPr>
      <t>: B30</t>
    </r>
    <r>
      <rPr>
        <sz val="8"/>
        <color rgb="FF000000"/>
        <rFont val="Arial"/>
      </rPr>
      <t>, (W - в зависимости от инженерно-геологических условий площадки строительства, F150, F200 - для Сургута)
 В35, (W - в зависимости от инженерно-геологических условий площадки строительства, F150, F200 - для Сургута) - для отметки ниже 0,000
Расход арматуры: не более 80 кг/м3</t>
    </r>
  </si>
  <si>
    <t>4.3.5.18</t>
  </si>
  <si>
    <r>
      <rPr>
        <sz val="8"/>
        <rFont val="Arial"/>
      </rPr>
      <t>Стена лестнично - лифтового узла монолитная 200 мм. (</t>
    </r>
    <r>
      <rPr>
        <sz val="8"/>
        <color rgb="FF1155CC"/>
        <rFont val="Arial"/>
      </rPr>
      <t>армирование сетками</t>
    </r>
    <r>
      <rPr>
        <sz val="8"/>
        <rFont val="Arial"/>
      </rPr>
      <t>)</t>
    </r>
  </si>
  <si>
    <t>Стена лестнично - лифтового узла сборная железобетонная 200 мм.</t>
  </si>
  <si>
    <t>4.3.5.19</t>
  </si>
  <si>
    <r>
      <rPr>
        <sz val="8"/>
        <rFont val="Arial"/>
      </rPr>
      <t>Плита перекрытия монолитная 180 мм. (</t>
    </r>
    <r>
      <rPr>
        <sz val="8"/>
        <color rgb="FF1155CC"/>
        <rFont val="Arial"/>
      </rPr>
      <t>армирование сетками</t>
    </r>
    <r>
      <rPr>
        <sz val="8"/>
        <rFont val="Arial"/>
      </rPr>
      <t>)</t>
    </r>
  </si>
  <si>
    <r>
      <rPr>
        <sz val="8"/>
        <color rgb="FF000000"/>
        <rFont val="Arial"/>
      </rPr>
      <t>Плита перекрытия между подвалом и первым этажом, типового этажа.
Нижнее фоновое армирование принять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Дополнительное нижнее армирование принять сварными однонаправленными сетками</t>
    </r>
    <r>
      <rPr>
        <sz val="8"/>
        <color rgb="FF000000"/>
        <rFont val="Arial"/>
      </rPr>
      <t xml:space="preserve"> (или двунаправленными, если рабочая арматура требуется в двух направлениях).</t>
    </r>
    <r>
      <rPr>
        <sz val="8"/>
        <color rgb="FF000000"/>
        <rFont val="Arial"/>
      </rPr>
      <t xml:space="preserve">
Верхнее рабочее армирование принять сварными двунаправленными сетками расположенными в зоне действия изгибающих моментов. Исключить фоновое армирование плит перекрытий в верхней сжатой зоне.
Армирование выполнять при помощи типовых сеток БСА.1-КЖ.И-Р1. На участках, где невозможно выполнить армирование при помощи типовых сеток - выполнить армирование отдельными стержнями.
Класс рабочей арматуры для сеток/каркасов А500С.
Для выполнения отверстий под инженерные коммуникации предусмотреть закладные элементы из блоков газо(пено)бетонных в плитах перекрытия для бурения по месту.
Предусмотреть термовкладыши на границе теплого и холодного контура из экструдированного пенополистирола ЭППС35.
В деформационных швах между плитами перекрытия установить пенополистирол ППС25.
Бетон: B25, (W4, F150)
Расход арматуры: не более 80 кг/м3</t>
    </r>
  </si>
  <si>
    <t>4.3.5.20</t>
  </si>
  <si>
    <r>
      <rPr>
        <sz val="8"/>
        <rFont val="Arial"/>
      </rPr>
      <t>Плита перекрытия монолитная 200 мм. (</t>
    </r>
    <r>
      <rPr>
        <sz val="8"/>
        <color rgb="FF1155CC"/>
        <rFont val="Arial"/>
      </rPr>
      <t>армирование сетками</t>
    </r>
    <r>
      <rPr>
        <sz val="8"/>
        <rFont val="Arial"/>
      </rPr>
      <t>)</t>
    </r>
  </si>
  <si>
    <t>4.3.5.21</t>
  </si>
  <si>
    <r>
      <rPr>
        <sz val="8"/>
        <rFont val="Arial"/>
      </rPr>
      <t>Плита покрытия монолитная 200 мм. (</t>
    </r>
    <r>
      <rPr>
        <sz val="8"/>
        <color rgb="FF1155CC"/>
        <rFont val="Arial"/>
      </rPr>
      <t>армирование сетками</t>
    </r>
    <r>
      <rPr>
        <sz val="8"/>
        <rFont val="Arial"/>
      </rPr>
      <t>)</t>
    </r>
  </si>
  <si>
    <t>4.3.5.22</t>
  </si>
  <si>
    <r>
      <rPr>
        <sz val="8"/>
        <color theme="1"/>
        <rFont val="Arial"/>
      </rPr>
      <t xml:space="preserve">Между - 1 и 1 этажом, 1 и 2 этажом, между последним этажом и чердаком. 
</t>
    </r>
    <r>
      <rPr>
        <sz val="8"/>
        <color theme="1"/>
        <rFont val="Arial"/>
      </rPr>
      <t>Армирование выполнять отдельными стержнями.</t>
    </r>
    <r>
      <rPr>
        <sz val="8"/>
        <color theme="1"/>
        <rFont val="Arial"/>
      </rPr>
      <t xml:space="preserve">
</t>
    </r>
    <r>
      <rPr>
        <sz val="8"/>
        <color theme="1"/>
        <rFont val="Arial"/>
      </rPr>
      <t>Класс рабочей арматуры А500С.</t>
    </r>
    <r>
      <rPr>
        <sz val="8"/>
        <color theme="1"/>
        <rFont val="Arial"/>
      </rPr>
      <t xml:space="preserve">
Бетон: B25, (W4, F150)
Расход арматуры: не более 80 кг/м3</t>
    </r>
  </si>
  <si>
    <t>4.3.5.22.1</t>
  </si>
  <si>
    <t>4.3.5.22.2</t>
  </si>
  <si>
    <t>4.3.5.23</t>
  </si>
  <si>
    <r>
      <rPr>
        <sz val="8"/>
        <color theme="1"/>
        <rFont val="Arial"/>
      </rPr>
      <t xml:space="preserve">Между - 1 и 1 этажом, 1 и 2 этажом, между последним этажом и чердаком. 
Армирование ступеней не предусматривать.
</t>
    </r>
    <r>
      <rPr>
        <sz val="8"/>
        <color theme="1"/>
        <rFont val="Arial"/>
      </rPr>
      <t>Армирование выполнять отдельными стержнями.
Класс рабочей арматуры А500С.</t>
    </r>
    <r>
      <rPr>
        <sz val="8"/>
        <color theme="1"/>
        <rFont val="Arial"/>
      </rPr>
      <t xml:space="preserve">
Бетон: B25, (W4, F150)
Расход арматуры: не более 80 кг/м3</t>
    </r>
  </si>
  <si>
    <t>4.3.5.23.1</t>
  </si>
  <si>
    <t>4.3.5.24</t>
  </si>
  <si>
    <t>4.3.5.25</t>
  </si>
  <si>
    <r>
      <rPr>
        <sz val="8"/>
        <color theme="1"/>
        <rFont val="Arial"/>
      </rPr>
      <t xml:space="preserve">Монолитный парапет по плите перекрытия, покрытия.
Высотой </t>
    </r>
    <r>
      <rPr>
        <sz val="8"/>
        <color theme="1"/>
        <rFont val="Arial"/>
      </rPr>
      <t>470 мм; 950 мм; 1650 мм.</t>
    </r>
    <r>
      <rPr>
        <sz val="8"/>
        <color theme="1"/>
        <rFont val="Arial"/>
      </rPr>
      <t xml:space="preserve">
Армирование выполнять отдельными стержнями.
Заложить выпуски из арматурных стержней ø8 мм шагом 250 мм из плиты перекрытия для устройства монолитного парапета. 
Класс рабочей арматуры А240, А500, А500С.
Бетон: B25, (W4, F150)
Расход арматуры: не более 80 кг/м3</t>
    </r>
  </si>
  <si>
    <t>4.3.5.26</t>
  </si>
  <si>
    <r>
      <rPr>
        <sz val="8"/>
        <rFont val="Arial"/>
      </rPr>
      <t xml:space="preserve">Балкон префабрицированный, заводского изготовления.
Согласно </t>
    </r>
    <r>
      <rPr>
        <sz val="8"/>
        <color rgb="FF1155CC"/>
        <rFont val="Arial"/>
      </rPr>
      <t>матрица префаб.балконов V2.0</t>
    </r>
    <r>
      <rPr>
        <sz val="8"/>
        <rFont val="Arial"/>
      </rPr>
      <t>.</t>
    </r>
  </si>
  <si>
    <t>4.3.5.27</t>
  </si>
  <si>
    <t xml:space="preserve"> Паркинг</t>
  </si>
  <si>
    <r>
      <rPr>
        <sz val="8"/>
        <color rgb="FF000000"/>
        <rFont val="Arial"/>
      </rPr>
      <t xml:space="preserve">Каркас из монолитных пилонов и стен(ограждающие стены автостоянки, соприкасающиеся с грунтом)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Гидроизоляцию принять на основании инженерно - геологических изысканий.
Требования к нагрузкам:
• Принять следующие временные, нормативные нагрузки: автостоянка и подъездные пути 350 кг/м², рампа 500 кг/м².
• Нагрузки от климатических воздействий согласно СП 20.13330.2016.
• Нагрузки от пожарных подразделений прикладывать только в зоне проезда и развертывания пожарного подразделения в виде линейной распределенной нагрузки и локальных поверхностных нагрузок под пятами аутригеров и не сочетанием данных видов нагрузки в одном нагружении.
• Расчет должен учитывать этапность возведения каркаса (порядок строительства и приложения расчетной нагрузки).
Не предусматривать монолитные стены и диафрагмы за исключением наружных стен смежных с грунтом.
Базовый шаг колонн/пилонов через 3 м/места (7500 мм в чистоте между внутренними гранями вертикальных конструкций). Допускается предусматривать колонны через 2 м/места (5000 мм в чистоте между внутренними гранями вертикальных конструкций) при условии увеличения общего количества м/мест от базового.
Предусмотреть деформационные швы при длине паркинга более 65 м (иной размер деформационного шва обосновать расчетом).
При устройстве консоли в плите перекрытия и плите покрытия ее размер не должен превышать 1/5 пролета.
</t>
    </r>
    <r>
      <rPr>
        <b/>
        <sz val="8"/>
        <color rgb="FF000000"/>
        <rFont val="Arial"/>
      </rPr>
      <t>Основные параметры каркаса:</t>
    </r>
    <r>
      <rPr>
        <sz val="8"/>
        <color rgb="FF000000"/>
        <rFont val="Arial"/>
      </rPr>
      <t xml:space="preserve">
• Фундамент монолитный столбчатый - габариты по расчету
• Плита монолитная 200 мм - плита пола между ростверками, устаивается в теле ростверков по верхней грани (Выполняется при высоком уровне грунтовых вод, при отсутствии системы дренажа)
• Плита монолитная 100 мм - устраивается сверху ростверков (Выполняется при низком уровне грунтовых вод при отсутствии системы дренажа)
• Фундамент монолитный ленточный - габариты по расчету
• Стена монолитная 250 мм - Наружная стена подвала
• Пилон монолитный 300х900 мм - Пилон каркаса
• Плита покрытия монолитная 250 мм
• Капитель монолитная 250 мм
• Плита рампы монолитная 200 мм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
Класс поверхности для лицевой (верхней) поверхности для фундаментных плит, плит перекрытия ниже нуля принять - А6 согласно приложения Х, СП 70.13330.2012.</t>
    </r>
  </si>
  <si>
    <r>
      <rPr>
        <sz val="8"/>
        <color rgb="FF1155CC"/>
        <rFont val="Arial"/>
      </rPr>
      <t>Гидроизоляция и теплоизоляция горизонтальная паркинга</t>
    </r>
    <r>
      <rPr>
        <sz val="8"/>
        <color rgb="FF000000"/>
        <rFont val="Arial"/>
      </rPr>
      <t xml:space="preserve"> </t>
    </r>
  </si>
  <si>
    <r>
      <rPr>
        <b/>
        <sz val="8"/>
        <color theme="1"/>
        <rFont val="Arial"/>
      </rPr>
      <t xml:space="preserve">Для низкого уровня грунтовых вод:
</t>
    </r>
    <r>
      <rPr>
        <sz val="8"/>
        <color theme="1"/>
        <rFont val="Arial"/>
      </rPr>
      <t xml:space="preserve">Выполнить обмазочную гидроизоляцию мастикой гидроизоляционной Технониколь №24 (в 2 слоя) по праймеру битумному Технониколь №01 - для отдельно стоящих ростверков.
В деформационных швах монолитной плиты пола паркинга:
- Пенополистирол ППС25 - 50 мм
</t>
    </r>
    <r>
      <rPr>
        <b/>
        <sz val="8"/>
        <color theme="1"/>
        <rFont val="Arial"/>
      </rPr>
      <t xml:space="preserve">Для высокого уровня грунтовых вод:
</t>
    </r>
    <r>
      <rPr>
        <sz val="8"/>
        <color theme="1"/>
        <rFont val="Arial"/>
      </rPr>
      <t>Гидроизоляция фундаментной плиты:
- Фундаментная плита монолитная
- Защитный слой из тощего бетона В7.5 - 30 мм
- Гидроизоляция ТЕХНОЭЛАСТ ЭПП
- Огрунтовка праймером битумным по бетонной подготовке
- Подготовка под фундамент бетонная 70 мм 
- Уплотненный грунт основания
В деформационных швах фундаментных плит, плит покрытия паркинга:
- Гидрошпонка АКВАСТОП ДЗ-140/50-4/35 / Технониколь FM-140/50
- Пенополистирол ППС25 - 50 мм
В рабочих швах бетонирования:
- Гидрошпонка ЕС-320-4
- Саморасширяющийся шнур Технониколь IC-SP 20х10 мм
Выполнить согласно альбомов:
- КР.КЖ-У
- КР.Ф-У</t>
    </r>
  </si>
  <si>
    <t>Отдельные стержни</t>
  </si>
  <si>
    <r>
      <rPr>
        <sz val="8"/>
        <color theme="1"/>
        <rFont val="Arial"/>
      </rPr>
      <t xml:space="preserve">Армирование выполнять отдельными стержнями из арматуры классов А240; А500; А500С.
</t>
    </r>
    <r>
      <rPr>
        <b/>
        <i/>
        <sz val="8"/>
        <color theme="1"/>
        <rFont val="Arial"/>
      </rPr>
      <t xml:space="preserve">
</t>
    </r>
    <r>
      <rPr>
        <sz val="8"/>
        <color theme="1"/>
        <rFont val="Arial"/>
      </rPr>
      <t xml:space="preserve">Бетон: B25, (W4, F150)
Расход арматуры: не более 80 кг/м3 </t>
    </r>
  </si>
  <si>
    <r>
      <rPr>
        <sz val="8"/>
        <color theme="1"/>
        <rFont val="Arial"/>
      </rPr>
      <t xml:space="preserve">Армирование выполнять отдельными стержнями из арматуры классов А240; А500; А500С.
</t>
    </r>
    <r>
      <rPr>
        <b/>
        <i/>
        <sz val="8"/>
        <color theme="1"/>
        <rFont val="Arial"/>
      </rPr>
      <t xml:space="preserve">
</t>
    </r>
    <r>
      <rPr>
        <sz val="8"/>
        <color theme="1"/>
        <rFont val="Arial"/>
      </rPr>
      <t xml:space="preserve">Бетон: B25, (W4, F150)
Расход арматуры: не более 80 кг/м3 </t>
    </r>
  </si>
  <si>
    <t>При расчете обеспечить выполнение Приказа Минстрой РФ№919/пр от 30.12.2020г и снизить расчетные нагрузки: 
на 19% для Москвы и Московской области
на 9% для Екатеринбурга, Кургана, Новосибирска, Тюмени и Омска, Сургута
При проектировании учесть плановые нагрузки по данному объекту .... ( ).
на коммерческие помещения
жилые помещения
паркинг</t>
  </si>
  <si>
    <t>Заданные</t>
  </si>
  <si>
    <t>Систему электроснабжения проектировать, производить и монтировать унифицированными префабрицированными изделиями заводского изготовления.</t>
  </si>
  <si>
    <t>Кабель</t>
  </si>
  <si>
    <t>Питающие и распределительные 
линии 0,4 кВ - шинопровод</t>
  </si>
  <si>
    <t xml:space="preserve">Прокладку кабелей от ТП до ввода снаружи здания выполнить согласно технических условий, кабелем 0,4 кВт с алюминиевыми жилами, сечение согласно расчёта.
Прокладку кабельных линий от ввода здания до ВРУ в коридоре технического этажа (подвала) выполнить под потолком под потолком шинопроводом. Избегать прокладки кабелей над кладовыми.
Для ввода и вывода из здания силовых цепей электроснабжения и наружного освещения предусмотреть устройство ПВХ-труб, диаметр подобрать из условия заполняемости кабелем не более 40 % от внутреннего диаметра трубы. Количество труб определить проектом.
При наличии транзитных участков из одного ПО через другой ПО необходимо использование ОКК с пределом огнестойкости ЕI не ниже огнестойкости прилегающих конструкций.
Стороны огнестойкого кабельного короба подобрать из каталога производителя в соответствии с прилегающими конструкциями. </t>
  </si>
  <si>
    <t>Шинопровод</t>
  </si>
  <si>
    <r>
      <rPr>
        <sz val="8"/>
        <color rgb="FF000000"/>
        <rFont val="Arial"/>
      </rPr>
      <t xml:space="preserve">Магистраль электроснабжения </t>
    </r>
    <r>
      <rPr>
        <sz val="8"/>
        <color rgb="FF000000"/>
        <rFont val="Arial"/>
      </rPr>
      <t>шинопровод</t>
    </r>
  </si>
  <si>
    <t>Прокладку от ВРУ до ниши (шахты) ЭЛ выполнить единым шинопроводом для жилой части, коммерческих помещений, МОП, технических помещений.
Производители: согласно вендор листа.</t>
  </si>
  <si>
    <r>
      <rPr>
        <sz val="8"/>
        <color rgb="FF000000"/>
        <rFont val="Arial"/>
      </rPr>
      <t xml:space="preserve">Прокладку кабельных линий от щита этажного, распределительно до конечных потребителей, выполнить кабелем: 
 - с медными жилами с изоляцией LS.
Сечение согласно расчёта.
В каждом помещении квартиры предусмотреть установку ответвительных коробок для прокладки линий розеточной бытовой сети. Места установки коробок на стенах выбрать так, чтобы исключить прокладку линий на монолитных участках стен, а также в стяжке.
</t>
    </r>
    <r>
      <rPr>
        <b/>
        <sz val="8"/>
        <color rgb="FF000000"/>
        <rFont val="Arial"/>
      </rPr>
      <t>Линии освещения:</t>
    </r>
    <r>
      <rPr>
        <sz val="8"/>
        <color rgb="FF000000"/>
        <rFont val="Arial"/>
      </rPr>
      <t xml:space="preserve">
Прокладку выполнить:
В основных жилых помещениях - в ПНД трубе D20 в плите перекрытия.
В ванной - в ПНД трубе D25 в плите перекрытия.
В паркинге - в гофрированной ПВХ трубе D20 открытым способом.
В коридоре кладовых выполнить на перфорированным лотке 50х50 с огнезащитной перегородкой.
Выпуск кабеля после протяжки из плиты перекрытия выполнить длиной 400 мм и закончить клеммником
Сечение кабеля:
Освещение в основных жилых помещениях и МОП - 3х2,5
Освещение в ванной - 3х4
Опуски к выключателям - 2х2,5 (для одноклавишных), 3х2,5 (для двухклавишных)
</t>
    </r>
    <r>
      <rPr>
        <b/>
        <sz val="8"/>
        <color rgb="FF000000"/>
        <rFont val="Arial"/>
      </rPr>
      <t>Линии розеток:</t>
    </r>
    <r>
      <rPr>
        <sz val="8"/>
        <color rgb="FF000000"/>
        <rFont val="Arial"/>
      </rPr>
      <t xml:space="preserve">
Прокладку выполнить: в стяжке пола в гофрированной трубе.
На одну комнату предусмотреть устройство одной распределительной коробки. Места установки коробок на стенах выбрать так чтобы исключить прокладку линий на монолитных участках стен.
Опуски к выключателям и подъемы к розеткам расположенным на кирпичных стенах выполнить в штробе под затирку.
Опуски к выключателям и подъемы к розеткам расположенным на ГКЛ перегородках выполнить в гофрированной ПВХ трубе.
Не производить прокладку кабелей (разводку розеточных сетей) в двухуровневых квартирах, квартирах с отдельным входом и квартирах с надстройкой на последних этажах.
Сечение кабеля:
Для розеточных групп - 3х4
К конечным розеткам основных помещений - 3х2,5, для ванной 3х4
Для подключения кухонной плиты предусмотреть отдельный кабель сечением 3х10</t>
    </r>
  </si>
  <si>
    <t>Медь</t>
  </si>
  <si>
    <r>
      <rPr>
        <sz val="8"/>
        <color rgb="FF000000"/>
        <rFont val="Arial"/>
      </rPr>
      <t xml:space="preserve">Магистраль электроснабжения </t>
    </r>
    <r>
      <rPr>
        <sz val="8"/>
        <color rgb="FF000000"/>
        <rFont val="Arial"/>
      </rPr>
      <t>шинопровод</t>
    </r>
  </si>
  <si>
    <r>
      <rPr>
        <sz val="8"/>
        <color rgb="FF000000"/>
        <rFont val="Arial"/>
      </rPr>
      <t xml:space="preserve">Прокладку кабельных линий от щита этажного, распределительно до конечных потребителей, выполнить кабелем: 
 - с медными жилами с изоляцией LS.
Сечение согласно расчёта.
</t>
    </r>
    <r>
      <rPr>
        <b/>
        <sz val="8"/>
        <color rgb="FF000000"/>
        <rFont val="Arial"/>
      </rPr>
      <t>Линии освещения:</t>
    </r>
    <r>
      <rPr>
        <sz val="8"/>
        <color rgb="FF000000"/>
        <rFont val="Arial"/>
      </rPr>
      <t xml:space="preserve">
Прокладку выполнить:
В МОП - в ПНД трубе D20 в плите перекрытия.
Управление освещением мест общего пользования жилой части (межквартирные коридоры, лифтовые холлы, вестибюли входных групп) предусмотреть:
Рабочее освещение:
- включается от датчика движения или звукового;
- местное (ручное) - с фасада щита освещения;
- телеуправление - с диспетчерского поста (при его наличии);
Аварийное/эвакуационное:
- включено постоянно.
Сечение кабеля:
Освещение в МОП - 3х2,5
Опуски к выключателям - 2х1,5 (для одноклавишных), 3х1,5 (для двухклави</t>
    </r>
    <r>
      <rPr>
        <b/>
        <sz val="8"/>
        <color rgb="FF000000"/>
        <rFont val="Arial"/>
      </rPr>
      <t xml:space="preserve">шных)
</t>
    </r>
    <r>
      <rPr>
        <sz val="8"/>
        <color rgb="FF000000"/>
        <rFont val="Arial"/>
      </rPr>
      <t>Опуски к выключателям и подъемы к розеткам расположенным на кирпичных стенах выполнить в штробе под затирку.
Опуски к выключателям и подъемы к розеткам расположенным на ГКЛ перегородках выполнить в гофрированной трубе.</t>
    </r>
  </si>
  <si>
    <r>
      <rPr>
        <sz val="8"/>
        <color rgb="FF000000"/>
        <rFont val="Arial"/>
      </rPr>
      <t xml:space="preserve">Магистраль электроснабжения </t>
    </r>
    <r>
      <rPr>
        <sz val="8"/>
        <color rgb="FF000000"/>
        <rFont val="Arial"/>
      </rPr>
      <t>шинопровод</t>
    </r>
  </si>
  <si>
    <r>
      <rPr>
        <sz val="8"/>
        <color rgb="FF000000"/>
        <rFont val="Arial"/>
      </rPr>
      <t xml:space="preserve">Кабельные линии проложить под потолком открыто в гофрированных ПВХ трубах с креплением к стенам и потолку.
Расчетную нагрузку потребителей автостоянки принять 0,2 кВт/машино-место.
Выполнить расчет электрических нагрузок в рабочем и аварийном (пожарном) режимах. Совмещение аварийного и пожарного режимов при расчете нагрузок не учитывать.
Учет в составе ВРУ паркинга. Счетчики с цифровым дисплеем, класса точности 1, с возможностью подключения к системе диспетчеризации по интерфейсу RS 485.
</t>
    </r>
    <r>
      <rPr>
        <strike/>
        <sz val="8"/>
        <color rgb="FF000000"/>
        <rFont val="Arial"/>
      </rPr>
      <t xml:space="preserve">
</t>
    </r>
    <r>
      <rPr>
        <sz val="8"/>
        <color rgb="FF000000"/>
        <rFont val="Arial"/>
      </rPr>
      <t xml:space="preserve">Светильники (тип, марка, серия) согласно дизайн проекта. </t>
    </r>
  </si>
  <si>
    <r>
      <rPr>
        <sz val="8"/>
        <color theme="1"/>
        <rFont val="Arial"/>
      </rPr>
      <t xml:space="preserve">Кабельные линии от ВРУ до стояков проложить </t>
    </r>
    <r>
      <rPr>
        <sz val="8"/>
        <color theme="1"/>
        <rFont val="Arial"/>
      </rPr>
      <t>в перфорированных лотках</t>
    </r>
    <r>
      <rPr>
        <sz val="8"/>
        <color theme="1"/>
        <rFont val="Arial"/>
      </rPr>
      <t xml:space="preserve"> под потолком коридора технического этажа.
Магистраль кабельных линий основной и СПЗ выполнить с разделением по коробам, лоткам, трубам.
Стояк кабельных линий основной и СПЗ выполнить в отдельных электротехнических нишах.
Учет в составе ВРУ жилой части.
Электропроводку следует проектировать сменяемой.</t>
    </r>
  </si>
  <si>
    <r>
      <rPr>
        <sz val="8"/>
        <color rgb="FF000000"/>
        <rFont val="Arial"/>
      </rPr>
      <t xml:space="preserve">На кровле здания предусмотреть заградительные огни согласно приказа "Расположение и количество заградительных огней, уровней светового ограждения высотных и протяженных объектов, представляющих угрозу безопасности воздушного движения" а также иных действующих нормативных требований.
</t>
    </r>
    <r>
      <rPr>
        <sz val="8"/>
        <color rgb="FF000000"/>
        <rFont val="Arial"/>
      </rPr>
      <t xml:space="preserve">
</t>
    </r>
    <r>
      <rPr>
        <sz val="8"/>
        <color rgb="FF000000"/>
        <rFont val="Arial"/>
      </rPr>
      <t xml:space="preserve">Прокладку кабеля к заградительным огням выполнить в атмосферостойкой трубе d25 с креплением к внутренней части стены ограждения кровли. Само крепление осуществляется оцинкованными металлическими скобами за слоем утеплителя. 
</t>
    </r>
    <r>
      <rPr>
        <sz val="8"/>
        <color rgb="FF000000"/>
        <rFont val="Arial"/>
      </rPr>
      <t xml:space="preserve">
</t>
    </r>
    <r>
      <rPr>
        <sz val="8"/>
        <color rgb="FF000000"/>
        <rFont val="Arial"/>
      </rPr>
      <t>Распределительные коробки установить в доступном месте с расчётом на дальнейшее обслуживание.</t>
    </r>
    <r>
      <rPr>
        <sz val="8"/>
        <color rgb="FF000000"/>
        <rFont val="Arial"/>
      </rPr>
      <t xml:space="preserve">
Светодиодный с рассеивателем из ударопрочного поликарбоната </t>
    </r>
    <r>
      <rPr>
        <sz val="8"/>
        <color rgb="FF000000"/>
        <rFont val="Arial"/>
      </rPr>
      <t xml:space="preserve">в сдвоенном исполнении.
</t>
    </r>
    <r>
      <rPr>
        <sz val="8"/>
        <color rgb="FF000000"/>
        <rFont val="Arial"/>
      </rPr>
      <t xml:space="preserve">
Российского производства</t>
    </r>
  </si>
  <si>
    <r>
      <rPr>
        <sz val="8"/>
        <color rgb="FF000000"/>
        <rFont val="Arial"/>
      </rPr>
      <t xml:space="preserve">Магистраль электроснабжения </t>
    </r>
    <r>
      <rPr>
        <sz val="8"/>
        <color rgb="FF000000"/>
        <rFont val="Arial"/>
      </rPr>
      <t>шинопровод</t>
    </r>
  </si>
  <si>
    <t>ТЕКСТ ИЗ ТЗ</t>
  </si>
  <si>
    <r>
      <rPr>
        <sz val="8"/>
        <color rgb="FF000000"/>
        <rFont val="Arial"/>
      </rPr>
      <t xml:space="preserve">Систему наружного освещения Объекта запроектировать в соответствии с действующими нормами.
Предусмотреть возможность подключения щита управления архитектурным освещением Объекта, </t>
    </r>
    <r>
      <rPr>
        <sz val="8"/>
        <color rgb="FF000000"/>
        <rFont val="Arial"/>
      </rPr>
      <t xml:space="preserve">либо </t>
    </r>
    <r>
      <rPr>
        <sz val="8"/>
        <color rgb="FF000000"/>
        <rFont val="Arial"/>
      </rPr>
      <t>для этого необходимый резерв электрической мощности.</t>
    </r>
  </si>
  <si>
    <r>
      <rPr>
        <sz val="8"/>
        <color rgb="FF000000"/>
        <rFont val="Arial"/>
      </rPr>
      <t xml:space="preserve">Предусмотреть систему защитного заземления Объекта по типу TN-C-S.
Предусмотреть пассивную систему молниезащиты.
</t>
    </r>
    <r>
      <rPr>
        <b/>
        <i/>
        <sz val="8"/>
        <color rgb="FF000000"/>
        <rFont val="Arial"/>
      </rPr>
      <t>Молниеприемники:</t>
    </r>
    <r>
      <rPr>
        <sz val="8"/>
        <color rgb="FF000000"/>
        <rFont val="Arial"/>
      </rPr>
      <t xml:space="preserve">
- Молниеприемную сетку выполнить для каждой секции жилого дома. Шаг ячейки сетки 10х10м из круглой стали диаметром не менее 8 мм. Молниеприемная сетка укладывается по конструкции кровли (в слое гравийной засыпки) таким образом чтобы исключить контакт молниеприемников с горючими материалами кровли.
- Молниеприемная сетка укладывается на всех отметках кровли и по парапетам кровли. Молниеприемные контуры, расположенные на разных отметках кровли, соединить между собой не менее чем в двух точках.
- Металлические элементы выступающие над кровлей (вентиляторы, стремянки, ограждения кровли) присоединить к молниеприемной сетке.
</t>
    </r>
    <r>
      <rPr>
        <b/>
        <i/>
        <sz val="8"/>
        <color rgb="FF000000"/>
        <rFont val="Arial"/>
      </rPr>
      <t xml:space="preserve">Прокладка молниеприемников:
</t>
    </r>
    <r>
      <rPr>
        <sz val="8"/>
        <color rgb="FF000000"/>
        <rFont val="Arial"/>
      </rPr>
      <t xml:space="preserve">- Вертикальные молниеотводы из круглой стали диаметром 8 мм прокладываются в теле(слое) утеплителя. Молниеотводы расположить равномерно по периметру здания так, чтобы расстояние между ними было не более 20 метров.
- Молниеотводы соединяются горизонтальными поясами вблизи земли и через каждые 20 метров по высоте здания горизонтальным поясом из стали диаметром 8 мм. 
</t>
    </r>
    <r>
      <rPr>
        <b/>
        <i/>
        <sz val="8"/>
        <color rgb="FF000000"/>
        <rFont val="Arial"/>
      </rPr>
      <t xml:space="preserve">Контур заземления: 
</t>
    </r>
    <r>
      <rPr>
        <sz val="8"/>
        <color rgb="FF000000"/>
        <rFont val="Arial"/>
      </rPr>
      <t>- Контур из горизонтально уложенной стальной оцинкованной полосы 40х5 мм, на глубину не менее 0,5 м от поверхности земли, по периметру здания, на расстояние 1 метра от здания.
- Заземляющие устройства из уголка 40х40х4 длиной 3 метра.</t>
    </r>
  </si>
  <si>
    <r>
      <rPr>
        <b/>
        <sz val="8"/>
        <color rgb="FF000000"/>
        <rFont val="Arial"/>
      </rPr>
      <t>Система уравнивания потенциалов:</t>
    </r>
    <r>
      <rPr>
        <sz val="8"/>
        <color rgb="FF000000"/>
        <rFont val="Arial"/>
      </rPr>
      <t xml:space="preserve">
На вводе в здание выполняется система уравнивания потенциала (СУП), соединяющая между собой проводящие части: ГЗШ, проводник заземления (внутренний и наружные контуры), металлические трубы коммуникаций (ГВС, ХВС, канализация, отопление).
</t>
    </r>
    <r>
      <rPr>
        <b/>
        <sz val="8"/>
        <color rgb="FF000000"/>
        <rFont val="Arial"/>
      </rPr>
      <t>Дополнительная система уравнивания потенциалов:</t>
    </r>
    <r>
      <rPr>
        <sz val="8"/>
        <color rgb="FF000000"/>
        <rFont val="Arial"/>
      </rPr>
      <t xml:space="preserve">
В помещениях ВРУ, ИТП, водомерных узлах, насосных станций предусмотреть контур СУП из стальной полосы сечением 25х4 мм по периметру помещений на высоте 30 см от уровня чистого пола. Контур СУП соединить с ГЗШ.
В ванных помещениях предусмотреть дополнительную систему уравнивания потенциалов путем установки в зоне 3 (согласно классификации ГОСТ Р 50571.7.701) каждого ванного помещения коробки дополнительного уравнивания потенциалов (КУП).</t>
    </r>
  </si>
  <si>
    <t>При проектировании учесть плановые нагрузки по данному объекту .... ( ). 
Расчет выполнить на основании СП30.13330 Приложение А. таб.А.2
на коммерческие помещения
жилые помещения
паркинг
При расчете не учитывать расход на полив.</t>
  </si>
  <si>
    <t>6.1.0.3</t>
  </si>
  <si>
    <t>Системы:
- Хозяйственно-питьевого водопровода,
- Горячего водоснабжения,
- Циркуляции горячего водоснабжения,
- Хозяйственно-бытовой канализации. 
Проектировать, производить и монтировать унифицированными префабрицированными изделиями заводского изготовления.</t>
  </si>
  <si>
    <t>С28, УВ28, С50, Б50</t>
  </si>
  <si>
    <r>
      <rPr>
        <sz val="8"/>
        <color rgb="FF000000"/>
        <rFont val="Arial"/>
      </rPr>
      <t xml:space="preserve">Для коммерческих помещений и КУИ
Располагать выше 1200 мм от чистого пола для возможности установки инсталляции.
Подключение от стояка через комбинированный отвод ПП-НР DN20-15.
</t>
    </r>
    <r>
      <rPr>
        <b/>
        <sz val="8"/>
        <color rgb="FF000000"/>
        <rFont val="Arial"/>
      </rPr>
      <t xml:space="preserve">
Состав узла:</t>
    </r>
    <r>
      <rPr>
        <sz val="8"/>
        <color rgb="FF000000"/>
        <rFont val="Arial"/>
      </rPr>
      <t xml:space="preserve">
1. Кран шаровой латунный муфтовый бабочка НР-ВР DN15 (для подключения к стояку и для подключения УВП)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Тройник латунный ВР-ВР DN15 (для подключения разводки в помещении С/У и для подключения УВП)
8. Заглушка ПП НР DN15
9. Муфта (штуцер) с переходом на НР (надвижной фитинг - для СП)
Производители: Пульсар</t>
    </r>
  </si>
  <si>
    <t>С28, УВ28</t>
  </si>
  <si>
    <t>С50, Б50</t>
  </si>
  <si>
    <r>
      <rPr>
        <sz val="8"/>
        <color rgb="FF000000"/>
        <rFont val="Arial"/>
      </rPr>
      <t xml:space="preserve">Для коммерческих помещений и КУИ
</t>
    </r>
    <r>
      <rPr>
        <sz val="8"/>
        <color rgb="FF000000"/>
        <rFont val="Arial"/>
      </rPr>
      <t xml:space="preserve">Располагать выше 1200 мм от чистого пола для возможности установки инсталляции.
Подключение от стояка через комбинированный отвод ПП-НР DN20-15.
</t>
    </r>
    <r>
      <rPr>
        <b/>
        <sz val="8"/>
        <color rgb="FF000000"/>
        <rFont val="Arial"/>
      </rPr>
      <t xml:space="preserve">
Состав узла:</t>
    </r>
    <r>
      <rPr>
        <sz val="8"/>
        <color rgb="FF000000"/>
        <rFont val="Arial"/>
      </rPr>
      <t xml:space="preserve">
1. Кран шаровой латунный муфтовый бабочка НР-ВР DN15 (для подключения к стояку и для подключения УВП)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Тройник латунный ВР-ВР DN15 (для подключения разводки в помещении С/У и для подключения УВП)
8. Заглушка ПП НР DN15
9. Муфта (штуцер) с переходом на НР (надвижной фитинг - для СП)
Производители: Пульсар</t>
    </r>
  </si>
  <si>
    <r>
      <rPr>
        <sz val="8"/>
        <color rgb="FF000000"/>
        <rFont val="Arial"/>
      </rPr>
      <t xml:space="preserve">Подключение от стояка через комбинированную муфту ПП-НР.
Состав коллектора:
1. Кран шаровой латунный муфтовый бабочка НР-ВР, DN32 (для подключения к стояку) 
2. Фильтр сетчатый латунный ВР-ВР DN32
3. Ниппель латунный НР-НР DN32
4. Балка коллекторная </t>
    </r>
    <r>
      <rPr>
        <sz val="8"/>
        <color rgb="FF000000"/>
        <rFont val="Arial"/>
      </rPr>
      <t xml:space="preserve">DN40 из нержавеющей стали </t>
    </r>
    <r>
      <rPr>
        <sz val="8"/>
        <color rgb="FF000000"/>
        <rFont val="Arial"/>
      </rPr>
      <t xml:space="preserve">
5. Кран шаровой латунный муфтовый бабочка ВР-ВР DN15 (для подключения к разводке) 
6. Клапан редукционный ВР-ВР DN15 (наличие редукционного клапана определить по расчету)
7. Счетчик универсальный с импульсным выходом и присоединительным комплектом
8. Обратный клапан пружинный (штоковый) латунный ВР-ВР DN15
9. Кран трехходовой для манометра DN15 
10. Манометр общетехнический, класс точности 1,5 
11. Муфта (штуцер) с переходом на НР (пресс фитинг - для МП, надвижной фитинг - для СП)
На коллекторе предусмотреть теплоизоляцию из вспененного каучука.
Производители: 
Коллектор: АкваСмарт
Счетчики: Пульсар
Изоляция: K-Flex, Armacell</t>
    </r>
  </si>
  <si>
    <r>
      <rPr>
        <sz val="8"/>
        <color rgb="FF000000"/>
        <rFont val="Arial"/>
      </rPr>
      <t xml:space="preserve">Для коммерческих помещений и КУИ
</t>
    </r>
    <r>
      <rPr>
        <sz val="8"/>
        <color rgb="FF000000"/>
        <rFont val="Arial"/>
      </rPr>
      <t xml:space="preserve">Располагать выше 1200 мм от чистого пола для возможности установки инсталляции.
Подключение от стояка через комбинированный отвод ПП-НР DN20-15.
</t>
    </r>
    <r>
      <rPr>
        <b/>
        <sz val="8"/>
        <color rgb="FF000000"/>
        <rFont val="Arial"/>
      </rPr>
      <t xml:space="preserve">
Состав узла:</t>
    </r>
    <r>
      <rPr>
        <sz val="8"/>
        <color rgb="FF000000"/>
        <rFont val="Arial"/>
      </rPr>
      <t xml:space="preserve">
1. Кран шаровой латунный муфтовый бабочка НР-ВР DN15 (для подключения к стояку и для подключения УВП)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Тройник латунный ВР-ВР DN15 (для подключения разводки в помещении С/У и для подключения УВП)
8. Заглушка ПП НР DN15
9. Муфта (штуцер) с переходом на НР (пресс фитинг - для МП, надвижной фитинг - для СП)
Производители: Пульсар</t>
    </r>
  </si>
  <si>
    <t>Для ГВС:
DN 50 - с 1 по 9 этаж 
Для циркуляции ГВС
DN 25 - с 1 по 9 этаж 
При ином количестве этажей исключать нижний этаж.
Полипропиленовые PN25 армированные стекловолокном в тепловой изоляции из вспененного каучука, толщиной 13 мм для ХВС, 19 мм для ГВС.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Производители: Труб, Изоляции, Арматуры согласно вендор листу</t>
  </si>
  <si>
    <t>Для ГВС:
DN 63 - с 1 по 16 этаж - один однозонный стояк
Для циркуляции ГВС
DN 32 - с 1 по 16 этаж - один однозонный стояк 
При ином количестве этажей исключать нижний этаж.
Полипропиленовые PN25 армированные стекловолокном в тепловой изоляции из вспененного каучука, толщиной 13 мм для ХВС, 19 мм для ГВС.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Производители: Труб, Изоляции, Арматуры согласно вендор листу</t>
  </si>
  <si>
    <t>Стояк из труб ПП PN25 до 50 метров, два однозонных</t>
  </si>
  <si>
    <t>Для ГВС:
DN 50 - с 1 по 16 этаж - два однозонных стояка
Для циркуляции ГВС
DN 25 - с 1 по 16 этаж - два однозонных стояка 
При ином количестве этажей исключать нижний этаж.
Полипропиленовые PN25 армированные стекловолокном в тепловой изоляции из вспененного каучука, толщиной 13 мм для ХВС, 19 мм для ГВС.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Производители: Труб, Изоляции, Арматуры согласно вендор листу</t>
  </si>
  <si>
    <r>
      <rPr>
        <sz val="8"/>
        <color rgb="FF000000"/>
        <rFont val="Arial"/>
      </rPr>
      <t xml:space="preserve">Для ГВС:
DN 50 - с 1 по 16 этаж - два однозонных стояка
Для циркуляции ГВС
DN 25 - с 1 по 16 этаж - два однозонных стояка  
При ином количестве этажей исключать нижний этаж.
Труба ГОСТ 3262-75* диаметр и толщина стенки: 25х3,2, труба ГОСТ 10704-91 диаметр и толщина стенки: 57х3,5, в тепловой изоляции из вспененного каучука, толщиной 13 мм для ХВС, 19 мм для ГВС.
Антикоррозийная защита: 
- Трубопроводы в изоляции: краска БТ-177 ГОСТ 5631-79 в два слоя, по грунту ГФ-021 ГОСТ 25129-82 в один слой.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Производители: Труб, Изоляции, Арматуры </t>
    </r>
    <r>
      <rPr>
        <sz val="8"/>
        <color rgb="FF000000"/>
        <rFont val="Arial"/>
      </rPr>
      <t>согласно вендор листу</t>
    </r>
  </si>
  <si>
    <r>
      <rPr>
        <sz val="8"/>
        <color rgb="FF000000"/>
        <rFont val="Arial"/>
      </rPr>
      <t xml:space="preserve">Подключение от стояка через комбинированную муфту ПП-НР.
Состав коллектора:
1. Кран шаровой латунный муфтовый бабочка НР-ВР, DN32 (для подключения к стояку) 
2. Фильтр сетчатый латунный ВР-ВР DN32
3. Ниппель латунный НР-НР DN32
4. Балка коллекторная </t>
    </r>
    <r>
      <rPr>
        <sz val="8"/>
        <color rgb="FF000000"/>
        <rFont val="Arial"/>
      </rPr>
      <t xml:space="preserve">DN40 из нержавеющей стали </t>
    </r>
    <r>
      <rPr>
        <sz val="8"/>
        <color rgb="FF000000"/>
        <rFont val="Arial"/>
      </rPr>
      <t xml:space="preserve">
5. Кран шаровой латунный муфтовый бабочка ВР-ВР DN15 (для подключения к разводке) 
6. Клапан редукционный ВР-ВР DN15 (наличие редукционного клапана определить по расчету)
7. Счетчик универсальный с импульсным выходом и присоединительным комплектом
8. Обратный клапан пружинный (штоковый) латунный ВР-ВР DN15
9. Кран трехходовой для манометра DN15 
10. Манометр общетехнический, класс точности 1,5 
11. Муфта (штуцер) с переходом на НР (пресс фитинг - для МП, надвижной фитинг - для СП)
На коллекторе предусмотреть теплоизоляцию из вспененного каучука.
Производители: 
Коллектор: АкваСмарт
Счетчики: Пульсар
Изоляция: K-Flex, Armacell</t>
    </r>
  </si>
  <si>
    <r>
      <rPr>
        <sz val="8"/>
        <color rgb="FF000000"/>
        <rFont val="Arial"/>
      </rPr>
      <t xml:space="preserve">Для коммерческих помещений и КУИ
</t>
    </r>
    <r>
      <rPr>
        <sz val="8"/>
        <color rgb="FF000000"/>
        <rFont val="Arial"/>
      </rPr>
      <t xml:space="preserve">Располагать выше 1200 мм от чистого пола для возможности установки инсталляции.
Подключение от стояка через комбинированный отвод ПП-НР DN20-15.
</t>
    </r>
    <r>
      <rPr>
        <b/>
        <sz val="8"/>
        <color rgb="FF000000"/>
        <rFont val="Arial"/>
      </rPr>
      <t xml:space="preserve">
Состав узла:</t>
    </r>
    <r>
      <rPr>
        <sz val="8"/>
        <color rgb="FF000000"/>
        <rFont val="Arial"/>
      </rPr>
      <t xml:space="preserve">
1. Кран шаровой латунный муфтовый бабочка НР-ВР DN15 (для подключения к стояку и для подключения УВП)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Тройник латунный ВР-ВР DN15 (для подключения разводки в помещении С/У и для подключения УВП)
8. Заглушка ПП НР DN15
9. Муфта (штуцер) с переходом на НР (пресс фитинг - для МП, надвижной фитинг - для СП)
Производители: Пульсар</t>
    </r>
  </si>
  <si>
    <t>Для ГВС:
Первая зона:
DN 50 - с 1 по 12 этаж
Вторая зона:
DN 50 - с 13 по 24 этаж
Для циркуляции ГВС:
Первая зона:
DN 32 - с 1 по 12 этаж
Вторая зона:
DN 32 - с 13 по 24 этаж
При ином количестве этажей исключать нижний этаж.
Полипропиленовые PN25 армированные стекловолокном в тепловой изоляции из вспененного каучука, толщиной 13 мм для ХВС, 19 мм для ГВС.
Прокладка трубопроводов открытая, крепление с помощью сантехнических хомутов.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Производители: Труб, Изоляции, Арматуры согласно вендор листу</t>
  </si>
  <si>
    <r>
      <rPr>
        <sz val="8"/>
        <color rgb="FF000000"/>
        <rFont val="Arial"/>
      </rPr>
      <t xml:space="preserve">Применить комплексные установки в полной комплектации.
К насосным установкам предусмотреть гибкие вставки (вибровставки).
Производители: Wilo, Grundfos </t>
    </r>
    <r>
      <rPr>
        <sz val="8"/>
        <color rgb="FF000000"/>
        <rFont val="Arial"/>
      </rPr>
      <t>либо аналог идентичный по технических характеристикам согласовать с Заказчиком</t>
    </r>
    <r>
      <rPr>
        <sz val="8"/>
        <color rgb="FF000000"/>
        <rFont val="Arial"/>
      </rPr>
      <t>.
На вводе предусмотреть:
- Задвижку с обрезиненным клином и электроприводом фланцевая
- Клапан обратный чугунный межфланцевый</t>
    </r>
  </si>
  <si>
    <r>
      <rPr>
        <sz val="8"/>
        <color rgb="FF000000"/>
        <rFont val="Arial"/>
      </rPr>
      <t>Способ установки пожарных шкафов:
- МОП - встраиваемый,
- Паркинг - навесной.</t>
    </r>
    <r>
      <rPr>
        <sz val="8"/>
        <color rgb="FF000000"/>
        <rFont val="Arial"/>
      </rPr>
      <t xml:space="preserve">
Производитель: НПО Пульс.
Модель: 
</t>
    </r>
    <r>
      <rPr>
        <sz val="8"/>
        <color rgb="FF000000"/>
        <rFont val="Arial"/>
      </rPr>
      <t>- Встраиваемый:</t>
    </r>
    <r>
      <rPr>
        <sz val="8"/>
        <color rgb="FF000000"/>
        <rFont val="Arial"/>
      </rPr>
      <t xml:space="preserve"> ШПК-Пульс-320-21ВЗБ, ШПК-Пульс-320-12ВЗБ</t>
    </r>
    <r>
      <rPr>
        <sz val="8"/>
        <color rgb="FF000000"/>
        <rFont val="Arial"/>
      </rPr>
      <t>, ШПК-Пульс-320-ВЗБ0, ШПК-Пульс-310-ВЗБ,</t>
    </r>
    <r>
      <rPr>
        <sz val="8"/>
        <color rgb="FF000000"/>
        <rFont val="Arial"/>
      </rPr>
      <t xml:space="preserve">
</t>
    </r>
    <r>
      <rPr>
        <sz val="8"/>
        <color rgb="FF000000"/>
        <rFont val="Arial"/>
      </rPr>
      <t>- Навесной: ШПК-Пульс-320-21НЗБ, ШПК-Пульс-320-12НЗБ, ШПК-Пульс-320-НЗБ, ШПК-Пульс-310-НЗБ</t>
    </r>
    <r>
      <rPr>
        <sz val="8"/>
        <color rgb="FF000000"/>
        <rFont val="Arial"/>
      </rPr>
      <t>.</t>
    </r>
  </si>
  <si>
    <r>
      <rPr>
        <sz val="8"/>
        <color theme="1"/>
        <rFont val="Arial"/>
      </rPr>
      <t xml:space="preserve">DN 57 - с 1 по 16 этаж
</t>
    </r>
    <r>
      <rPr>
        <sz val="8"/>
        <color theme="1"/>
        <rFont val="Arial"/>
      </rPr>
      <t>С</t>
    </r>
    <r>
      <rPr>
        <sz val="8"/>
        <color theme="1"/>
        <rFont val="Arial"/>
      </rPr>
      <t>тальные неоцинкованные электросварные по ГОСТ 10704-91 (диаметр и толщина стенки: 57х3,5). Предусмотреть грунтовку трубопроводов. Покраска будет выполняться по дизайн проекту.</t>
    </r>
  </si>
  <si>
    <r>
      <rPr>
        <sz val="8"/>
        <color rgb="FF000000"/>
        <rFont val="Arial"/>
      </rPr>
      <t xml:space="preserve">Применить комплексные установки в полной комплектации.
К насосным установкам предусмотреть гибкие вставки (вибровставки).
Производители: Wilo, Grundfos </t>
    </r>
    <r>
      <rPr>
        <sz val="8"/>
        <color rgb="FF000000"/>
        <rFont val="Arial"/>
      </rPr>
      <t>либо аналог идентичный по технических характеристикам согласовать с Заказчиком</t>
    </r>
    <r>
      <rPr>
        <sz val="8"/>
        <color rgb="FF000000"/>
        <rFont val="Arial"/>
      </rPr>
      <t>.
На вводе предусмотреть:
- Задвижку с обрезиненным клином и электроприводом фланцевая
- Клапан обратный чугунный межфланцевый</t>
    </r>
  </si>
  <si>
    <r>
      <rPr>
        <sz val="8"/>
        <color rgb="FF000000"/>
        <rFont val="Arial"/>
      </rPr>
      <t>Способ установки пожарных шкафов:
- МОП - встраиваемый,
- Паркинг - навесной.</t>
    </r>
    <r>
      <rPr>
        <sz val="8"/>
        <color rgb="FF000000"/>
        <rFont val="Arial"/>
      </rPr>
      <t xml:space="preserve">
Производитель: НПО Пульс.
Модель: 
</t>
    </r>
    <r>
      <rPr>
        <sz val="8"/>
        <color rgb="FF000000"/>
        <rFont val="Arial"/>
      </rPr>
      <t>- Встраиваемый:</t>
    </r>
    <r>
      <rPr>
        <sz val="8"/>
        <color rgb="FF000000"/>
        <rFont val="Arial"/>
      </rPr>
      <t xml:space="preserve"> ШПК-Пульс-320-21ВЗБ, ШПК-Пульс-320-12ВЗБ</t>
    </r>
    <r>
      <rPr>
        <sz val="8"/>
        <color rgb="FF000000"/>
        <rFont val="Arial"/>
      </rPr>
      <t>, ШПК-Пульс-320-ВЗБ0, ШПК-Пульс-310-ВЗБ,</t>
    </r>
    <r>
      <rPr>
        <sz val="8"/>
        <color rgb="FF000000"/>
        <rFont val="Arial"/>
      </rPr>
      <t xml:space="preserve">
</t>
    </r>
    <r>
      <rPr>
        <sz val="8"/>
        <color rgb="FF000000"/>
        <rFont val="Arial"/>
      </rPr>
      <t>- Навесной: ШПК-Пульс-320-21НЗБ, ШПК-Пульс-320-12НЗБ, ШПК-Пульс-320-НЗБ, ШПК-Пульс-310-НЗБ</t>
    </r>
    <r>
      <rPr>
        <sz val="8"/>
        <color rgb="FF000000"/>
        <rFont val="Arial"/>
      </rPr>
      <t>.</t>
    </r>
  </si>
  <si>
    <t xml:space="preserve"> Система внутреннего пожарного водопровода двухзонная с системой автоматического пожаротушения</t>
  </si>
  <si>
    <t>6.2.3</t>
  </si>
  <si>
    <t>Стояк проложить в нише межквартирного коридора.
Магистраль проложить под потолком технического этажа (подвала) с выводом патрубков на фасад здания для подключения пожарных машин.
Пожарные шкафы установить в межквартирном коридоре.
При недостаточном давлении предусмотреть насосную установку.
Зонирование систем пожаротушения выполнить в соответствии с действующими строительными нормами.
Внутренний противопожарный водопровод объединить с системой спринклерного пожаротушения.</t>
  </si>
  <si>
    <t>6.2.3.1</t>
  </si>
  <si>
    <r>
      <rPr>
        <sz val="8"/>
        <color rgb="FF000000"/>
        <rFont val="Arial"/>
      </rPr>
      <t xml:space="preserve">Применить комплексные установки в полной комплектации.
К насосным установкам предусмотреть гибкие вставки (вибровставки).
Производители: Wilo, Grundfos </t>
    </r>
    <r>
      <rPr>
        <sz val="8"/>
        <color rgb="FF000000"/>
        <rFont val="Arial"/>
      </rPr>
      <t>либо аналог идентичный по технических характеристикам согласовать с Заказчиком</t>
    </r>
    <r>
      <rPr>
        <sz val="8"/>
        <color rgb="FF000000"/>
        <rFont val="Arial"/>
      </rPr>
      <t>.
На вводе предусмотреть:
- Задвижку с обрезиненным клином и электроприводом фланцевая
- Клапан обратный чугунный межфланцевый</t>
    </r>
  </si>
  <si>
    <t>6.2.3.2</t>
  </si>
  <si>
    <t>6.2.3.3</t>
  </si>
  <si>
    <t>6.2.3.4</t>
  </si>
  <si>
    <t>6.2.3.5</t>
  </si>
  <si>
    <t>Стояк из труб стальных пожаротушение</t>
  </si>
  <si>
    <t>6.2.3.6</t>
  </si>
  <si>
    <t>Стояк из труб стальных пожаротушение от 75 до 100 метров</t>
  </si>
  <si>
    <t>Первая зона:
DN 89 - с 1 по 16 этаж
Вторая зона:
DN 89 - с 1 по 32 этаж
Стальные неоцинкованные электросварные по ГОСТ 10704-91 (диаметр и толщина стенки: 89х4,0). Предусмотреть грунтовку трубопроводов. Покраска будет выполняться по дизайн проекту.</t>
  </si>
  <si>
    <t>6.2.3.7</t>
  </si>
  <si>
    <r>
      <rPr>
        <sz val="8"/>
        <color rgb="FF000000"/>
        <rFont val="Arial"/>
      </rPr>
      <t xml:space="preserve">Применить комплексные установки в полной комплектации.
К насосным установкам предусмотреть гибкие вставки (вибровставки).
Производители: Wilo, Grundfos </t>
    </r>
    <r>
      <rPr>
        <sz val="8"/>
        <color rgb="FF000000"/>
        <rFont val="Arial"/>
      </rPr>
      <t>либо аналог идентичный по технических характеристикам согласовать с Заказчиком</t>
    </r>
    <r>
      <rPr>
        <sz val="8"/>
        <color rgb="FF000000"/>
        <rFont val="Arial"/>
      </rPr>
      <t>.
На вводе предусмотреть:
- Задвижку с обрезиненным клином и электроприводом фланцевая
- Клапан обратный чугунный межфланцевый</t>
    </r>
  </si>
  <si>
    <t>С28, УВ28, С50, Б50, С75, Б75</t>
  </si>
  <si>
    <r>
      <rPr>
        <sz val="8"/>
        <color theme="1"/>
        <rFont val="Arial"/>
      </rPr>
      <t xml:space="preserve">С нижней разводкой горизонтальных магистралей под потолком технического этажа и вертикальными стояками в коммуникационных шахтах. 
Стояки в санитарном узле выполнить без зашивки, в кухне с зашивкой. В двухуровневых квартирах, квартирах с отдельным входом и квартирах с надстройкой на последних этажах везде без зашивки.
Раздельные системы для жилой части здания (включая помещения МОП) и коммерческих помещений.
</t>
    </r>
    <r>
      <rPr>
        <sz val="8"/>
        <color theme="1"/>
        <rFont val="Arial"/>
      </rPr>
      <t>Отдельный выпуск в городскую сеть. Максимальное количество выпусков: 2 шт. на прямую секцию, 3 шт. на угловую секцию. Расстояние между выпусками принимать 14-18м. 
Разводку по жилым и коммерческим помещениям не предусматривать.
В помещениях КУИ выполнить разводку и установить душевые поддоны, унитазы, раковины.</t>
    </r>
    <r>
      <rPr>
        <sz val="8"/>
        <color theme="1"/>
        <rFont val="Arial"/>
      </rPr>
      <t xml:space="preserve">
Избегать прокладки через пожарный отсек автостоянки. При прокладке в границах автостоянки, стояки и магистраль выполнить из чугунных безраструбных труб SML.
</t>
    </r>
    <r>
      <rPr>
        <sz val="8"/>
        <color theme="1"/>
        <rFont val="Arial"/>
      </rPr>
      <t>Вытяжные части стояков объединяются в помещение технического этажа (чердака) в один фановый стояк с выброс на улицу через вытяжную шахту</t>
    </r>
  </si>
  <si>
    <r>
      <rPr>
        <sz val="8"/>
        <color rgb="FF000000"/>
        <rFont val="Arial"/>
      </rPr>
      <t xml:space="preserve">Стояк из труб ПП </t>
    </r>
    <r>
      <rPr>
        <sz val="8"/>
        <color rgb="FF000000"/>
        <rFont val="Arial"/>
      </rPr>
      <t xml:space="preserve">малошумных </t>
    </r>
    <r>
      <rPr>
        <sz val="8"/>
        <color rgb="FF000000"/>
        <rFont val="Arial"/>
      </rPr>
      <t>раструбных до 75 метров</t>
    </r>
  </si>
  <si>
    <r>
      <rPr>
        <sz val="8"/>
        <color rgb="FF000000"/>
        <rFont val="Arial"/>
      </rPr>
      <t xml:space="preserve">Разводка из труб ПП </t>
    </r>
    <r>
      <rPr>
        <sz val="8"/>
        <color rgb="FF000000"/>
        <rFont val="Arial"/>
      </rPr>
      <t xml:space="preserve">PN20 </t>
    </r>
    <r>
      <rPr>
        <sz val="8"/>
        <color rgb="FF000000"/>
        <rFont val="Arial"/>
      </rPr>
      <t>водоотведение (КУИ)</t>
    </r>
  </si>
  <si>
    <t xml:space="preserve"> Система бытовой канализации свыше 75 метров</t>
  </si>
  <si>
    <t>С нижней разводкой горизонтальных магистралей под потолком технического этажа и вертикальными стояками в коммуникационных шахтах. 
Стояки в санитарном узле выполнить без зашивки, в кухне с зашивкой. В двухуровневых квартирах, квартирах с отдельным входом и квартирах с надстройкой на последних этажах везде без зашивки.
Раздельные системы для жилой части здания (включая помещения МОП) и коммерческих помещений.
Отдельный выпуск в городскую сеть. Максимальное количество выпусков: 2 шт. на прямую секцию, 3 шт. на угловую секцию. Расстояние между выпусками принимать 14-18 м. 
Разводку по жилым и коммерческим помещениям не предусматривать.
В помещениях КУИ выполнить разводку и установить душевые поддоны, унитазы, раковины.
Вытяжные части стояков объединяются в помещение технического этажа (чердака) в один фановый стояк с выброс на улицу через вытяжную шахту</t>
  </si>
  <si>
    <t>Предусмотреть в помещении КУИ:
- Поддон душевой 800х800 со смесителем и сифоном
- Раковина керамическая 500х420 (550х450) со смесителем и сифоном
- Унитаз прямой (косой) выпуск 
КУИ общедомовой (основной) - раковина, унитаз, душевой поддон,
КУИ секционный - унитаз, раковина,
КУИ паркинга - раковина
Комната отдыха с гардеробом - унитаз, раковина, душевой поддон,
Помещение дворника - раковина</t>
  </si>
  <si>
    <t>Магистраль из труб чугунных безраструбных</t>
  </si>
  <si>
    <t>Предусмотреть размещение ревизий и прочисток согласно СП 30.13330.2020 пункт 18.30, На горизонтальных участках сети канализации наибольшее допустимое расстояние между ревизиями 15 метров, между прочистками 10 метров.
Узлы поворотов самотечных трубопроводов в горизонтальной плоскости следует выполнять не менее чем из двух фасонных частей (два отвода или более, тройник и отвод и т. д.). 
Крепление горизонтального трубопровода в месте перехода стояка предусмотреть неподвижными хомутами (опорами).
Производители: Труб согласно вендор листу</t>
  </si>
  <si>
    <t>6.3.2.3</t>
  </si>
  <si>
    <t>Канализационный выпуск Ø110 мм. (выполнить из НПВХ трубы для наружной канализации).
Производители: Труб согласно вендор листу</t>
  </si>
  <si>
    <t>6.3.2.4</t>
  </si>
  <si>
    <t>Стояк из труб чугунных безраструбных</t>
  </si>
  <si>
    <t>При переходе стояка в горизонтальный трубопровод запрещается применять отвод 90° (87,5°). Нижний отвод стояка следует монтировать не менее чем из двух отводов по 45° или трех отводов по 30° или из четырех отводов по 22,5°.
Производители: Труб согласно вендор листу</t>
  </si>
  <si>
    <t>Стояк из труб ПП от 75 до 100 метров</t>
  </si>
  <si>
    <t>DN 110 - с 1 по 32 этаж
Производители: Труб согласно вендор листу</t>
  </si>
  <si>
    <t>6.3.2.5</t>
  </si>
  <si>
    <t>6.3.2.6</t>
  </si>
  <si>
    <t>Разводка из труб ПП водоотведение (КУИ)</t>
  </si>
  <si>
    <r>
      <rPr>
        <sz val="8"/>
        <color rgb="FF000000"/>
        <rFont val="Arial"/>
      </rPr>
      <t xml:space="preserve">Трубопроводы объединяются в помещении технического этажа (чердак), стояк расположен в шахте (зашивке) МОП, с опуском в технический этаж (подвал).
Ливневая канализация с летних помещений (с балконов - слив наружу </t>
    </r>
    <r>
      <rPr>
        <sz val="8"/>
        <color rgb="FF000000"/>
        <rFont val="Arial"/>
      </rPr>
      <t>в составе префабрицированных балконов</t>
    </r>
    <r>
      <rPr>
        <sz val="8"/>
        <color rgb="FF000000"/>
        <rFont val="Arial"/>
      </rPr>
      <t xml:space="preserve">, с террас - ливневая канализация минимального диаметра в слое тепловой изоляции фасада здания). 
Отдельный выпуск в городскую сеть.
</t>
    </r>
    <r>
      <rPr>
        <sz val="8"/>
        <color rgb="FF000000"/>
        <rFont val="Arial"/>
      </rPr>
      <t xml:space="preserve">В состав спецификации учитывать единый шкаф управления электрообогрева воронок и трапов (один на секцию). 
</t>
    </r>
    <r>
      <rPr>
        <sz val="8"/>
        <color rgb="FF000000"/>
        <rFont val="Arial"/>
      </rPr>
      <t xml:space="preserve">
Производители: 
Трубопровод: ГОСТ 18599-2001</t>
    </r>
  </si>
  <si>
    <r>
      <rPr>
        <sz val="8"/>
        <color rgb="FF000000"/>
        <rFont val="Arial"/>
      </rPr>
      <t>Трубопроводы в тепловой изоляции из вспененного каучука толщиной 9</t>
    </r>
    <r>
      <rPr>
        <sz val="8"/>
        <color rgb="FFFF0000"/>
        <rFont val="Arial"/>
      </rPr>
      <t xml:space="preserve"> </t>
    </r>
    <r>
      <rPr>
        <sz val="8"/>
        <color rgb="FF000000"/>
        <rFont val="Arial"/>
      </rPr>
      <t>мм.
Производители:
Трубопровод: ГОСТ 18599-2001
Изоляция: "K-Flex"</t>
    </r>
  </si>
  <si>
    <r>
      <rPr>
        <sz val="8"/>
        <color rgb="FF000000"/>
        <rFont val="Arial"/>
      </rPr>
      <t xml:space="preserve">Стояк из труб </t>
    </r>
    <r>
      <rPr>
        <sz val="8"/>
        <color rgb="FF000000"/>
        <rFont val="Arial"/>
      </rPr>
      <t>ПЭ</t>
    </r>
    <r>
      <rPr>
        <sz val="8"/>
        <color rgb="FF000000"/>
        <rFont val="Arial"/>
      </rPr>
      <t xml:space="preserve"> до 100 метров</t>
    </r>
  </si>
  <si>
    <r>
      <rPr>
        <sz val="8"/>
        <color rgb="FF000000"/>
        <rFont val="Arial"/>
      </rPr>
      <t xml:space="preserve">В ИТП, насосной предусмотреть приямки с погружными насосами.
Размеры приямков:
- ИТП: </t>
    </r>
    <r>
      <rPr>
        <sz val="8"/>
        <color rgb="FF000000"/>
        <rFont val="Arial"/>
      </rPr>
      <t xml:space="preserve">800х800х800h </t>
    </r>
    <r>
      <rPr>
        <sz val="8"/>
        <color rgb="FF000000"/>
        <rFont val="Arial"/>
      </rPr>
      <t xml:space="preserve">мм для двух насосов.
- В насосной: 500х900х800h мм, для двух насосов.
- Под каждым выпуском канализации: 500х500х500h мм.
- Предусмотреть один приямок на секцию, по центру коридора (по длине): 500х500х500h мм.
В технических помещениях предусмотреть трубопровод (прокладка открытым способом) от дренажных (сбросных) кранов инженерного оборудования до дренажного приямка для выполнения ремонтных и профилактических работ на оборудовании. </t>
    </r>
  </si>
  <si>
    <r>
      <rPr>
        <sz val="8"/>
        <color rgb="FF000000"/>
        <rFont val="Arial"/>
      </rPr>
      <t xml:space="preserve">Насос с поплавковым выключателем </t>
    </r>
    <r>
      <rPr>
        <sz val="8"/>
        <color rgb="FF000000"/>
        <rFont val="Arial"/>
      </rPr>
      <t>и шкафом управления.</t>
    </r>
    <r>
      <rPr>
        <sz val="8"/>
        <color rgb="FF000000"/>
        <rFont val="Arial"/>
      </rPr>
      <t xml:space="preserve">
Производители:
"Wilo"</t>
    </r>
  </si>
  <si>
    <t>С75, Б75, Б100</t>
  </si>
  <si>
    <t xml:space="preserve"> Система дренажной канализации отвода стоков от системы автоматического пожаротушения Жилая часть</t>
  </si>
  <si>
    <t>Предусмотреть отдельную систему канализации для сбора воды при тушении пожара в местах общего пользования.
На каждом этаже МОП предусмотреть трапы для сборы воды после срабатывания системы автоматического пожаротушения.
Производители: Труб согласно вендор листу</t>
  </si>
  <si>
    <t>При проектировании учесть плановые нагрузки по данному объекту .... ( ) с учётом на ГВС. 
Расчет выполнить на основании СП50.13330 таб.14
При расчете обеспечить выполнение Приказа Минстрой РФ№1551/пр от 17.11.2017г и снизить расчетные нагрузки на Отопление и Вентиляцию на 20%.
на коммерческие помещения
жилые помещения
паркинг
Ком.помещения - ТС + рекуперация на вент.установки</t>
  </si>
  <si>
    <t>7.1.0.3</t>
  </si>
  <si>
    <t>Систему отопления проектировать, производить и монтировать унифицированными префабрицированными изделиями заводского изготовления.</t>
  </si>
  <si>
    <r>
      <rPr>
        <sz val="8"/>
        <color rgb="FF000000"/>
        <rFont val="Arial"/>
      </rPr>
      <t>Двухтрубная с магистральными трубопроводами в технический этаж (подвал).
Стояки расположить в нише межквартирного коридора около лестничного лифтового узла.
Разводка по квартирам тупиковая в стяжке пола, в квартиру заводить через входную дверь. 
Поэтажные коллекторы с индивидуальным поквартирным учетом расположить в межквартирном коридоре, предусмотреть не более 2 поэтажных шкафов на всех собственников.
При расположении квартир на 1 этаже и отсутствии доступа к инженерным нишам ОВ из МОП 1 этажа - обеспечить доступ к нишам на минус 1 этаже.
При подборе учитывать высоту подоконного пространства и наличие подоконного вентиляционного клапана. 
При расчете теплопотерь учитывать расход на нагрев воздуха (приток через вентиляционный клапан) в размере 0,35 кр. от общего объема квартиры, учитывая бытовые тепловыделения.</t>
    </r>
    <r>
      <rPr>
        <strike/>
        <sz val="8"/>
        <color rgb="FF000000"/>
        <rFont val="Arial"/>
      </rPr>
      <t xml:space="preserve">
</t>
    </r>
    <r>
      <rPr>
        <sz val="8"/>
        <color rgb="FF000000"/>
        <rFont val="Arial"/>
      </rPr>
      <t xml:space="preserve">
Прокладку трубопроводов через помещения ванных комнат и санузлов, ниш инженерных сетей не выполнять.
В местах балконных дверей и остекления «в пол» отопительные приборы располагать на ближайшем от окна простенке или перегородке, перед остеклением "в пол" прокладку трубопровода в конструкции пола от отопительного прибора выполнить "змейкой" шириной 250 мм вдоль окна.
В двухуровневых квартирах, квартирах с отдельным входом и квартирах с надстройкой у окон в пол применять внутрипольные конвекторы с механической конвекцией
В двухуровнивых квартирах подключение к поэтажному коллектору осуществляется с нижнего этажа 
В квартирах на последнем этаже с выходом на террасу (кровлю) подключение осуществляется от разводки нижележащего этажа предпочтительно в зоне санузел или в непосредственной близости ко входу в квартиру (в зоне пилона, в штробе в стене, в зоне будущей зашивки).</t>
    </r>
  </si>
  <si>
    <r>
      <rPr>
        <sz val="8"/>
        <color rgb="FF000000"/>
        <rFont val="Arial"/>
      </rPr>
      <t xml:space="preserve">Заводского изготовления
В составе предусмотреть учет тепла (теплосчетчик с открытым протоколом системы диспетчеризации), балансировку, дренаж, удаление воздуха, перекрытие теплоносителя.
</t>
    </r>
    <r>
      <rPr>
        <sz val="8"/>
        <color rgb="FF000000"/>
        <rFont val="Arial"/>
      </rPr>
      <t>1. Кран шаровый латунный муфтовый бабочка НР-ВР DN25, DN32 (для подключения к стояку) 
2. Фильтр сетчатый латунный ВР-ВР DN25, DN32
3. Балка коллекторная DN50
4. Вставка запорная латунная 
5. Клапан балансировочный автоматический (обратный трубопровод) DN20, DN25.
6. Дренажный кран
7. Кронштейн
8. Теплосчетчик отопления (теплосчетчик с открытым протоколом системы диспетчеризации)
9. Клапан балансировочный ручной DN15
10. Воздухоотводчик
11. Муфта (штуцер) с переходом на НР (пресс фитинг - для МП, обжимной фитинг - для СП)</t>
    </r>
    <r>
      <rPr>
        <sz val="8"/>
        <color rgb="FF000000"/>
        <rFont val="Arial"/>
      </rPr>
      <t xml:space="preserve">
На коллекторе предусмотреть теплоизоляцию из вспененного каучука.
Производители: 
Коллектор: "Ридан"
Теплосчетчик: "Пульсар"
Изоляция: K-Flex, Armacell</t>
    </r>
  </si>
  <si>
    <r>
      <rPr>
        <sz val="8"/>
        <color rgb="FF000000"/>
        <rFont val="Arial"/>
      </rPr>
      <t xml:space="preserve">Стальные панельные радиаторы с нижним подключением в комплекте с термостатическим клапаном и термоголовкой (в помещениях МОП термоголовки не предусматривать).
В пределах одного помещения следует предусматривать радиаторы единой глубины и высоты, переменной длины.
</t>
    </r>
    <r>
      <rPr>
        <b/>
        <i/>
        <sz val="8"/>
        <color rgb="FF000000"/>
        <rFont val="Arial"/>
      </rPr>
      <t>Для жилой части и коммерческих помещений:</t>
    </r>
    <r>
      <rPr>
        <sz val="8"/>
        <color rgb="FF000000"/>
        <rFont val="Arial"/>
      </rPr>
      <t xml:space="preserve">
</t>
    </r>
    <r>
      <rPr>
        <strike/>
        <sz val="8"/>
        <color rgb="FF000000"/>
        <rFont val="Arial"/>
      </rPr>
      <t xml:space="preserve">
</t>
    </r>
    <r>
      <rPr>
        <sz val="8"/>
        <color rgb="FF000000"/>
        <rFont val="Arial"/>
      </rPr>
      <t xml:space="preserve">- Применять радиаторы тип 11: 
 ● высотой 300 длиной от 700 до 2000,
 ● высотой 900 длиной от 400 до 800,
- Применять радиаторы тип 22: 
 ● высотой 300 длиной от 700 до 2000,
 ● высотой 900 длиной от 400 до 800.
- Применять радиаторы тип 33: 
 ● высотой 300 длиной от 700 до 2000,
 ● высотой 900 длиной от 400 до 800.
</t>
    </r>
    <r>
      <rPr>
        <b/>
        <i/>
        <sz val="8"/>
        <color rgb="FF000000"/>
        <rFont val="Arial"/>
      </rPr>
      <t xml:space="preserve">Для МОП:
</t>
    </r>
    <r>
      <rPr>
        <sz val="8"/>
        <color rgb="FF000000"/>
        <rFont val="Arial"/>
      </rPr>
      <t>- Для лестничной клетки применять радиаторы тип 33 (если по расчёту не подходит тип 22).
Применять радиаторы высотой 500 мм. 
Радиаторы высотой 300 мм применять при высоте подоконного пространства менее 650 мм.
Радиаторы высотой 900 мм применять в местах балконных дверей и остекления «в пол» (при невозможности использования высотой 500 мм), располагать на ближайшем от окна простенке или перегородке.
На планах рабочей документации все отопительные приборы отобразить в масштабе.
Узел нижнего подключения отопительного прибора:
- Клапан угловой запорный радиаторный двойной без байпаса;
- Адаптер (евроконус) соединительный с ВР.
- Для входного вестибюля после первого тамбура и лифтового холла применять стальные дизайн радиаторы высотой 2 метра, длина по расчёту, места установки и габариты согласовать с Заказчиком.
Производители: 
Радиаторы: 
Стальные панельные - Buderus
Стальные дизайн - KZTO - Гармония А40
Термоголовка и запорный клапан: Danfoss</t>
    </r>
  </si>
  <si>
    <r>
      <rPr>
        <sz val="8"/>
        <color rgb="FF000000"/>
        <rFont val="Arial"/>
      </rPr>
      <t xml:space="preserve">Труба ГОСТ 3262-75* диаметр и толщина стенки: 15х2,8; 20х2,8; 25х3,2; 32х3,2; 40х3,5,
труба ГОСТ 10704-91 диаметр и толщина стенки: 57х3,5; 76х3,5; 89х4,0; 108х4,0; 133х4,5;159х4,5; 219х4,5. 
В тепловой изоляции из вспененного каучука 19мм. 
Прокладка трубопроводов открытая.
Компенсаторы: П - образные.
Антикоррозийная защита: 
- Трубопроводы: краска БТ-177 ГОСТ 5631-79 в два слоя, грунт ГФ-021 ГОСТ 25129-82 в один слой. 
На магистральных трубопроводах применить опоры по серии 5.903-13. 
Трубопроводная арматура:
- Воздухоотводчик: автоматический прямой с (боковым/верхним) выпуском,
- Кран шаровой полнопроходной: с резьбой тип (ВР-ВР), тип рукоятки "рычаг", для спускных кранов и кранов перед воздухоотводчиками тип рукоятки "бабочка".
- Клапан латунный балансировочный ручной/автоматический применять для регулировки системы в МОП или коммерческие помещения.
Тип присоединения запорной и регулирующей арматуры : 
- Муфтовое соединение - DN15 - DN50,
- Фланцевое соединение - DN65 и более.
Производители:
Изоляция: K-Flex, Armacell.
Трубопроводная арматура: Danfoss, </t>
    </r>
    <r>
      <rPr>
        <sz val="8"/>
        <color rgb="FF000000"/>
        <rFont val="Arial"/>
      </rPr>
      <t xml:space="preserve">LD, </t>
    </r>
    <r>
      <rPr>
        <sz val="8"/>
        <color rgb="FF000000"/>
        <rFont val="Arial"/>
      </rPr>
      <t>Valtec, ADL, Naval, Broen Ballomax, Bugatti, Flamco, Giacomini</t>
    </r>
  </si>
  <si>
    <r>
      <rPr>
        <sz val="8"/>
        <color rgb="FF000000"/>
        <rFont val="Arial"/>
      </rPr>
      <t xml:space="preserve">DN 100 - с 1 по 5 этаж,
DN 80 - с 6 по 8 этаж,
DN 65 - с 9 по 12 этаж 
DN 50 - с 13 по 15 этаж
DN 32 - 16 этаж
При ином количестве этажей исключать нижний этаж.
Труба ГОСТ 3262-75* диаметр и толщина стенки: 32х3,2,
труба ГОСТ 10704-91 диаметр и толщина стенки: 57х3,5; 76х3,5; 89х4,0; 108х4,0. 
В тепловой изоляции из вспененного каучука 19мм. 
Прокладка трубопроводов открытая.
Компенсаторы: сильфонные. 
Опоры: неподвижные.
Антикоррозийная защита: 
- Трубопроводы: краска БТ-177 ГОСТ 5631-79 в два слоя, грунт ГФ-021 ГОСТ 25129-82 в один слой. 
Трубопроводная арматура:
- Воздухоотводчик: автоматический прямой с (боковым/верхним) выпуском,
- Кран шаровой полнопроходной: с резьбой тип (ВР-ВР), тип рукоятки "рычаг", для спускных кранов и кранов перед воздухоотводчиками тип рукоятки "бабочка".
- Клапан латунный балансировочный ручной/автоматический применять для регулировки системы в МОП или коммерческие помещения.
Производители:
Изоляция: K-Flex, Armacell.
Трубопроводная арматура: Danfoss, Valtec, </t>
    </r>
    <r>
      <rPr>
        <sz val="8"/>
        <color rgb="FF000000"/>
        <rFont val="Arial"/>
      </rPr>
      <t>LD,</t>
    </r>
    <r>
      <rPr>
        <sz val="8"/>
        <color rgb="FF000000"/>
        <rFont val="Arial"/>
      </rPr>
      <t xml:space="preserve"> ADL, Naval, Broen Ballomax, Bugatti, Flamco, Giacomini, АкваСмарт (КФРД).
Компенсатор: "Протон - Энергия"</t>
    </r>
  </si>
  <si>
    <r>
      <rPr>
        <sz val="8"/>
        <color rgb="FF000000"/>
        <rFont val="Arial"/>
      </rPr>
      <t xml:space="preserve">Сшитый полиэтилен PN10 в тепловой изоляции из вспененного полиэтилена 9 мм в МОП, в квартирах и коммерческих помещениях в защитной гофрированной трубе с устройством на конце адаптера (евроконуса) для радиатора и муфты (штуцера) с НР (обжимной фитинг) для внутрипольного конвектора.
Тепловую изоляцию и защитную гофрированную трубу на подающем трубопроводе применять красного цвета, на обратном трубопроводе синего цвета. 
Все повороты выполнять изгибами труб (без применения отводов). 
Производители:
Трубопроводы: </t>
    </r>
    <r>
      <rPr>
        <sz val="8"/>
        <color rgb="FF000000"/>
        <rFont val="Arial"/>
      </rPr>
      <t>РосТурПласт</t>
    </r>
    <r>
      <rPr>
        <sz val="8"/>
        <color rgb="FF000000"/>
        <rFont val="Arial"/>
      </rPr>
      <t xml:space="preserve">
Изоляция: Energoflex Super Protect</t>
    </r>
  </si>
  <si>
    <r>
      <rPr>
        <sz val="8"/>
        <color rgb="FF000000"/>
        <rFont val="Arial"/>
      </rPr>
      <t>Двухтрубная с магистральными трубопроводами в технический этаж (подвал).
Стояки расположить в нише межквартирного коридора около лестничного лифтового узла.
Разводка по квартирам тупиковая в стяжке пола, в квартиру заводить через входную дверь. 
Поэтажные коллекторы с индивидуальным поквартирным учетом расположить в межквартирном коридоре, предусмотреть не более 2 поэтажных шкафов на всех собственников.
При расположении квартир на 1 этаже и отсутствии доступа к инженерным нишам ОВ из МОП 1 этажа - обеспечить доступ к нишам на минус 1 этаже.
При подборе учитывать высоту подоконного пространства и наличие подоконного вентиляционного клапана. 
При расчете теплопотерь учитывать расход на нагрев воздуха (приток через вентиляционный клапан) в размере 0,35 кр. от общего объема квартиры, учитывая бытовые тепловыделения.</t>
    </r>
    <r>
      <rPr>
        <strike/>
        <sz val="8"/>
        <color rgb="FF000000"/>
        <rFont val="Arial"/>
      </rPr>
      <t xml:space="preserve">
</t>
    </r>
    <r>
      <rPr>
        <sz val="8"/>
        <color rgb="FF000000"/>
        <rFont val="Arial"/>
      </rPr>
      <t xml:space="preserve">
Прокладку трубопроводов через помещения ванных комнат и санузлов, ниш инженерных сетей не выполнять.
В местах балконных дверей и остекления «в пол» отопительные приборы располагать на ближайшем от окна простенке или перегородке, перед остеклением "в пол" прокладку трубопровода в конструкции пола от отопительного прибора выполнить "змейкой" шириной 250 мм вдоль окна.
В двухуровневых квартирах, квартирах с отдельным входом и квартирах с надстройкой у окон в пол применять внутрипольные конвекторы с механической конвекцией
В двухуровнивых квартирах подключение к поэтажному коллектору осуществляется с нижнего этажа 
В квартирах на последнем этаже с выходом на террасу (кровлю) подключение осуществляется от разводки нижележащего этажа предпочтительно в зоне санузел или в непосредственной близости ко входу в квартиру (в зоне пилона, в штробе в стене, в зоне будущей зашивки).</t>
    </r>
  </si>
  <si>
    <r>
      <rPr>
        <sz val="8"/>
        <color rgb="FF000000"/>
        <rFont val="Arial"/>
      </rPr>
      <t xml:space="preserve">Заводского изготовления
В составе предусмотреть учет тепла (теплосчетчик с открытым протоколом системы диспетчеризации), балансировку, дренаж, удаление воздуха, перекрытие теплоносителя.
</t>
    </r>
    <r>
      <rPr>
        <sz val="8"/>
        <color rgb="FF000000"/>
        <rFont val="Arial"/>
      </rPr>
      <t>1. Кран шаровый латунный муфтовый бабочка НР-ВР DN25, DN32 (для подключения к стояку) 
2. Фильтр сетчатый латунный ВР-ВР DN25, DN32
3. Балка коллекторная DN50
4. Вставка запорная латунная 
5. Клапан балансировочный автоматический (обратный трубопровод) DN20, DN25.
6. Дренажный кран
7. Кронштейн
8. Теплосчетчик отопления (теплосчетчик с открытым протоколом системы диспетчеризации)
9. Клапан балансировочный ручной DN15
10. Воздухоотводчик
11. Муфта (штуцер) с переходом на НР (пресс фитинг - для МП, обжимной фитинг - для СП)</t>
    </r>
    <r>
      <rPr>
        <sz val="8"/>
        <color rgb="FF000000"/>
        <rFont val="Arial"/>
      </rPr>
      <t xml:space="preserve">
На коллекторе предусмотреть теплоизоляцию из вспененного каучука.
Производители: 
Коллектор: "Ридан"
Теплосчетчик: "Пульсар"
Изоляция: K-Flex, Armacell</t>
    </r>
  </si>
  <si>
    <r>
      <rPr>
        <sz val="8"/>
        <color rgb="FF000000"/>
        <rFont val="Arial"/>
      </rPr>
      <t xml:space="preserve">Стальные панельные радиаторы с нижним подключением в комплекте с термостатическим клапаном и термоголовкой (в помещениях МОП термоголовки не предусматривать).
В пределах одного помещения следует предусматривать радиаторы единой глубины и высоты, переменной длины.
</t>
    </r>
    <r>
      <rPr>
        <b/>
        <i/>
        <sz val="8"/>
        <color rgb="FF000000"/>
        <rFont val="Arial"/>
      </rPr>
      <t>Для жилой части и коммерческих помещений:</t>
    </r>
    <r>
      <rPr>
        <sz val="8"/>
        <color rgb="FF000000"/>
        <rFont val="Arial"/>
      </rPr>
      <t xml:space="preserve">
</t>
    </r>
    <r>
      <rPr>
        <strike/>
        <sz val="8"/>
        <color rgb="FF000000"/>
        <rFont val="Arial"/>
      </rPr>
      <t xml:space="preserve">
</t>
    </r>
    <r>
      <rPr>
        <sz val="8"/>
        <color rgb="FF000000"/>
        <rFont val="Arial"/>
      </rPr>
      <t xml:space="preserve">- Применять радиаторы тип 11: 
</t>
    </r>
    <r>
      <rPr>
        <sz val="8"/>
        <color rgb="FF000000"/>
        <rFont val="Arial"/>
      </rPr>
      <t xml:space="preserve"> ● высотой 300 длиной от 700 до 2000,</t>
    </r>
    <r>
      <rPr>
        <sz val="8"/>
        <color rgb="FF000000"/>
        <rFont val="Arial"/>
      </rPr>
      <t xml:space="preserve">
 ● высотой 900 длиной от 400 до 800,
- Применять радиаторы тип 22: 
</t>
    </r>
    <r>
      <rPr>
        <sz val="8"/>
        <color rgb="FF000000"/>
        <rFont val="Arial"/>
      </rPr>
      <t xml:space="preserve"> ● высотой 300 длиной от 700 до 2000,</t>
    </r>
    <r>
      <rPr>
        <sz val="8"/>
        <color rgb="FF000000"/>
        <rFont val="Arial"/>
      </rPr>
      <t xml:space="preserve">
 ● высотой 900 длиной от 400 до 800.
- Применять радиаторы тип 33: 
</t>
    </r>
    <r>
      <rPr>
        <sz val="8"/>
        <color rgb="FF000000"/>
        <rFont val="Arial"/>
      </rPr>
      <t xml:space="preserve"> ● высотой 300 длиной от 700 до 2000,</t>
    </r>
    <r>
      <rPr>
        <sz val="8"/>
        <color rgb="FF000000"/>
        <rFont val="Arial"/>
      </rPr>
      <t xml:space="preserve">
 ● высотой 900 длиной от 400 до 800.
</t>
    </r>
    <r>
      <rPr>
        <b/>
        <i/>
        <sz val="8"/>
        <color rgb="FF000000"/>
        <rFont val="Arial"/>
      </rPr>
      <t xml:space="preserve">Для МОП:
</t>
    </r>
    <r>
      <rPr>
        <sz val="8"/>
        <color rgb="FF000000"/>
        <rFont val="Arial"/>
      </rPr>
      <t>- Для лестничной клетки применять радиаторы тип 33 (если по расчёту не подходит тип 22).
Применять радиаторы высотой 500 мм. 
Радиаторы высотой 300 мм применять при высоте подоконного пространства менее 650 мм.
Радиаторы высотой 900 мм применять в местах балконных дверей и остекления «в пол» (при невозможности использования высотой 500 мм), располагать на ближайшем от окна простенке или перегородке.
На планах рабочей документации все отопительные приборы отобразить в масштабе.
Узел нижнего подключения отопительного прибора:
- Клапан угловой запорный радиаторный двойной без байпаса;
- Адаптер (евроконус) соединительный с ВР.
- Для входного вестибюля после первого тамбура и лифтового холла применять стальные дизайн радиаторы высотой 2 метра, длина по расчёту, места установки и габариты согласовать с Заказчиком.
Производители: 
Радиаторы: 
Стальные панельные - Buderus
Стальные дизайн - KZTO - Гармония А40
Термоголовка и запорный клапан: Danfoss</t>
    </r>
  </si>
  <si>
    <r>
      <rPr>
        <sz val="8"/>
        <color rgb="FF000000"/>
        <rFont val="Arial"/>
      </rPr>
      <t xml:space="preserve">Труба ГОСТ 3262-75* диаметр и толщина стенки: 15х2,8; 20х2,8; 25х3,2; 32х3,2; 40х3,5,
труба ГОСТ 10704-91 диаметр и толщина стенки: 57х3,5; 76х3,5; 89х4,0; 108х4,0; 133х4,5;159х4,5; 219х4,5. 
В тепловой изоляции из вспененного каучука 19мм. 
Прокладка трубопроводов открытая.
Компенсаторы: П - образные.
Антикоррозийная защита: 
- Трубопроводы: краска БТ-177 ГОСТ 5631-79 в два слоя, грунт ГФ-021 ГОСТ 25129-82 в один слой. 
На магистральных трубопроводах применить опоры по серии 5.903-13. 
Трубопроводная арматура:
- Воздухоотводчик: автоматический прямой с (боковым/верхним) выпуском,
- Кран шаровой полнопроходной: с резьбой тип (ВР-ВР), тип рукоятки "рычаг", для спускных кранов и кранов перед воздухоотводчиками тип рукоятки "бабочка".
- Клапан латунный балансировочный ручной/автоматический применять для регулировки системы в МОП или коммерческие помещения.
Тип присоединения запорной и регулирующей арматуры : 
- Муфтовое соединение - DN15 - DN50,
- Фланцевое соединение - DN65 и более.
Производители:
Изоляция: K-Flex, Armacell.
Трубопроводная арматура: Danfoss, </t>
    </r>
    <r>
      <rPr>
        <sz val="8"/>
        <color rgb="FF000000"/>
        <rFont val="Arial"/>
      </rPr>
      <t xml:space="preserve">LD, </t>
    </r>
    <r>
      <rPr>
        <sz val="8"/>
        <color rgb="FF000000"/>
        <rFont val="Arial"/>
      </rPr>
      <t>Valtec, ADL, Naval, Broen Ballomax, Bugatti, Flamco, Giacomini</t>
    </r>
  </si>
  <si>
    <t>7.1.2.7</t>
  </si>
  <si>
    <t>Стояк из труб стальных до 100 метров</t>
  </si>
  <si>
    <t>Первая зона: 
DN 100 - с 1 по 5 этаж,
DN 80 - с 6 по 8 этаж 
DN 65 - с 9 по 12 этаж
DN 50 - с 13 по 15 этаж
DN 32 - 16 этаж
Вторая зона: 
DN 100 - с 1 по 21 этаж,
DN 80 - с 22 по 24 этаж,
DN 65 - с 25 по 28 этаж 
DN 50 - с 29 по 31 этаж
DN 32 - 32 этаж
При ином количестве этажей исключать нижний этаж.
Труба ГОСТ 3262-75* диаметр и толщина стенки: 32х3,2,
труба ГОСТ 10704-91 диаметр и толщина стенки: 57х3,5; 76х3,5; 89х4,0; 108х4,0. 
В тепловой изоляции из вспененного каучука 19мм. 
Прокладка трубопроводов открытая.
Компенсаторы: сильфонные. 
Опоры: неподвижные.
Антикоррозийная защита: 
- Трубопроводы: краска БТ-177 ГОСТ 5631-79 в два слоя, грунт ГФ-021 ГОСТ 25129-82 в один слой. 
Трубопроводная арматура:
- Воздухоотводчик: автоматический прямой с (боковым/верхним) выпуском,
- Кран шаровой полнопроходной: с резьбой тип (ВР-ВР), тип рукоятки "рычаг", для спускных кранов и кранов перед воздухоотводчиками тип рукоятки "бабочка".
- Клапан латунный балансировочный ручной/автоматический применять для регулировки системы в МОП или коммерческие помещения.
Производители:
Изоляция: K-Flex, Armacell.
Трубопроводная арматура: Danfoss, Valtec, LD, ADL, Naval, Broen Ballomax, Bugatti, Flamco, Giacomini, АкваСмарт (КФРД).
Компенсатор: "Протон - Энергия"</t>
  </si>
  <si>
    <r>
      <rPr>
        <sz val="8"/>
        <color rgb="FF000000"/>
        <rFont val="Arial"/>
      </rPr>
      <t xml:space="preserve">Сшитый полиэтилен PN10 в тепловой изоляции из вспененного полиэтилена 9 мм в МОП, в квартирах и коммерческих помещениях в защитной гофрированной трубе с устройством на конце адаптера (евроконуса) для радиатора и муфты (штуцера) с НР (обжимной фитинг) для внутрипольного конвектора.
Тепловую изоляцию и защитную гофрированную трубу на подающем трубопроводе применять красного цвета, на обратном трубопроводе синего цвета. 
Все повороты выполнять изгибами труб (без применения отводов). 
Производители:
Трубопроводы: </t>
    </r>
    <r>
      <rPr>
        <sz val="8"/>
        <color rgb="FF000000"/>
        <rFont val="Arial"/>
      </rPr>
      <t>РосТурПласт</t>
    </r>
    <r>
      <rPr>
        <sz val="8"/>
        <color rgb="FF000000"/>
        <rFont val="Arial"/>
      </rPr>
      <t xml:space="preserve">
Изоляция: Energoflex Super Protect</t>
    </r>
  </si>
  <si>
    <r>
      <rPr>
        <sz val="8"/>
        <color rgb="FF000000"/>
        <rFont val="Arial"/>
      </rPr>
      <t xml:space="preserve">Стальные панельные радиаторы с нижним подключением в комплекте с термостатическим клапаном и термоголовкой (в помещениях МОП термоголовки не предусматривать).
В пределах одного помещения следует предусматривать радиаторы единой глубины и высоты, переменной длины.
</t>
    </r>
    <r>
      <rPr>
        <b/>
        <i/>
        <sz val="8"/>
        <color rgb="FF000000"/>
        <rFont val="Arial"/>
      </rPr>
      <t>Для жилой части и коммерческих помещений:</t>
    </r>
    <r>
      <rPr>
        <sz val="8"/>
        <color rgb="FF000000"/>
        <rFont val="Arial"/>
      </rPr>
      <t xml:space="preserve">
</t>
    </r>
    <r>
      <rPr>
        <strike/>
        <sz val="8"/>
        <color rgb="FF000000"/>
        <rFont val="Arial"/>
      </rPr>
      <t xml:space="preserve">
</t>
    </r>
    <r>
      <rPr>
        <sz val="8"/>
        <color rgb="FF000000"/>
        <rFont val="Arial"/>
      </rPr>
      <t xml:space="preserve">- Применять радиаторы тип 11: 
 ● высотой 300 длиной от 700 до 2000,
 ● высотой 900 длиной от 400 до 800,
- Применять радиаторы тип 22: 
 ● высотой 300 длиной от 700 до 2000,
 ● высотой 900 длиной от 400 до 800.
- Применять радиаторы тип 33: 
 ● высотой 300 длиной от 700 до 2000,
 ● высотой 900 длиной от 400 до 800.
</t>
    </r>
    <r>
      <rPr>
        <b/>
        <i/>
        <sz val="8"/>
        <color rgb="FF000000"/>
        <rFont val="Arial"/>
      </rPr>
      <t xml:space="preserve">Для МОП:
</t>
    </r>
    <r>
      <rPr>
        <sz val="8"/>
        <color rgb="FF000000"/>
        <rFont val="Arial"/>
      </rPr>
      <t>- Для лестничной клетки применять радиаторы тип 33 (если по расчёту не подходит тип 22).
Применять радиаторы высотой 500 мм. 
Радиаторы высотой 300 мм применять при высоте подоконного пространства менее 650 мм.
Радиаторы высотой 900 мм применять в местах балконных дверей и остекления «в пол» (при невозможности использования высотой 500 мм), располагать на ближайшем от окна простенке или перегородке.
На планах рабочей документации все отопительные приборы отобразить в масштабе.
Узел нижнего подключения отопительного прибора:
- Клапан угловой запорный радиаторный двойной без байпаса;
- Адаптер (евроконус) соединительный с ВР.
- Для входного вестибюля после первого тамбура и лифтового холла применять стальные дизайн радиаторы высотой 2 метра, длина по расчёту, места установки и габариты согласовать с Заказчиком.
Производители: 
Радиаторы: 
Стальные панельные - Buderus
Стальные дизайн - KZTO - Гармония А40
Термоголовка и запорный клапан: Danfoss</t>
    </r>
  </si>
  <si>
    <r>
      <rPr>
        <sz val="8"/>
        <color rgb="FF000000"/>
        <rFont val="Arial"/>
      </rPr>
      <t xml:space="preserve">Сшитый полиэтилен PN10 в тепловой изоляции из вспененного полиэтилена 9 мм в МОП, в квартирах и коммерческих помещениях в защитной гофрированной трубе с устройством на конце адаптера (евроконуса) для радиатора и муфты (штуцера) с НР (обжимной фитинг) для внутрипольного конвектора.
Тепловую изоляцию и защитную гофрированную трубу на подающем трубопроводе применять красного цвета, на обратном трубопроводе синего цвета. 
Все повороты выполнять изгибами труб (без применения отводов). 
Производители:
Трубопроводы: </t>
    </r>
    <r>
      <rPr>
        <sz val="8"/>
        <color rgb="FF000000"/>
        <rFont val="Arial"/>
      </rPr>
      <t>РосТурПласт</t>
    </r>
    <r>
      <rPr>
        <sz val="8"/>
        <color rgb="FF000000"/>
        <rFont val="Arial"/>
      </rPr>
      <t xml:space="preserve">
Изоляция: Energoflex Super Protect</t>
    </r>
  </si>
  <si>
    <r>
      <rPr>
        <sz val="8"/>
        <color rgb="FF000000"/>
        <rFont val="Arial"/>
      </rPr>
      <t xml:space="preserve">Стальные панельные радиаторы с нижним подключением в комплекте с термостатическим клапаном и термоголовкой (в помещениях МОП термоголовки не предусматривать).
В пределах одного помещения следует предусматривать радиаторы единой глубины и высоты, переменной длины.
</t>
    </r>
    <r>
      <rPr>
        <b/>
        <i/>
        <sz val="8"/>
        <color rgb="FF000000"/>
        <rFont val="Arial"/>
      </rPr>
      <t>Для жилой части и коммерческих помещений:</t>
    </r>
    <r>
      <rPr>
        <sz val="8"/>
        <color rgb="FF000000"/>
        <rFont val="Arial"/>
      </rPr>
      <t xml:space="preserve">
</t>
    </r>
    <r>
      <rPr>
        <strike/>
        <sz val="8"/>
        <color rgb="FF000000"/>
        <rFont val="Arial"/>
      </rPr>
      <t xml:space="preserve">
</t>
    </r>
    <r>
      <rPr>
        <sz val="8"/>
        <color rgb="FF000000"/>
        <rFont val="Arial"/>
      </rPr>
      <t xml:space="preserve">- Применять радиаторы тип 11: 
</t>
    </r>
    <r>
      <rPr>
        <sz val="8"/>
        <color rgb="FF000000"/>
        <rFont val="Arial"/>
      </rPr>
      <t xml:space="preserve"> ● высотой 300 длиной от 700 до 2000,</t>
    </r>
    <r>
      <rPr>
        <sz val="8"/>
        <color rgb="FF000000"/>
        <rFont val="Arial"/>
      </rPr>
      <t xml:space="preserve">
 ● высотой 900 длиной от 400 до 800,
- Применять радиаторы тип 22: 
</t>
    </r>
    <r>
      <rPr>
        <sz val="8"/>
        <color rgb="FF000000"/>
        <rFont val="Arial"/>
      </rPr>
      <t xml:space="preserve"> ● высотой 300 длиной от 700 до 2000,</t>
    </r>
    <r>
      <rPr>
        <sz val="8"/>
        <color rgb="FF000000"/>
        <rFont val="Arial"/>
      </rPr>
      <t xml:space="preserve">
 ● высотой 900 длиной от 400 до 800.
- Применять радиаторы тип 33: 
</t>
    </r>
    <r>
      <rPr>
        <sz val="8"/>
        <color rgb="FF000000"/>
        <rFont val="Arial"/>
      </rPr>
      <t xml:space="preserve"> ● высотой 300 длиной от 700 до 2000,</t>
    </r>
    <r>
      <rPr>
        <sz val="8"/>
        <color rgb="FF000000"/>
        <rFont val="Arial"/>
      </rPr>
      <t xml:space="preserve">
 ● высотой 900 длиной от 400 до 800.
</t>
    </r>
    <r>
      <rPr>
        <b/>
        <i/>
        <sz val="8"/>
        <color rgb="FF000000"/>
        <rFont val="Arial"/>
      </rPr>
      <t xml:space="preserve">Для МОП:
</t>
    </r>
    <r>
      <rPr>
        <sz val="8"/>
        <color rgb="FF000000"/>
        <rFont val="Arial"/>
      </rPr>
      <t>- Для лестничной клетки применять радиаторы тип 33 (если по расчёту не подходит тип 22).
Применять радиаторы высотой 500 мм. 
Радиаторы высотой 300 мм применять при высоте подоконного пространства менее 650 мм.
Радиаторы высотой 900 мм применять в местах балконных дверей и остекления «в пол» (при невозможности использования высотой 500 мм), располагать на ближайшем от окна простенке или перегородке.
На планах рабочей документации все отопительные приборы отобразить в масштабе.
Узел нижнего подключения отопительного прибора:
- Клапан угловой запорный радиаторный двойной без байпаса;
- Адаптер (евроконус) соединительный с ВР.
- Для входного вестибюля после первого тамбура и лифтового холла применять стальные дизайн радиаторы высотой 2 метра, длина по расчёту, места установки и габариты согласовать с Заказчиком.
Производители: 
Радиаторы: 
Стальные панельные - Buderus
Стальные дизайн - KZTO - Гармония А40
Термоголовка и запорный клапан: Danfoss</t>
    </r>
  </si>
  <si>
    <r>
      <rPr>
        <sz val="8"/>
        <color rgb="FF000000"/>
        <rFont val="Arial"/>
      </rPr>
      <t xml:space="preserve">Труба ГОСТ 3262-75* диаметр и толщина стенки: 15х2,8; 20х2,8; 25х3,2; 32х3,2; 40х3,5,
труба ГОСТ 10704-91 диаметр и толщина стенки: 57х3,5; 76х3,5; 89х4,0; 108х4,0; 133х4,5;159х4,5; 219х4,5. 
В тепловой изоляции из вспененного каучука 19мм. 
Прокладка трубопроводов открытая.
Компенсаторы: П - образные.
Антикоррозийная защита: 
- Трубопроводы без изоляции: эмаль ПФ-115 ГОСТ 6465-76 в два слоя, по грунту ГФ-021 ГОСТ 25129-82 в один слой. 
- Трубопроводы в изоляции: краска БТ-177 ГОСТ 5631-79 в два слоя, по грунту ГФ-021 ГОСТ 25129-82 в один слой. 
На магистральных трубопроводах применить опоры по серии 5.903-13.
Трубопроводная арматура:
- Воздухоотводчик: автоматический прямой с (боковым/верхним) выпуском,
- Кран шаровой полнопроходной: с резьбой тип (ВР/НР-ВР), тип рукоятки "рычаг".
Производители:
Изоляция: K-Flex, Armacell.
Трубопроводная арматура: Danfoss, </t>
    </r>
    <r>
      <rPr>
        <sz val="8"/>
        <color rgb="FF000000"/>
        <rFont val="Arial"/>
      </rPr>
      <t>LD</t>
    </r>
    <r>
      <rPr>
        <sz val="8"/>
        <color rgb="FF000000"/>
        <rFont val="Arial"/>
      </rPr>
      <t>, Valtec, ADL, Naval, Broen Ballomax, Bugatti, Flamco, Giacomini</t>
    </r>
  </si>
  <si>
    <r>
      <rPr>
        <sz val="8"/>
        <color rgb="FF000000"/>
        <rFont val="Arial"/>
      </rPr>
      <t xml:space="preserve">Сшитый полиэтилен PN10 в тепловой изоляции из вспененного полиэтилена 9 мм в МОП, в квартирах и коммерческих помещениях в защитной гофрированной трубе с устройством на конце адаптера (евроконуса) для радиатора и муфты (штуцера) с НР (обжимной фитинг) для внутрипольного конвектора.
Тепловую изоляцию и защитную гофрированную трубу на подающем трубопроводе применять красного цвета, на обратном трубопроводе синего цвета. 
Все повороты выполнять изгибами труб (без применения отводов). 
Производители:
Трубопроводы: </t>
    </r>
    <r>
      <rPr>
        <sz val="8"/>
        <color rgb="FF000000"/>
        <rFont val="Arial"/>
      </rPr>
      <t>РосТурПласт</t>
    </r>
    <r>
      <rPr>
        <sz val="8"/>
        <color rgb="FF000000"/>
        <rFont val="Arial"/>
      </rPr>
      <t xml:space="preserve">
Изоляция: Energoflex Super Protect</t>
    </r>
  </si>
  <si>
    <t>7.2.0.2</t>
  </si>
  <si>
    <t>Систему общеобменной вентиляции проектировать, производить и монтировать унифицированными префабрицированными изделиями заводского изготовления.</t>
  </si>
  <si>
    <r>
      <rPr>
        <sz val="8"/>
        <color theme="1"/>
        <rFont val="Arial"/>
      </rPr>
      <t xml:space="preserve">- Приточно-вытяжная естественная вентиляция. </t>
    </r>
    <r>
      <rPr>
        <strike/>
        <sz val="8"/>
        <color theme="1"/>
        <rFont val="Arial"/>
      </rPr>
      <t xml:space="preserve">
</t>
    </r>
    <r>
      <rPr>
        <sz val="8"/>
        <color theme="1"/>
        <rFont val="Arial"/>
      </rPr>
      <t>- Приток через воздушные угловые стеновые или подоконные клапаны в жилых комнатах (исключая кухни, кухни-столовые, за исключением студий) при невозможно применения стенового клапана использовать подоконный. 
- Предусмотреть вытяжку из санузлов, ванных комнат, кухонь. 
- Присоединение вытяжных решеток к вертикальному каналу через каналы спутники. Последние этажи подключить через отдельный воздуховод.
- На последнем этаже предусмотреть установку канальных бытовых вентиляторов с установкой нормально открытого противопожарного клапана.
- Выброс вентиляции в помещение технического этажа (чердака). 
- Выброс на улицу через вытяжную шахту технического этажа (чердака). Размер отверстия для вентиляционной шахты в плите покрытия 4000х1500. Высота вытяжной шахты принять от плиты покрытия кровли до плиты покрытия вытяжной шахты 1175мм, плита покрытия 160 мм, размер решетки 1550х470 мм - площадь живого сечения 0,5.
Под шахтой предусмотреть поддон из оцинкованной стали для сбора осадков и конденсата.
- Расход вытяжного воздуха: кухня - 60м3/ч, санузел - 50м3/ч.</t>
    </r>
  </si>
  <si>
    <t>Общеобменная вентиляция Москва</t>
  </si>
  <si>
    <r>
      <rPr>
        <sz val="8"/>
        <color rgb="FF000000"/>
        <rFont val="Arial"/>
      </rPr>
      <t xml:space="preserve">- Приточно-вытяжная естественная вентиляция. </t>
    </r>
    <r>
      <rPr>
        <strike/>
        <sz val="8"/>
        <color rgb="FF000000"/>
        <rFont val="Arial"/>
      </rPr>
      <t xml:space="preserve">
</t>
    </r>
    <r>
      <rPr>
        <sz val="8"/>
        <color rgb="FF000000"/>
        <rFont val="Arial"/>
      </rPr>
      <t>- Приток через воздушные угловые стеновые или подоконные клапаны в жилых комнатах (исключая кухни, кухни-столовые, за исключением студий) при невозможно применения стенового клапана использовать подоконный. 
- Предусмотреть вытяжку из санузлов, ванных комнат, кухонь. 
- Присоединение вытяжных решеток к вертикальному каналу через каналы спутники. Последние этажи подключить через отдельный воздуховод.
- На последнем этаже предусмотреть установку канальных бытовых вентиляторов.
- Выброс вентиляции в помещение технического этажа (чердака). 
- Выброс на улицу через решетки технического этажа (чердака).
- Расход вытяжного воздуха: кухня - 60м3/ч, санузел - 50м3/ч.</t>
    </r>
  </si>
  <si>
    <t xml:space="preserve">  Система общеобменной вентиляции Жилая часть свыше 75 метров</t>
  </si>
  <si>
    <t>Общеобменная механическая вентиляция регионы</t>
  </si>
  <si>
    <r>
      <rPr>
        <sz val="8"/>
        <color rgb="FF000000"/>
        <rFont val="Arial"/>
      </rPr>
      <t>- Приточно-вытяжная вентиляция с механических (искуственным) побуждением. Вытяжная механическая вентиляция и приточная естественная для притока воздуха (клапаны), согласно пункта 8.7 СП 253.1325800.2016.</t>
    </r>
    <r>
      <rPr>
        <strike/>
        <sz val="8"/>
        <color rgb="FF000000"/>
        <rFont val="Arial"/>
      </rPr>
      <t xml:space="preserve">
</t>
    </r>
    <r>
      <rPr>
        <sz val="8"/>
        <color rgb="FF000000"/>
        <rFont val="Arial"/>
      </rPr>
      <t>- Приток через воздушные угловые стеновые или подоконные клапаны в жилых комнатах (исключая кухни, кухни-столовые, за исключением студий) при невозможно применения стенового клапана использовать подоконный. 
- Предусмотреть вытяжку из санузлов, ванных комнат, кухонь. 
- Присоединение вытяжных решеток к вертикальному каналу через каналы спутники. Последние этажи подключить через отдельный воздуховод.
- На последнем этаже предусмотреть установку канальных бытовых вентиляторов.
- Выброс на улицу через вытяжную шахту технического этажа (чердака). Размер отверстия для вентиляционной шахты в плите покрытия 4000х1500. Высота вытяжной шахты принять от плиты покрытия кровли до плиты покрытия вытяжной шахты 1175мм, плита покрытия 160 мм, размер решетки 1550х470 мм - площадь живого сечения 0,5.
Под шахтой предусмотреть поддон из оцинкованной стали для сбора осадков и конденсата.
- Расход вытяжного воздуха: кухня - 60м3/ч, санузел - 50м3/ч.</t>
    </r>
  </si>
  <si>
    <t>Общеобменная механическая вентиляция Москва</t>
  </si>
  <si>
    <r>
      <rPr>
        <sz val="8"/>
        <color rgb="FF000000"/>
        <rFont val="Arial"/>
      </rPr>
      <t>- Приточно-вытяжная вентиляция с механических (искуственным) побуждением. Вытяжная механическая вентиляция и приточная естественная для притока воздуха (клапаны), согласно пункта 8.7 СП 253.1325800.2016.</t>
    </r>
    <r>
      <rPr>
        <strike/>
        <sz val="8"/>
        <color rgb="FF000000"/>
        <rFont val="Arial"/>
      </rPr>
      <t xml:space="preserve">
</t>
    </r>
    <r>
      <rPr>
        <sz val="8"/>
        <color rgb="FF000000"/>
        <rFont val="Arial"/>
      </rPr>
      <t>- Приток через воздушные угловые стеновые или подоконные клапаны в жилых комнатах (исключая кухни, кухни-столовые, за исключением студий) при невозможно применения стенового клапана использовать подоконный. 
- Предусмотреть вытяжку из санузлов, ванных комнат, кухонь. 
- Присоединение вытяжных решеток к вертикальному каналу через каналы спутники. Последние этажи подключить через отдельный воздуховод.
- На последнем этаже предусмотреть установку канальных бытовых вентиляторов.
- Выброс вентиляции в помещение технического этажа (чердака). 
- Выброс на улицу через решетки технического этажа (чердака).
- Расход вытяжного воздуха: кухня - 60м3/ч, санузел - 50м3/ч.</t>
    </r>
  </si>
  <si>
    <r>
      <rPr>
        <sz val="8"/>
        <rFont val="Arial"/>
      </rPr>
      <t>Применять при выходе воздухозаборной решетки на фасад здания.
Не допускается установка стеновых клапанов на несущих конструкциях здания.
При «окнах в пол» стеновой клапан устанавливать над радиатором отопления.
При размещении приточных вентиляционных клапанов необходимо руководствоваться решением "</t>
    </r>
    <r>
      <rPr>
        <sz val="8"/>
        <color rgb="FF1155CC"/>
        <rFont val="Arial"/>
      </rPr>
      <t>Принцип размещения радиаторов, приточных вентиляционных клапанов, кондиционеров</t>
    </r>
    <r>
      <rPr>
        <sz val="8"/>
        <rFont val="Arial"/>
      </rPr>
      <t>".
Воздуховод в стене (простенке) пластиковый Ø125 мм, соединение воздуховода с клапаном с помощью пластикового воздуховода сечением 200х50
Производители: 
Клапан: «КИВ», «AERECO» (ЕНТ 5-40) или аналог.
Решетка: 620РСФ фирмы «ERA» или аналог.</t>
    </r>
  </si>
  <si>
    <r>
      <rPr>
        <sz val="8"/>
        <color rgb="FF000000"/>
        <rFont val="Arial"/>
      </rPr>
      <t xml:space="preserve">Клапан в обслуживаемом помещении:
Нормально открытый клапан с электроприводом напряжением </t>
    </r>
    <r>
      <rPr>
        <sz val="8"/>
        <color rgb="FF000000"/>
        <rFont val="Arial"/>
      </rPr>
      <t>220В</t>
    </r>
    <r>
      <rPr>
        <sz val="8"/>
        <color rgb="FF000000"/>
        <rFont val="Arial"/>
      </rPr>
      <t xml:space="preserve"> с возвратной пружиной в общепромышленном исполнении..
Производители: "Веза", "VKT", "Неватом".</t>
    </r>
  </si>
  <si>
    <r>
      <rPr>
        <sz val="8"/>
        <color rgb="FF000000"/>
        <rFont val="Arial"/>
      </rPr>
      <t>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t>
    </r>
    <r>
      <rPr>
        <b/>
        <i/>
        <sz val="8"/>
        <color rgb="FF000000"/>
        <rFont val="Arial"/>
      </rPr>
      <t xml:space="preserve">
</t>
    </r>
    <r>
      <rPr>
        <sz val="8"/>
        <color rgb="FF000000"/>
        <rFont val="Arial"/>
      </rPr>
      <t xml:space="preserve">Толщина стенок воздуховодов и фасонных изделий:
Для прямоугольных воздуховодов при сечении:
● С огнезащитным покрытием, толщиной 0,8 мм
- 350х200 - с 1 по 9 этаж для санузлов, расход 50м3/ч
- 500х200 - с 1 по 9 этаж, для кухонь, расход 60м3/ч
Сечение прямоугольного воздуховодов спутника толщиной 0,8 мм, с огнезащитным покрытием: 
- 200х100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</si>
  <si>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r>
      <rPr>
        <sz val="8"/>
        <color rgb="FF000000"/>
        <rFont val="Arial"/>
      </rPr>
      <t>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t>
    </r>
    <r>
      <rPr>
        <b/>
        <i/>
        <sz val="8"/>
        <color rgb="FF000000"/>
        <rFont val="Arial"/>
      </rPr>
      <t xml:space="preserve">
Для секций в квартале:</t>
    </r>
    <r>
      <rPr>
        <b/>
        <sz val="8"/>
        <color rgb="FF000000"/>
        <rFont val="Arial"/>
      </rPr>
      <t xml:space="preserve">
</t>
    </r>
    <r>
      <rPr>
        <sz val="8"/>
        <color rgb="FF000000"/>
        <rFont val="Arial"/>
      </rPr>
      <t xml:space="preserve">Толщина стенок воздуховодов и фасонных изделий:
Для прямоугольных воздуховодов при сечении:
● С огнезащитным покрытием, толщиной 0,8 мм
- 250х300 - с 1 по 9 этаж для санузлов, расход 50м3/ч
- 350х300 - с 10 по 16 этаж для санузлов, расход 50м3/ч
- 350х300 - с 1 по 9 этаж, для кухонь, расход 60м3/ч
- 500х300 - с 10 по 16 этаж, для кухонь, расход 60м3/ч
</t>
    </r>
    <r>
      <rPr>
        <b/>
        <i/>
        <sz val="8"/>
        <color rgb="FF000000"/>
        <rFont val="Arial"/>
      </rPr>
      <t>Для башни:</t>
    </r>
    <r>
      <rPr>
        <sz val="8"/>
        <color rgb="FF000000"/>
        <rFont val="Arial"/>
      </rPr>
      <t xml:space="preserve">
Толщина стенок воздуховодов и фасонных изделий:
Для прямоугольных воздуховодов при сечении:
● С огнезащитным покрытием, толщиной 0,8 мм
- 500х200 - с 1 по 9 этаж для санузлов, расход 50м3/ч
- 700х200 - с 10 по 16 этаж для санузлов, расход 50м3/ч
- 500х200 - с 1 по 9 этаж, для кухонь, расход 60м3/ч
- 700х200 - с 10 по 16 этаж, для кухонь, расход 60м3/ч
Сечение прямоугольного воздуховодов спутника толщиной 0,8 мм, с огнезащитным покрытием: 
- 200х100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</si>
  <si>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r>
      <rPr>
        <sz val="8"/>
        <color rgb="FF000000"/>
        <rFont val="Arial"/>
      </rPr>
      <t>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t>
    </r>
    <r>
      <rPr>
        <b/>
        <i/>
        <sz val="8"/>
        <color rgb="FF000000"/>
        <rFont val="Arial"/>
      </rPr>
      <t xml:space="preserve">
Для башни:</t>
    </r>
    <r>
      <rPr>
        <b/>
        <sz val="8"/>
        <color rgb="FF000000"/>
        <rFont val="Arial"/>
      </rPr>
      <t xml:space="preserve">
</t>
    </r>
    <r>
      <rPr>
        <sz val="8"/>
        <color rgb="FF000000"/>
        <rFont val="Arial"/>
      </rPr>
      <t xml:space="preserve">Толщина стенок воздуховодов и фасонных изделий:
Для прямоугольных воздуховодов при сечении:
● С огнезащитным покрытием, толщиной 0,8 мм
- 500х200 - с 1 по 9 этаж для санузлов, расход 50м3/ч
- 700х200 - с 10 по 16 этаж для санузлов, расход 50м3/ч
- 900х200 - с 17 по 24 этаж для санузлов, расход 50м3/ч
- 500х200 - с 1 по 9 этаж, для кухонь, расход 60м3/ч
- 700х200 - с 10 по 16 этаж, для кухонь, расход 60м3/ч
- 900х200 - с 17 по 24 этаж, для кухонь, расход 60м3/ч
Сечение прямоугольного воздуховодов спутника толщиной 0,8 мм, с огнезащитным покрытием: 
- 200х100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</si>
  <si>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t>7.2.1.9</t>
  </si>
  <si>
    <t>Воздуховод общеобменной вентиляции Жилая часть от 75 до 100 метров</t>
  </si>
  <si>
    <r>
      <rPr>
        <sz val="8"/>
        <color rgb="FF000000"/>
        <rFont val="Arial"/>
      </rPr>
      <t>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t>
    </r>
    <r>
      <rPr>
        <b/>
        <i/>
        <sz val="8"/>
        <color rgb="FF000000"/>
        <rFont val="Arial"/>
      </rPr>
      <t xml:space="preserve">
Для башни:</t>
    </r>
    <r>
      <rPr>
        <b/>
        <sz val="8"/>
        <color rgb="FF000000"/>
        <rFont val="Arial"/>
      </rPr>
      <t xml:space="preserve">
</t>
    </r>
    <r>
      <rPr>
        <sz val="8"/>
        <color rgb="FF000000"/>
        <rFont val="Arial"/>
      </rPr>
      <t xml:space="preserve">Толщина стенок воздуховодов и фасонных изделий:
Для прямоугольных воздуховодов при сечении:
● С огнезащитным покрытием, толщиной 0,8 мм
- 500х200 - с 1 по 16 этаж для санузлов, расход 50м3/ч, для кухонь, расход 60м3/ч - первая зона
- 500х200 - с 17 по 32 этаж для санузлов, расход 50м3/ч, для кухонь, расход 60м3/ч - вторая зона
Сечение прямоугольного воздуховодов спутника толщиной 0,8 мм, с огнезащитным покрытием: 
- 200х100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</si>
  <si>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r>
      <rPr>
        <b/>
        <sz val="8"/>
        <color theme="1"/>
        <rFont val="Arial"/>
      </rPr>
      <t xml:space="preserve">Для башни отдельностоящей (Лестничная клетка не имеет окон, выходящих на фасад здания) - для лестничной клетки типа Н2.
</t>
    </r>
    <r>
      <rPr>
        <sz val="8"/>
        <color theme="1"/>
        <rFont val="Arial"/>
      </rPr>
      <t>1. Приточно-вытяжная механическая вентиляция МОП выше отметки 0: 
Приточно - вытяжная установка (электрическая) с роторным рекуператором разместить в вентиляционной камере тех.чердака над лифтовым холлом последнего этажа.
Кратность воздухообмена:
- Для первого и типовых этажей:
 лифтовый холл – 1,5 ч-1; 
 межквартирный коридор – 1,5 ч-1;
2. Приточно - вытяжная механическая вентиляция МОП ниже отметки 0:
Приточная установка (вентилятор) с электронагревателем. 
Воздухозабор общий с системой подпора тамбур шлюзов. 
Выброс отработанного воздуха произвести транзитом в вытяжную шахту тех.чердака. 
Кратности воздухообменов принять:
- в колясочной/велосипедной – 1,5 ч-1; 
- блок кладовых – 1,5 ч-1; 
- Расход вытяжного воздуха: КУИ - 50м3/ч.</t>
    </r>
  </si>
  <si>
    <r>
      <rPr>
        <b/>
        <sz val="8"/>
        <color theme="1"/>
        <rFont val="Arial"/>
      </rPr>
      <t>Для секций в квартале (Лестничная клетка имеет окна, выходящие на фасад здания) - для лестничной клетки типа Л1.</t>
    </r>
    <r>
      <rPr>
        <sz val="8"/>
        <color theme="1"/>
        <rFont val="Arial"/>
      </rPr>
      <t xml:space="preserve">
1. Естественная вентиляция МОП выше отметки 0:
Приток воздуха через клапан инфильтрации воздуха (КИВ) устанавливаемый в лестничной клетке.
Удаление воздуха через решетку расположенную в стене межквартирного коридора, далее через воздуховод проложенный в шахте инженерных коммуникаций за лифтовой шахтой. 
Выброс воздуха в помещение технического чердака далее на улицу через вытяжную шахту технического чердака. 
Воздухообмен в лестничной клетке, лифтовом холле и межквартирном коридоре происходит за счет перетекания воздуха через открытые двери.
Для корректной работы системы вентиляции противопожарные двери между лестничной клеткой и лифтовым холлом, межквартирным коридором должны быть всегда открыты, зафиксированы электромагнитным замком удержания двери (предусмотрен в разделе СС). 
2. Приточно - вытяжная механическая вентиляция МОП ниже отметки 0:
Приточная установка (вентилятор) с электронагревателем. 
Воздухозабор общий с системой подпора тамбур шлюзов. 
Выброс отработанного воздуха произвести транзитом в вытяжную шахту тех.чердака. 
Кратности воздухообменов принять:
- в колясочной/велосипедной – 1,5 ч-1; 
- блок кладовых – 1,5 ч-1; 
- Расход вытяжного воздуха: КУИ - 50м3/ч.</t>
    </r>
  </si>
  <si>
    <r>
      <rPr>
        <sz val="8"/>
        <color rgb="FF000000"/>
        <rFont val="Arial"/>
      </rPr>
      <t xml:space="preserve">Клапан в обслуживаемом помещении:
Нормально открытый клапан с электроприводом напряжением </t>
    </r>
    <r>
      <rPr>
        <sz val="8"/>
        <color rgb="FF000000"/>
        <rFont val="Arial"/>
      </rPr>
      <t>220В</t>
    </r>
    <r>
      <rPr>
        <sz val="8"/>
        <color rgb="FF000000"/>
        <rFont val="Arial"/>
      </rPr>
      <t xml:space="preserve"> с возвратной пружиной в общепромышленном исполнении..
Производители: "Веза", "VKT", "Неватом".</t>
    </r>
  </si>
  <si>
    <r>
      <rPr>
        <sz val="8"/>
        <color rgb="FF000000"/>
        <rFont val="Arial"/>
      </rPr>
      <t>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t>
    </r>
    <r>
      <rPr>
        <b/>
        <i/>
        <sz val="8"/>
        <color rgb="FF000000"/>
        <rFont val="Arial"/>
      </rPr>
      <t xml:space="preserve">
</t>
    </r>
    <r>
      <rPr>
        <sz val="8"/>
        <color rgb="FF000000"/>
        <rFont val="Arial"/>
      </rPr>
      <t xml:space="preserve">Толщина стенок воздуховодов и фасонных изделий:
Для прямоугольных воздуховодов при сечении:
● Без огнезащитного покрытия
- от 100х100 до 250х250 включительно - 0,5 мм,
- от 300х100 (100х300) до 1000х1000 - 0,7 мм,
- от 350х1050 (1050х350) до 2000х2000 - 0,9 мм,
● С огнезащитным покрытием
- от 100х100 до 1000х1000 включительно - 0,8 мм,
- от 1000х1050 до 2000х2000 - 0,9 мм
Для круглых воздуховодов (использовать в исключительных случаях, при отсутствии возможности использовать прямоугольные воздуховоды) при диаметре:
● Без огнезащитного покрытия
- до Ø200 - 0,5 мм,
- от Ø250 до Ø450 - 0,6 мм.
- от Ø500 до Ø800 - 0,7 мм.
- от Ø900 до Ø1250 - 1,0 мм.
● С огнезащитным покрытием
- от Ø100 до Ø800- 0,8 мм,
- от Ø900 до Ø1250- 1,0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</si>
  <si>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r>
      <rPr>
        <sz val="8"/>
        <color theme="1"/>
        <rFont val="Arial"/>
      </rPr>
      <t xml:space="preserve">Вытяжная естественная вентиляция обособленная для каждого собственника.
Состоит из 2 отдельных вытяжных каналов:
</t>
    </r>
    <r>
      <rPr>
        <b/>
        <i/>
        <sz val="8"/>
        <color theme="1"/>
        <rFont val="Arial"/>
      </rPr>
      <t>1 канал</t>
    </r>
    <r>
      <rPr>
        <b/>
        <sz val="8"/>
        <color theme="1"/>
        <rFont val="Arial"/>
      </rPr>
      <t xml:space="preserve"> </t>
    </r>
    <r>
      <rPr>
        <sz val="8"/>
        <color theme="1"/>
        <rFont val="Arial"/>
      </rPr>
      <t xml:space="preserve">- для вытяжки из санузла, воздухообмен согласно норме. Выброс воздух в помещение технического этажа (чердака), далее через решетки на улицу. 
Воздуховоды предусмотреть пристроенными к вентканалам жилья (в инженерной стене - нише), таким образом чтобы не нарушать квартирографию. Например через санузел квартир, в пространстве между вентканалом жилья и стояковой группой или в шахте инженерных коммуникаций у лифта.
</t>
    </r>
    <r>
      <rPr>
        <b/>
        <i/>
        <sz val="8"/>
        <color theme="1"/>
        <rFont val="Arial"/>
      </rPr>
      <t>2 канал</t>
    </r>
    <r>
      <rPr>
        <sz val="8"/>
        <color theme="1"/>
        <rFont val="Arial"/>
      </rPr>
      <t xml:space="preserve"> - для возможности устройства вытяжной механической вентиляции основного помещения (силами собственника), воздухообмен: 
при площади помещения менее 120м2 - кратность 2
при площади помещения более 120м2 - кратность 4
рекомендуемая скорость в воздуховодах до 2,5м/с
Выброс вытяжного воздуха через решетку расположенную в стене технического этажа (чердака), воздуховод проложить в шахте инженерных коммуникаций у лифта.
Для возможности устройства приточной механической вентиляции предусмотреть воздухозаборную решетку, из расчета 4х кратного воздухообмена и скорости в решетке 2,5м/с, за вывеской lightbox или над входной группой в коммерческое помещение, расположение определить совместно с автором-архитектором;
Тип установки относительно площади помещения:
- менее 120м2 с электрическим подогревом приточного воздуха.
- более 120м2 предусмотреть подвод трубопроводов от ИТП (теплоноситель вода). 
Установка вентиляционного оборудования и разводка воздуховодов по помещению осуществляется силами собственника.</t>
    </r>
  </si>
  <si>
    <r>
      <rPr>
        <sz val="8"/>
        <color rgb="FF000000"/>
        <rFont val="Arial"/>
      </rPr>
      <t xml:space="preserve">Клапан в обслуживаемом помещении:
Нормально открытый клапан с электроприводом напряжением </t>
    </r>
    <r>
      <rPr>
        <sz val="8"/>
        <color rgb="FF000000"/>
        <rFont val="Arial"/>
      </rPr>
      <t>220В</t>
    </r>
    <r>
      <rPr>
        <sz val="8"/>
        <color rgb="FF000000"/>
        <rFont val="Arial"/>
      </rPr>
      <t xml:space="preserve"> с возвратной пружиной в общепромышленном исполнении..
Производители: "Веза", "VKT", "Неватом".</t>
    </r>
  </si>
  <si>
    <r>
      <rPr>
        <sz val="8"/>
        <color rgb="FF000000"/>
        <rFont val="Arial"/>
      </rPr>
      <t>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t>
    </r>
    <r>
      <rPr>
        <b/>
        <i/>
        <sz val="8"/>
        <color rgb="FF000000"/>
        <rFont val="Arial"/>
      </rPr>
      <t xml:space="preserve">
</t>
    </r>
    <r>
      <rPr>
        <sz val="8"/>
        <color rgb="FF000000"/>
        <rFont val="Arial"/>
      </rPr>
      <t xml:space="preserve">Толщина стенок воздуховодов и фасонных изделий:
Для прямоугольных воздуховодов при сечении:
● Без огнезащитного покрытия
- от 100х100 до 250х250 включительно - 0,5 мм,
- от 300х100 (100х300) до 1000х1000 - 0,7 мм,
- от 350х1050 (1050х350) до 2000х2000 - 0,9 мм,
● С огнезащитным покрытием
- от 100х100 до 1000х1000 включительно - 0,8 мм,
- от 1000х1050 до 2000х2000 - 0,9 мм
Для круглых воздуховодов (использовать в исключительных случаях, при отсутствии возможности использовать прямоугольные воздуховоды) при диаметре:
● Без огнезащитного покрытия
- до Ø200 - 0,5 мм,
- от Ø250 до Ø450 - 0,6 мм.
- от Ø500 до Ø800 - 0,7 мм.
- от Ø900 до Ø1250 - 1,0 мм.
● С огнезащитным покрытием
- от Ø100 до Ø800- 0,8 мм,
- от Ø900 до Ø1250- 1,0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</si>
  <si>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r>
      <rPr>
        <sz val="8"/>
        <color rgb="FF000000"/>
        <rFont val="Arial"/>
      </rPr>
      <t xml:space="preserve">Клапан в обслуживаемом помещении:
Нормально открытый клапан с электроприводом напряжением </t>
    </r>
    <r>
      <rPr>
        <sz val="8"/>
        <color rgb="FF000000"/>
        <rFont val="Arial"/>
      </rPr>
      <t xml:space="preserve">220В </t>
    </r>
    <r>
      <rPr>
        <sz val="8"/>
        <color rgb="FF000000"/>
        <rFont val="Arial"/>
      </rPr>
      <t>с возвратной пружиной в общепромышленном исполнении.
Дроссель-клапан на вытяжном и приточном воздуховоде.
Производители: "Веза", "VKT", "Неватом".</t>
    </r>
  </si>
  <si>
    <r>
      <rPr>
        <sz val="8"/>
        <color rgb="FF000000"/>
        <rFont val="Arial"/>
      </rPr>
      <t xml:space="preserve">Клапан у вентилятора:
Нормально открытый клапан с электроприводом напряжением </t>
    </r>
    <r>
      <rPr>
        <sz val="8"/>
        <color rgb="FF000000"/>
        <rFont val="Arial"/>
      </rPr>
      <t xml:space="preserve">220В </t>
    </r>
    <r>
      <rPr>
        <sz val="8"/>
        <color rgb="FF000000"/>
        <rFont val="Arial"/>
      </rPr>
      <t xml:space="preserve">с возвратной пружиной.
Производители: "Веза", "VKT", "Неватом". </t>
    </r>
  </si>
  <si>
    <r>
      <rPr>
        <sz val="8"/>
        <color rgb="FF000000"/>
        <rFont val="Arial"/>
      </rPr>
      <t>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t>
    </r>
    <r>
      <rPr>
        <b/>
        <i/>
        <sz val="8"/>
        <color rgb="FF000000"/>
        <rFont val="Arial"/>
      </rPr>
      <t xml:space="preserve">
</t>
    </r>
    <r>
      <rPr>
        <sz val="8"/>
        <color rgb="FF000000"/>
        <rFont val="Arial"/>
      </rPr>
      <t xml:space="preserve">Толщина стенок воздуховодов и фасонных изделий:
Для прямоугольных воздуховодов при сечении:
● Без огнезащитного покрытия
- от 100х100 до 250х250 включительно - 0,5 мм,
- от 300х100 (100х300) до 1000х1000 - 0,7 мм,
- от 350х1050 (1050х350) до 2000х2000 - 0,9 мм,
● С огнезащитным покрытием
- от 100х100 до 1000х1000 включительно - 0,8 мм,
- от 1000х1050 до 2000х2000 - 0,9 мм
Для круглых воздуховодов (использовать в исключительных случаях, при отсутствии возможности использовать прямоугольные воздуховоды) при диаметре:
● Без огнезащитного покрытия
- до Ø200 - 0,5 мм,
- от Ø250 до Ø450 - 0,6 мм.
- от Ø500 до Ø800 - 0,7 мм.
- от Ø900 до Ø1250 - 1,0 мм.
● С огнезащитным покрытием
- от Ø100 до Ø800- 0,8 мм,
- от Ø900 до Ø1250- 1,0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</si>
  <si>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t>Систему противодымной вентиляции проектировать, производить и монтировать унифицированными префабрицированными изделиями заводского изготовления.</t>
  </si>
  <si>
    <t>На проработке</t>
  </si>
  <si>
    <r>
      <rPr>
        <sz val="8"/>
        <color theme="1"/>
        <rFont val="Arial"/>
      </rPr>
      <t xml:space="preserve">Подпор воздуха с помощью осевых вентиляторов: 
- в лестничную клетку типа Н2 
- лифтовую шахту (для перевозки пожарных подразделений)
- нижнюю зону межквартирного коридора.
Дымоудаление из межквартирного коридора.
</t>
    </r>
    <r>
      <rPr>
        <sz val="8"/>
        <color theme="1"/>
        <rFont val="Arial"/>
      </rPr>
      <t xml:space="preserve">Вентиляторы дымоудаления и подпора воздуха установить в венткамере технического этажа (чердака). Воздухозабор и выброс обеспечить через решетки расположенные в стене технического этажа (чердака).
</t>
    </r>
    <r>
      <rPr>
        <sz val="8"/>
        <color theme="1"/>
        <rFont val="Arial"/>
      </rPr>
      <t xml:space="preserve">
Скорость движения удаляемого (выбрасываемого) воздуха не более 20м/с.</t>
    </r>
  </si>
  <si>
    <r>
      <rPr>
        <sz val="8"/>
        <color rgb="FF000000"/>
        <rFont val="Arial"/>
      </rPr>
      <t xml:space="preserve">Клапан в обслуживаемом помещении:
Нормально открытый клапан с электроприводом напряжением </t>
    </r>
    <r>
      <rPr>
        <sz val="8"/>
        <color rgb="FF000000"/>
        <rFont val="Arial"/>
      </rPr>
      <t xml:space="preserve">220В </t>
    </r>
    <r>
      <rPr>
        <sz val="8"/>
        <color rgb="FF000000"/>
        <rFont val="Arial"/>
      </rPr>
      <t>в общепромышленном исполнении с декоративной решеткой Ventart.
Производители: "Веза", "VKT", "Vents", "Неватом".</t>
    </r>
  </si>
  <si>
    <r>
      <rPr>
        <sz val="8"/>
        <color rgb="FF000000"/>
        <rFont val="Arial"/>
      </rPr>
      <t xml:space="preserve">Клапан у вентилятора:
Нормально открытый клапан с электроприводом напряжением </t>
    </r>
    <r>
      <rPr>
        <sz val="8"/>
        <color rgb="FF000000"/>
        <rFont val="Arial"/>
      </rPr>
      <t xml:space="preserve">220В </t>
    </r>
    <r>
      <rPr>
        <sz val="8"/>
        <color rgb="FF000000"/>
        <rFont val="Arial"/>
      </rPr>
      <t>в морозостойком исполнении c пределом огнестойкости.
Производители: "Веза", "VKT", "Vents", "Неватом".</t>
    </r>
  </si>
  <si>
    <r>
      <rPr>
        <sz val="8"/>
        <color rgb="FF000000"/>
        <rFont val="Arial"/>
      </rPr>
      <t xml:space="preserve">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
Толщина стенок прямоугольных воздуховодов и фасонных изделий при сечении:
● С огнезащитным покрытием
- от 100х100 до 1000х1000 включительно - 0,8 мм,
- от 1000х1050 до 2000х2000 - 0,9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</si>
  <si>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r>
      <rPr>
        <sz val="8"/>
        <color rgb="FF000000"/>
        <rFont val="Arial"/>
      </rPr>
      <t xml:space="preserve">Клапан в обслуживаемом помещении:
Нормально открытый клапан с электроприводом напряжением </t>
    </r>
    <r>
      <rPr>
        <sz val="8"/>
        <color rgb="FF000000"/>
        <rFont val="Arial"/>
      </rPr>
      <t xml:space="preserve">220В </t>
    </r>
    <r>
      <rPr>
        <sz val="8"/>
        <color rgb="FF000000"/>
        <rFont val="Arial"/>
      </rPr>
      <t xml:space="preserve">в общепромышленном исполнении.
Производители: "Веза", "VKT". </t>
    </r>
  </si>
  <si>
    <r>
      <rPr>
        <sz val="8"/>
        <color rgb="FF000000"/>
        <rFont val="Arial"/>
      </rPr>
      <t xml:space="preserve">Клапан у вентилятора:
Нормально открытый клапан с электроприводом напряжением </t>
    </r>
    <r>
      <rPr>
        <sz val="8"/>
        <color rgb="FF000000"/>
        <rFont val="Arial"/>
      </rPr>
      <t xml:space="preserve">220В </t>
    </r>
    <r>
      <rPr>
        <sz val="8"/>
        <color rgb="FF000000"/>
        <rFont val="Arial"/>
      </rPr>
      <t>в морозостойком исполнении c пределом огнестойкости EI120, EI150.
Производители: "Веза", "VKT", "Vents", "Неватом".</t>
    </r>
  </si>
  <si>
    <r>
      <rPr>
        <sz val="8"/>
        <color rgb="FF000000"/>
        <rFont val="Arial"/>
      </rPr>
      <t xml:space="preserve">Из листовой стали, класс герметичности "В" с покрытием комплексной огнезащитной системой. Предел огнестойкости согласно СП7.13130.
При необходимости теплоизолировать прошивными матами из минеральной ваты на основе горных пород базальтовой группы.
Толщина стенок прямоугольных воздуховодов и фасонных изделий при сечении:
● С огнезащитным покрытием
- от 100х100 до 2000х2000 - 1,0 мм.
</t>
    </r>
    <r>
      <rPr>
        <b/>
        <sz val="8"/>
        <color rgb="FF000000"/>
        <rFont val="Arial"/>
      </rPr>
      <t>Общие требования:</t>
    </r>
    <r>
      <rPr>
        <sz val="8"/>
        <color rgb="FF000000"/>
        <rFont val="Arial"/>
      </rPr>
      <t xml:space="preserve">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Производители:
Огнезащитное покрытие: ET Vent Тизол
Теплоизоляция: "ОГНЕМАТ ЭкоВент"</t>
    </r>
  </si>
  <si>
    <r>
      <rPr>
        <sz val="8"/>
        <color rgb="FF000000"/>
        <rFont val="Arial"/>
      </rPr>
      <t xml:space="preserve">Расположение блоков кондиционирования в соответствие с альбомом концепции проекта.
Установка за счет средств собственников помещений.
</t>
    </r>
    <r>
      <rPr>
        <b/>
        <sz val="8"/>
        <color rgb="FF000000"/>
        <rFont val="Arial"/>
      </rPr>
      <t xml:space="preserve">Для первых этажей: 
</t>
    </r>
    <r>
      <rPr>
        <sz val="8"/>
        <color rgb="FF000000"/>
        <rFont val="Arial"/>
      </rPr>
      <t xml:space="preserve">
Установка наружных блоков на летних помещениях (террасах). 
</t>
    </r>
    <r>
      <rPr>
        <b/>
        <sz val="8"/>
        <color rgb="FF000000"/>
        <rFont val="Arial"/>
      </rPr>
      <t xml:space="preserve">Для типовых и последних этажей: </t>
    </r>
    <r>
      <rPr>
        <sz val="8"/>
        <color rgb="FF000000"/>
        <rFont val="Arial"/>
      </rPr>
      <t xml:space="preserve">
Установка наружных блоков на летних помещениях (балконах, лоджиях, террасах). 
</t>
    </r>
    <r>
      <rPr>
        <sz val="8"/>
        <color rgb="FF434343"/>
        <rFont val="Arial"/>
      </rPr>
      <t>Показать трассировку фреонопровода от внутреннего до наружного блока.</t>
    </r>
    <r>
      <rPr>
        <sz val="8"/>
        <color rgb="FF000000"/>
        <rFont val="Arial"/>
      </rPr>
      <t xml:space="preserve">
В студиях и квартирах с одной спальней предусмотреть кондиционирование только одного помещения - гостиной.
В квартирах с двумя спальнями и более предусмотреть кондиционирование двух помещений - гостиной и мастер-спальни.
Количество наружных блоков принять равных количеству внутренних.
Габариты наружного блока принять (Ш*В*Г) 700*530*250 (монтажный зазор принять 100мм) для студий или квартир с одной спальней.
Длина фреонопровода от наружного блока до места установки внутреннего блока не длиннее 15 м. Перепад высоты между блоками не более 15 м.
Габариты наружного блока принять (Ш*В*Г) 990*965*350 (монтажный зазор принять 100мм) для квартир с двумя спальнями и более.
Суммарная длина фреонопроводов от наружного блока до места установки внутренних блоков не более 80 м. Перепад высоты между блоками не более 15 м.</t>
    </r>
  </si>
  <si>
    <r>
      <rPr>
        <sz val="8"/>
        <color rgb="FF000000"/>
        <rFont val="Arial"/>
      </rPr>
      <t xml:space="preserve">Предусмотреть один ИТП блочного типа для всего здания.
</t>
    </r>
    <r>
      <rPr>
        <b/>
        <sz val="8"/>
        <color rgb="FF000000"/>
        <rFont val="Arial"/>
      </rPr>
      <t>Подключение потребителей тепла:</t>
    </r>
    <r>
      <rPr>
        <sz val="8"/>
        <color rgb="FF000000"/>
        <rFont val="Arial"/>
      </rPr>
      <t xml:space="preserve">
</t>
    </r>
    <r>
      <rPr>
        <b/>
        <i/>
        <sz val="8"/>
        <color rgb="FF000000"/>
        <rFont val="Arial"/>
      </rPr>
      <t>Узел системы горячего водоснабжения:</t>
    </r>
    <r>
      <rPr>
        <sz val="8"/>
        <color rgb="FF000000"/>
        <rFont val="Arial"/>
      </rPr>
      <t xml:space="preserve">
Горячее водоснабжение - по независимой, закрытой двуступенчатой схеме, через пластинчатый теплообменник без резервирования. 
Температура воды в системе горячего водоснабжения 65°С; 
Теплообменник единный на жилую и коммерческую часть здания.
</t>
    </r>
    <r>
      <rPr>
        <b/>
        <i/>
        <sz val="8"/>
        <color rgb="FF000000"/>
        <rFont val="Arial"/>
      </rPr>
      <t>Узел системы отопления:</t>
    </r>
    <r>
      <rPr>
        <sz val="8"/>
        <color rgb="FF000000"/>
        <rFont val="Arial"/>
      </rPr>
      <t xml:space="preserve">
Системы отопления - подключается по независимой схеме через пластинчатый теплообменник с резервом 100%. 
Теплоноситель вода с параметрами 80/60 град.С.
Теплообменник единный на жилую и коммерческую часть здания.
</t>
    </r>
    <r>
      <rPr>
        <b/>
        <i/>
        <sz val="8"/>
        <color rgb="FF000000"/>
        <rFont val="Arial"/>
      </rPr>
      <t>Узел теплоснабжения вентиляции:</t>
    </r>
    <r>
      <rPr>
        <sz val="8"/>
        <color rgb="FF000000"/>
        <rFont val="Arial"/>
      </rPr>
      <t xml:space="preserve">
Присоединение системы вентиляции выполнить по зависимой схеме (приточные установки оборудовать смесительными узлами). 
Температура теплоносителя согласно техническим условиям на подключение.
</t>
    </r>
    <r>
      <rPr>
        <b/>
        <sz val="8"/>
        <color rgb="FF000000"/>
        <rFont val="Arial"/>
      </rPr>
      <t xml:space="preserve">Пластинчатый теплообменник:
</t>
    </r>
    <r>
      <rPr>
        <sz val="8"/>
        <color rgb="FF000000"/>
        <rFont val="Arial"/>
      </rPr>
      <t xml:space="preserve">Разборные пластинчатые теплообменники.
При расчете пластинчатого теплообменника учитывать фактический температурный график в данном районе строительства предусмотреть 20% запас поверхности нагрева. 
На каждом присоединении к пластинчатому теплообменнику после запорной арматуры предусмотреть штуцер с шаровым краном для промывки.
Листы подбора теплообменников приложить к проекту.
Производители: Ридан.
</t>
    </r>
    <r>
      <rPr>
        <b/>
        <sz val="8"/>
        <color rgb="FF000000"/>
        <rFont val="Arial"/>
      </rPr>
      <t xml:space="preserve">Насос:
</t>
    </r>
    <r>
      <rPr>
        <sz val="8"/>
        <color rgb="FF000000"/>
        <rFont val="Arial"/>
      </rPr>
      <t>Для системы отопления предусмотреть насос со 100% резервом и частотным регулированием.
Для системы ГВС предусмотреть насос без резервирования.
Листы подбора насосов приложить к проекту.
Листы подбора Регулирующего клапана приложить к проекту 
Производители: Согласно вендор листу.</t>
    </r>
  </si>
  <si>
    <r>
      <rPr>
        <b/>
        <sz val="8"/>
        <color rgb="FF000000"/>
        <rFont val="Arial"/>
      </rPr>
      <t>Трубопроводы:</t>
    </r>
    <r>
      <rPr>
        <sz val="8"/>
        <color rgb="FF000000"/>
        <rFont val="Arial"/>
      </rPr>
      <t xml:space="preserve">
Стальные водогазопроводные ГОСТ 3262-75 диаметром DN до 50 (диаметр и толщина стенки: 15х2,8; 20х2,8; 25х3,2; 32х3,2; 40х3,5) и стальные электросварные ГОСТ 10704-91 диаметром DN50 и более (диаметр и толщина стенки: 57х3,5; 76х3,5; 89х4,0; 108х4,0; 133х4,5; 159х4,5; 219х6,0).
С антикоррозионным покрытием для системы хозяйственно-питьевого водоснабжения.
Неоцинкованные без антикоррозионного покрытия для системы отопления.
Трубопроводы в тепловой изоляции - фольгированные цилиндры из минеральной ваты толщиной 30, 40, 50 мм в соответствии с температурным графиком теплоносителя (подтвердить расчетом).
Применять приварные отводы стальных трубопроводов под углами 15°/45°/90°;
Антикоррозийная защита: 
- Трубопроводы: краска БТ-177 ГОСТ 5631-79 в два слоя, грунт ГФ-021 ГОСТ 25129-82 в один слой. 
На трубопроводах применить неподвижные и скользящие опоры по серии 5.903-13.
</t>
    </r>
    <r>
      <rPr>
        <b/>
        <sz val="8"/>
        <color rgb="FF000000"/>
        <rFont val="Arial"/>
      </rPr>
      <t>Запорная и регулирующая арматура:</t>
    </r>
    <r>
      <rPr>
        <sz val="8"/>
        <color rgb="FF000000"/>
        <rFont val="Arial"/>
      </rPr>
      <t xml:space="preserve">
Тип присоединения и материал запорной и регулирующей арматуры: 
- Муфтовое соединение - DN15 - DN50 - латунь,
- Фланцевое соединение - DN65 и более - чугун.
Производители:
Изоляция: K-Flex, Armacell (вспененный каучук), Rockwool (цилиндры из минеральной ваты).
Трубопроводная арматура: </t>
    </r>
    <r>
      <rPr>
        <sz val="8"/>
        <color rgb="FF000000"/>
        <rFont val="Arial"/>
      </rPr>
      <t>LD</t>
    </r>
    <r>
      <rPr>
        <sz val="8"/>
        <color rgb="FF000000"/>
        <rFont val="Arial"/>
      </rPr>
      <t>, Ридан, ADL, Naval, Broen Ballomax.
Расширительные баки Reflex, ADL.</t>
    </r>
  </si>
  <si>
    <r>
      <rPr>
        <sz val="8"/>
        <color rgb="FF000000"/>
        <rFont val="Arial"/>
      </rPr>
      <t xml:space="preserve">- Теплосчетчики электронные с возможностью подключения системы диспетчеризации, ультразвуковыми расходомерами, фирмы </t>
    </r>
    <r>
      <rPr>
        <sz val="8"/>
        <color rgb="FF000000"/>
        <rFont val="Arial"/>
      </rPr>
      <t>"Питерфлоу"</t>
    </r>
    <r>
      <rPr>
        <sz val="8"/>
        <color rgb="FF000000"/>
        <rFont val="Arial"/>
      </rPr>
      <t xml:space="preserve"> «ВЗЛЕТ» / «ЛОГИКА» или аналог.
- Предусмотреть учет тепловой энергии:
на вводе в здании;
на линии подпитки системы отопления, подключенной по независимой схеме через ПТО. Подключение подпитки выполнить в обратный трубопровод тепловой сети, после расходомера по ходу движения теплоносителя.</t>
    </r>
  </si>
  <si>
    <r>
      <rPr>
        <sz val="8"/>
        <color rgb="FF000000"/>
        <rFont val="Arial"/>
      </rPr>
      <t xml:space="preserve">Расходомеры (электромагнитные) фирмы: "Теплоком" модель ПРЭМ, класс D или "Взлёт" модель ЭРСВЭ-440Л В, </t>
    </r>
    <r>
      <rPr>
        <sz val="8"/>
        <color rgb="FF000000"/>
        <rFont val="Arial"/>
      </rPr>
      <t>или аналог</t>
    </r>
  </si>
  <si>
    <r>
      <rPr>
        <sz val="8"/>
        <color rgb="FF000000"/>
        <rFont val="Arial"/>
      </rPr>
      <t>Термопреобразователи фирмы: "Взлёт" модель ТПС</t>
    </r>
    <r>
      <rPr>
        <sz val="8"/>
        <color rgb="FF000000"/>
        <rFont val="Arial"/>
      </rPr>
      <t xml:space="preserve">, </t>
    </r>
    <r>
      <rPr>
        <sz val="8"/>
        <color rgb="FF000000"/>
        <rFont val="Arial"/>
      </rPr>
      <t>ЗАО "Термико" модель КТПТР, типа</t>
    </r>
    <r>
      <rPr>
        <sz val="8"/>
        <color rgb="FF000000"/>
        <rFont val="Arial"/>
      </rPr>
      <t xml:space="preserve"> ТВ-7</t>
    </r>
    <r>
      <rPr>
        <sz val="8"/>
        <color rgb="FF000000"/>
        <rFont val="Arial"/>
      </rPr>
      <t xml:space="preserve"> </t>
    </r>
    <r>
      <rPr>
        <sz val="8"/>
        <color rgb="FF000000"/>
        <rFont val="Arial"/>
      </rPr>
      <t>или аналог</t>
    </r>
  </si>
  <si>
    <t>8.0.0</t>
  </si>
  <si>
    <r>
      <rPr>
        <sz val="8"/>
        <color theme="1"/>
        <rFont val="Arial"/>
      </rPr>
      <t xml:space="preserve">Системы:
</t>
    </r>
    <r>
      <rPr>
        <sz val="8"/>
        <color theme="1"/>
        <rFont val="Arial"/>
      </rPr>
      <t>- Пожарной сигнализации,</t>
    </r>
    <r>
      <rPr>
        <sz val="8"/>
        <color theme="1"/>
        <rFont val="Arial"/>
      </rPr>
      <t xml:space="preserve">
- Оповещения и управления эвакуацией,
- Охранно-тревожной сигнализации,
</t>
    </r>
    <r>
      <rPr>
        <sz val="8"/>
        <color theme="1"/>
        <rFont val="Arial"/>
      </rPr>
      <t>- Структурированные кабельные системы,</t>
    </r>
    <r>
      <rPr>
        <sz val="8"/>
        <color theme="1"/>
        <rFont val="Arial"/>
      </rPr>
      <t xml:space="preserve">
</t>
    </r>
    <r>
      <rPr>
        <sz val="8"/>
        <color theme="1"/>
        <rFont val="Arial"/>
      </rPr>
      <t xml:space="preserve">- Контроля управления доступом, </t>
    </r>
    <r>
      <rPr>
        <sz val="8"/>
        <color theme="1"/>
        <rFont val="Arial"/>
      </rPr>
      <t xml:space="preserve">
</t>
    </r>
    <r>
      <rPr>
        <sz val="8"/>
        <color theme="1"/>
        <rFont val="Arial"/>
      </rPr>
      <t>- Автоматизированного учета энергоресурсов (Телеметрия)</t>
    </r>
    <r>
      <rPr>
        <sz val="8"/>
        <color theme="1"/>
        <rFont val="Arial"/>
      </rPr>
      <t xml:space="preserve">
</t>
    </r>
    <r>
      <rPr>
        <sz val="8"/>
        <color theme="1"/>
        <rFont val="Arial"/>
      </rPr>
      <t>- Объединенной диспетчерской службы</t>
    </r>
    <r>
      <rPr>
        <sz val="8"/>
        <color theme="1"/>
        <rFont val="Arial"/>
      </rPr>
      <t xml:space="preserve">
Проектировать, производить и монтировать унифицированными префабрицированными изделиями заводского изготовления.</t>
    </r>
  </si>
  <si>
    <r>
      <rPr>
        <sz val="8"/>
        <color rgb="FF000000"/>
        <rFont val="Arial"/>
      </rPr>
      <t>В паркинге предусмотреть проектом адресную систему пожарной сигнализации.
Извещатели и устройства:
- извещатель пожарный дымовой адресный установить на перекрытии на расстоянии не менее 1 м от вентиляционных отверстий, а также с учетом минимально допустимых расстояний от выступающих строительных конструкций и инженерного оборудования; 
-извещатель пожарный ручной адресный установить на путях эвакуации на высоте 1,5 м от уровня чистого пола;
- устройство дистанционного пуска системы дымоудаления адресное установить в нише пожарного шкафа; 
- устройство дистанционного пуска системы автоматического пожаротушения адресное установить в нише пожарного шкафа;
- блок контроля и управления исполнительным устройством (огнезадерживающий клапан (ОЗК)/клапан дымоудаления(КДУ)</t>
    </r>
    <r>
      <rPr>
        <strike/>
        <sz val="8"/>
        <color rgb="FF000000"/>
        <rFont val="Arial"/>
      </rPr>
      <t>)</t>
    </r>
    <r>
      <rPr>
        <sz val="8"/>
        <color rgb="FF000000"/>
        <rFont val="Arial"/>
      </rPr>
      <t xml:space="preserve"> установить в непосредственной близости от клапана</t>
    </r>
    <r>
      <rPr>
        <strike/>
        <sz val="8"/>
        <color rgb="FF000000"/>
        <rFont val="Arial"/>
      </rPr>
      <t>;</t>
    </r>
    <r>
      <rPr>
        <sz val="8"/>
        <color rgb="FF000000"/>
        <rFont val="Arial"/>
      </rPr>
      <t xml:space="preserve">
Шкафы управления систем противодымной вентиляции и их обвязку предусмотреть в разделе ПС.
Разделить пространство паркинга на ЗКПС в соответствии с нормативными требованиями.
Оборудование:
- прибор приемно-контрольный и управления пожарный (ППКУП) предусмотреть для паркинга. ППКУП установить в электрощитовом помещении паркинга;
- резервированный источник питания предусмотреть</t>
    </r>
    <r>
      <rPr>
        <strike/>
        <sz val="8"/>
        <color rgb="FF000000"/>
        <rFont val="Arial"/>
      </rPr>
      <t xml:space="preserve"> </t>
    </r>
    <r>
      <rPr>
        <sz val="8"/>
        <color rgb="FF000000"/>
        <rFont val="Arial"/>
      </rPr>
      <t>в электрощитовом помещении паркинга. Емкость и количество определить проектом.
Способы прокладки кабеля:
- прокладку кабеля в пространстве паркинга выполнить открыто, в гофрированной трубе ПВХ d=20 мм</t>
    </r>
    <r>
      <rPr>
        <strike/>
        <sz val="8"/>
        <color rgb="FF000000"/>
        <rFont val="Arial"/>
      </rPr>
      <t>.</t>
    </r>
    <r>
      <rPr>
        <sz val="8"/>
        <color rgb="FF000000"/>
        <rFont val="Arial"/>
      </rPr>
      <t xml:space="preserve">
Кабель для системы пожарной сигнализации предусмотреть не распространяющий горение, огнестойкий типа - FRLS, в составе сертифицированной ОКЛ.
Производитель: согласно вендор листу.</t>
    </r>
  </si>
  <si>
    <t>8.1.7</t>
  </si>
  <si>
    <t>Система оповещения и управления эвакуацией людей при пожаре. МОП от 25 до 49 этажей (Рубеж)</t>
  </si>
  <si>
    <r>
      <rPr>
        <sz val="8"/>
        <color rgb="FF000000"/>
        <rFont val="Arial"/>
      </rPr>
      <t>В жилой части проектом предусмотреть систему оповещения и управления эвакуацией (СОУЭ) 3-его типа.
Способы оповещения людей о пожаре:
- речевой пожарный оповещатель, транслирующий специальный речевой сигнал и (или) текст.
Способы управления эвакуацией людей:
- световой пожарный оповещатель с эвакуационным знаком "Выход".
Оборудование:
- блок речевого оповещения для трансляции предварительно записанной речевой информации;
- предусмотреть проектом адресные релейные модули, включенные в общую систему СПС здания. Адресные релейные модули с контролем цепи от каждого реле до исполнительных устройств на обрыв и короткое замыкание во включенном и выключенном состоянии реле. Разместить в этажной нише СПЗ. Количество уточнить проектом.
Алгоритм работы системы при получении СОУЭ управляющего сигнала от системы пожарной сигнализации:
- разблокировка дверей на путях эвакуации, оснащенных электромагнитными замками системы контроля и управления доступом;
- включение речевых оповещателей и световых пожарных оповещателей (табло).
Расположение оповещателей:
- речевые пожарные оповещатели установить на перекрытии в зависимости от уровня звукового давления с учетом дизайн-проекта;
- световые указатели "Выход" установить над каждым эвакуационным выходом, на высоте 100 мм от верхнего края дверного проема.
Речевые пожарные оповещатели разместить в соответствии с акустическим расчетом.
Речевое оповещение МОП выполнить самостоятельной линией.
Способы прокладки кабеля:</t>
    </r>
    <r>
      <rPr>
        <strike/>
        <sz val="8"/>
        <color rgb="FF000000"/>
        <rFont val="Arial"/>
      </rPr>
      <t xml:space="preserve">
</t>
    </r>
    <r>
      <rPr>
        <sz val="8"/>
        <color rgb="FF000000"/>
        <rFont val="Arial"/>
      </rPr>
      <t>- прокладку кабеля от этажной ниши СПЗ до оповещателей выполнить в плите перекрытия потолка текущего этажа в тяжелой гофрированной трубе ПНД d=25 мм с протяжкой. 
Кабель для СОУЭ предусмотреть не распространяющий горение, огнестойкий типа - FRLS, в составе сертифицированной ОКЛ.
Производитель: согласно вендор листу.</t>
    </r>
  </si>
  <si>
    <r>
      <rPr>
        <sz val="8"/>
        <color rgb="FF000000"/>
        <rFont val="Arial"/>
      </rPr>
      <t xml:space="preserve">В паркинге предусмотреть систему оповещения и управления эвакуацией 3-его типа.
Способы оповещения людей о пожаре:
- речевой пожарный оповещатель, транслирующий специальный речевой сигнал и (или) текст.
Способы управления эвакуацией людей:
- световой пожарный оповещатель (световой указатель) с эвакуационным знаком "Выход".
Оборудование:
- блок речевого оповещения для трансляции предварительно записанной речевой информации;
- предусмотреть проектом адресные релейные модули, включенные в общую систему СПС здания. Адресные релейные модули с контролем цепи от каждого реле до исполнительных устройств на обрыв и короткое замыкание во включенном и выключенном состоянии реле. Количество уточнить проектом.
Алгоритм работы системы при получении СОУЭ управляющего сигнала от системы пожарной сигнализации:
- разблокировка дверей на путях эвакуации, оснащенных электромагнитными замками системы контроля и управления доступом;
- включение речевых оповещателей и световых пожарных оповещателей (табло).
Расположение оповещателей:
- речевые пожарные оповещатели установить на стенах и колоннах паркинга на высоте 150 мм от перекрытия;
- световые указатели "Выход" установить над каждым эвакуационным выходом из паркинга, на высоте 100 мм от верхнего края дверного проема.
</t>
    </r>
    <r>
      <rPr>
        <strike/>
        <sz val="8"/>
        <color rgb="FF000000"/>
        <rFont val="Arial"/>
      </rPr>
      <t xml:space="preserve">
</t>
    </r>
    <r>
      <rPr>
        <sz val="8"/>
        <color rgb="FF000000"/>
        <rFont val="Arial"/>
      </rPr>
      <t>Речевые пожарные оповещатели разместить в соответствии с акустическим расчетом.
Способы прокладки кабеля:
- прокладку кабеля в пространстве паркинга выполнить открыто, гофрированной трубе ПВХ d=20 мм по негорючему основанию. 
Кабель для СОУЭ предусмотреть не распространяющий горение, огнестойкий типа - FRLS, в составе сертифицированной ОКЛ.
Производитель: согласно вендор листу.</t>
    </r>
  </si>
  <si>
    <r>
      <rPr>
        <sz val="8"/>
        <color rgb="FF000000"/>
        <rFont val="Arial"/>
      </rPr>
      <t xml:space="preserve">В помещении сетей связи предусмотреть шкафы телекоммуникационные магистральные (ШТМ) 19” высотой 42U 600х1000 (шхг). Количество ШТМ определить проектом.
Ввод НСС выполнить оптическим кабелем ОК-НРС G657.A или иным по ТУ оператора связи количеством оптических волокон не менее 8. Кабель НСС завести на оптическую патч-панель ШТМ абонентской части.
Предусмотреть деление СКС на абонентскую и служебную части.
В абонентской части предусмотреть:
- кроссовый шкаф 42U (ШТМ), укомплектованный оптическими кроссами, емкостью не менее количества абонентов в квартале;
- магистральные линии от ШТМ до оптических кроссов в секциях. Магистральные линии выполнить кабелем типа ОК-НРС G657.A емкостью не менее количества абонентов в секции. Для каждой секции предусмотреть самостоятельный магистральный кабель;
- оптические распределительные коробки. Установить в этажной нише межквартирного коридора;
- абонентский дроп кабель от оптической распределительной коробки до каждой квартиры. Дроп-кабель типа ОБК-С нг(A)-HF 1 G.657.A1. Ввод кабеля в квартиру выполнить через дверной проём.
- розетку оптическую абонентскую. Установить в торце входного дверного проема для подключения абонентского терминала, устанавливаемого собственником. Отметка низа оптической розетки соответствует верхнему краю дверного проема;
- розетку электрическую ~220В. Предусмотреть в разделе ЭОМ. 
Для каждого коммерческого помещения предусмотреть установку оптической абонентской розетки без адаптера. Абонентскую розетку установить на стене, на высоте 2,5 м от уровня чистого пола. До абонентской розетки проложить самостоятельный дроп кабель типа ОБК-С нг(A)-HF 1 G.657.A1 от оптической распределительной коробки.
В служебной части предусмотреть:
- отдельный шкаф телекоммуникационный 42U (ШТМ). Для возможности подключения оборудования СБ к сети интернет, предусмотреть оптическую линию связи со шкафом ШТМ абонентской части;
- магистральные линии от ШТМ до оптических кроссов в секционных шкафах выполнить кабелем типа ОК-НРС G657.A, емкостью не менее 2 ОВ. Магистральную линию связи организовать по топологии "кольцо";
- для каждой секции предусмотреть шкаф телекоммуникационный распределительный систем безопасности (ШТРСБ) 19" высотой 15U 600х650 мм для размещения оборудования систем контроля и управления доступом (СКУД), систем видеонаблюдения (СВН), систем объединенной диспетчерской службы (ОДС). В ШТРСБ установить стоечные оптические кроссы (количество уточнить проектом), предусмотреть установку коммутаторов и ИБП систем безопасности.
Способы прокладки кабеля:
- по техническому подполью кабели проложить в металлическом листовом неперфорированном лотке, совместно с кабелями других слаботочных систем (кроме ПС);
- вертикальную стояковую разводку выполнить в этажной нише межквартирного коридора, совместной для сетей ЭЛ и СС.;
- прокладку кабеля от этажной ниши до оптической розетки квартирной выполнить в тяжелой гофрированной трубе ПНД d=25 мм с протяжкой в стяжке пола текущего этажа;
- прокладку кабеля в пространстве коммерческих помещений выполнить открыто, в гофрированной трубе ПВХ d=20 мм, с креплением к стенам и перекрытиям.
</t>
    </r>
    <r>
      <rPr>
        <b/>
        <sz val="8"/>
        <color rgb="FF000000"/>
        <rFont val="Arial"/>
      </rPr>
      <t>Wi-Fi двор:</t>
    </r>
    <r>
      <rPr>
        <sz val="8"/>
        <color rgb="FF000000"/>
        <rFont val="Arial"/>
      </rPr>
      <t xml:space="preserve">
Для двора жилого комплекса устанавливаются уличные беспроводные точки доступа с питанием по PoE DAP-3310/RU/B или аналог. Установка точек доступа Wi-Fi, а также прокладка сетей до них проектом не предусматривается.
Предоставление абонентам услуг телевизионного вещания/ интернет/ телефония предоставляется после заключения договора между абонентом и оператором связи.
Структурные схемы обязательны. Структурные схемы, схему расстановки оборудования и марку оборудования дополнительно согласовать с Заказчиком.</t>
    </r>
    <r>
      <rPr>
        <strike/>
        <sz val="8"/>
        <color rgb="FF000000"/>
        <rFont val="Arial"/>
      </rPr>
      <t xml:space="preserve">
</t>
    </r>
    <r>
      <rPr>
        <sz val="8"/>
        <color rgb="FF000000"/>
        <rFont val="Arial"/>
      </rPr>
      <t>Производитель: согласно вендор листу.</t>
    </r>
  </si>
  <si>
    <r>
      <rPr>
        <sz val="8"/>
        <color rgb="FF000000"/>
        <rFont val="Arial"/>
      </rPr>
      <t xml:space="preserve">Выполнить в проекте систему контроля и управления доступом (СКУД) на базе IP-видеодомофонии.
Точки прохода: 
- тамбур входных групп с улицы; 
- тамбур входных групп со двора;
- выходы из паркинга в тамбур-шлюзы жилых секций; 
- калитка рампы паркинга; 
- калитка входа на территорию двора; 
- лестничная клетка в техническое подполье со двора/улицы;
- лестничная клетка с жилых этажей в тамбур входной группы (при наличии);
- помещения колясочных;
- помещения велосипедных;
- ворота паркинга открытие/закрытие осуществляется по индивидуальной вызывной панели от дистанционного пульта, установлено в помещении Диспетчерской.
Устройства:
- многоабонентская вызывная видеопанель с функцией распознавания лиц. Установить в тамбурах входных групп со двора/улицы на высоте 1,4 м от уровня чистого пола;
- считыватель бесконтактных карт. Установить на высоте 1,2 м от уровня чистого пола со стороны дверной ручки снаружи контролируемых помещений;
- кнопка выхода встраиваемая бесконтактная. Установить на высоте 0,9 м от уровня чистого пола со стороны дверной ручки внутри контролируемых помещений;
- электромагнитный замок со встроенным датчиком положения якоря;
- извещатель магнитоконтактный. Устанавливается на малой створке двери, не оборудованной электромагнитным замком;
- абонентская аудиотрубка. Устанавливается в прихожей квартиры на высоте 1,5 м.
</t>
    </r>
    <r>
      <rPr>
        <strike/>
        <sz val="8"/>
        <color rgb="FF000000"/>
        <rFont val="Arial"/>
      </rPr>
      <t xml:space="preserve">
</t>
    </r>
    <r>
      <rPr>
        <sz val="8"/>
        <color rgb="FF000000"/>
        <rFont val="Arial"/>
      </rPr>
      <t>Организация системы:
Топология построения системы - "дерево".
Головное оборудование для системы СКУД предусмотреть в комплекте СКС (коммутаторы, оптические кроссы и тд).</t>
    </r>
    <r>
      <rPr>
        <strike/>
        <sz val="8"/>
        <color rgb="FF000000"/>
        <rFont val="Arial"/>
      </rPr>
      <t xml:space="preserve">
</t>
    </r>
    <r>
      <rPr>
        <sz val="8"/>
        <color rgb="FF000000"/>
        <rFont val="Arial"/>
      </rPr>
      <t>В этажной нише межквартирного коридора установить этажный PoE-коммутатор. Количество портов этажного коммутатора принять по максимальному количеству квартир на этаже - 8, в случае большего количества квартир на этаже установить второй этажный коммутатор. Этажные коммутаторы подключить последовательно по интерфейсу Ethernet кабелем типа F/UTP Cat.5e от секционного коммутатора (учтено в СКС), установленного в ШТРСБ.
От этажного коммутатора в каждую квартиру проложить кабель типа F/UTP Cat.5e для подключения абонентской аудиотрубки по технологии PoE (интерфейс + питание).
При пожаре предусмотреть разблокировку электромагнитных замков СКУД по сигналу системы пожарной сигнализации в целях беспрепятственной и безопасной эвакуации.
Способы прокладки кабеля:
- по техническому подполью кабели проложить в металлическом листовом неперфорированном лотке совместно с кабелями других слаботочных систем;
- вертикальную стояковую разводку выполнить в этажной нише межквартирного коридора, совместной для прокладки сетей ЭЛ и СС, с креплением к лестничному лотку;
- от этажной ниши до квартиры кабель проложить в тяжелой гофрированной трубе ПВХ d=25 мм с протяжкой в стяжке текущего этажа по негорючему основанию (отдельно от кабеля СКС);
- к устройствам СКУД, расположенным в МОП 1го этажа, кабель проложить открыто, в гофрированной трубе ПВХ d=20 мм, с креплением к стенам и перекрытиям, в пространстве подвесного/подшивного потолка. Опуски выполнить скрыто, в штрабе стены, в гофрированной трубе ПВХ d=20 мм, либо скрыто, в отделочном слое.
- к устройствам СКУД, расположенным в МОП технического подполья, кабель проложить открыто в гофрированной трубе ПВХ d=20 мм, с креплением к стенам и перекрытиям. Опуски выполнить скрыто, в штрабе стены в гофрированной ПВХ-трубе 20 мм, либо скрыто в отделочном слое.
Структурные схемы обязательны. Согласование с Заказчиком дополнительно. 
Производители: согласно вендор листу.</t>
    </r>
  </si>
  <si>
    <t>С50, Б50, Б75</t>
  </si>
  <si>
    <t>10.1 Отделка</t>
  </si>
  <si>
    <t>Пол чистовой МОП лифтовой холл, тамбур, колясочная, велосипедная - 1 этаж</t>
  </si>
  <si>
    <r>
      <rPr>
        <sz val="8"/>
        <color rgb="FF000000"/>
        <rFont val="Arial"/>
      </rPr>
      <t xml:space="preserve">Финишная отделка керамогранит на клею 20 мм
Материалы отделки пола:
</t>
    </r>
    <r>
      <rPr>
        <sz val="8"/>
        <color rgb="FF93C47D"/>
        <rFont val="Arial"/>
      </rPr>
      <t>Тип</t>
    </r>
    <r>
      <rPr>
        <sz val="8"/>
        <color rgb="FF000000"/>
        <rFont val="Arial"/>
      </rPr>
      <t xml:space="preserve"> </t>
    </r>
    <r>
      <rPr>
        <sz val="8"/>
        <color rgb="FF93C47D"/>
        <rFont val="Arial"/>
      </rPr>
      <t xml:space="preserve">Керамогранит 10мм, Размер 600х1200, Производитель Kerama marazzi. 
Артикул Про Стоун DD500400R темный серый , Затирка Ceresit CE40 №16 графит
Тип... Размер... Производитель... Артикул... Затирка...
Тип... Размер... Производитель... Артикул... Затирка...
</t>
    </r>
    <r>
      <rPr>
        <sz val="8"/>
        <color rgb="FF000000"/>
        <rFont val="Arial"/>
      </rPr>
      <t>Правила раскладки керамогранита см.Буклет коллекции</t>
    </r>
  </si>
  <si>
    <t>10.1.2</t>
  </si>
  <si>
    <t>Плинтус МОП -1 этаж</t>
  </si>
  <si>
    <r>
      <rPr>
        <sz val="8"/>
        <color rgb="FF000000"/>
        <rFont val="Arial"/>
      </rPr>
      <t>Плинтус на клею 12 мм
Плинтус:</t>
    </r>
    <r>
      <rPr>
        <sz val="8"/>
        <color rgb="FF93C47D"/>
        <rFont val="Arial"/>
      </rPr>
      <t xml:space="preserve">
Тип Керамогранит 10мм, Размер 95х600, Производитель Kerama marazzi. 
Артикул Про Стоун темный серый, Затирка Ceresit CE40 №16 графит
Тип... Размер... Производитель... Артикул... Затирка...
Тип... Размер... Производитель... Артикул... Затирка...
</t>
    </r>
    <r>
      <rPr>
        <sz val="8"/>
        <color rgb="FF000000"/>
        <rFont val="Arial"/>
      </rPr>
      <t>Правила раскладки керамогранита см.Буклет коллекции</t>
    </r>
  </si>
  <si>
    <t>10.1.3</t>
  </si>
  <si>
    <t>Пол чистовой МОП, Тамбур, холл, лифтовой холл, коридор, первый этаж</t>
  </si>
  <si>
    <r>
      <rPr>
        <sz val="8"/>
        <color rgb="FF000000"/>
        <rFont val="Arial"/>
      </rPr>
      <t xml:space="preserve">Финишная отделка керамогранит на клею 20 мм
Материалы отделки пола:
</t>
    </r>
    <r>
      <rPr>
        <sz val="8"/>
        <color rgb="FF93C47D"/>
        <rFont val="Arial"/>
      </rPr>
      <t>Тип</t>
    </r>
    <r>
      <rPr>
        <sz val="8"/>
        <color rgb="FF000000"/>
        <rFont val="Arial"/>
      </rPr>
      <t xml:space="preserve"> </t>
    </r>
    <r>
      <rPr>
        <sz val="8"/>
        <color rgb="FF93C47D"/>
        <rFont val="Arial"/>
      </rPr>
      <t xml:space="preserve">Керамогранит 10мм, Размер 600х1200, Производитель Kerama marazzi. 
Артикул Про Стоун DD500400R темный серый , Затирка Ceresit CE40 №16 графит
Тип... Размер... Производитель... Артикул... Затирка...
Тип... Размер... Производитель... Артикул... Затирка...
</t>
    </r>
    <r>
      <rPr>
        <sz val="8"/>
        <color rgb="FF000000"/>
        <rFont val="Arial"/>
      </rPr>
      <t>Правила раскладки керамогранита см.Буклет коллекции</t>
    </r>
  </si>
  <si>
    <t>10.1.4</t>
  </si>
  <si>
    <t>Плинтус МОП 1 этаж</t>
  </si>
  <si>
    <r>
      <rPr>
        <sz val="8"/>
        <color rgb="FF000000"/>
        <rFont val="Arial"/>
      </rPr>
      <t>Плинтус на клею 12 мм
Плинтус:</t>
    </r>
    <r>
      <rPr>
        <sz val="8"/>
        <color rgb="FF93C47D"/>
        <rFont val="Arial"/>
      </rPr>
      <t xml:space="preserve">
Тип Керамогранит 10мм, Размер 95х600, Производитель Kerama marazzi. 
Артикул Про Стоун темный серый, Затирка Ceresit CE40 №16 графит
Тип... Размер... Производитель... Артикул... Затирка...
Тип... Размер... Производитель... Артикул... Затирка...</t>
    </r>
  </si>
  <si>
    <t>10.1.5</t>
  </si>
  <si>
    <t>Пол чистовой МОП. Лифтовой холл, типовой этаж</t>
  </si>
  <si>
    <r>
      <rPr>
        <sz val="8"/>
        <color rgb="FF000000"/>
        <rFont val="Arial"/>
      </rPr>
      <t xml:space="preserve">Финишная отделка керамогранитом
Материалы отделки пола:
</t>
    </r>
    <r>
      <rPr>
        <sz val="8"/>
        <color rgb="FF93C47D"/>
        <rFont val="Arial"/>
      </rPr>
      <t>Тип</t>
    </r>
    <r>
      <rPr>
        <sz val="8"/>
        <color rgb="FF000000"/>
        <rFont val="Arial"/>
      </rPr>
      <t xml:space="preserve"> </t>
    </r>
    <r>
      <rPr>
        <sz val="8"/>
        <color rgb="FF93C47D"/>
        <rFont val="Arial"/>
      </rPr>
      <t>Керамогранит 10мм, Размер 600х1200, Производитель Kerama marazzi. 
Артикул Про Стоун DD500400R темный серый , Затирка Ceresit CE40 №16 графит
Тип... Размер... Производитель... Артикул... Затирка...
Тип... Размер... Производитель... Артикул... Затирка...</t>
    </r>
    <r>
      <rPr>
        <sz val="8"/>
        <color rgb="FF000000"/>
        <rFont val="Arial"/>
      </rPr>
      <t xml:space="preserve">
</t>
    </r>
  </si>
  <si>
    <t>10.1.6</t>
  </si>
  <si>
    <t>Плинтус МОП. Лифтовой холл, типовой этаж</t>
  </si>
  <si>
    <r>
      <rPr>
        <sz val="8"/>
        <color rgb="FF000000"/>
        <rFont val="Arial"/>
      </rPr>
      <t>Плинтус на клею 12 мм
Плинтус:</t>
    </r>
    <r>
      <rPr>
        <sz val="8"/>
        <color rgb="FF93C47D"/>
        <rFont val="Arial"/>
      </rPr>
      <t xml:space="preserve">
Тип Керамогранит 10мм, Размер 95х600, Производитель Kerama marazzi. 
Артикул Про Стоун темный серый, Затирка Ceresit CE40 №16 графит
Тип... Размер... Производитель... Артикул... Затирка...
Тип... Размер... Производитель... Артикул... Затирка...</t>
    </r>
  </si>
  <si>
    <t>10.1.7</t>
  </si>
  <si>
    <t>Пол чистовой МОП. Коридор, типовой этаж</t>
  </si>
  <si>
    <r>
      <rPr>
        <sz val="8"/>
        <color rgb="FF000000"/>
        <rFont val="Arial"/>
      </rPr>
      <t>Финишная отделка керамогранитом
Материалы отделки пола:</t>
    </r>
    <r>
      <rPr>
        <sz val="8"/>
        <color rgb="FF93C47D"/>
        <rFont val="Arial"/>
      </rPr>
      <t xml:space="preserve">
Тип Керамогранит 10мм, Размер 600х1200, Производитель Kerama marazzi. 
Артикул Роверелла DL500600R беж светлый , Затирка Ceresit CE40 №43 багамы
Тип... Размер... Производитель... Артикул... Затирка...
Тип... Размер... Производитель... Артикул... Затирка...</t>
    </r>
  </si>
  <si>
    <t>10.1.8</t>
  </si>
  <si>
    <t>Плинтус МОП. Коридор, типовой этаж</t>
  </si>
  <si>
    <r>
      <rPr>
        <sz val="8"/>
        <color rgb="FF000000"/>
        <rFont val="Arial"/>
      </rPr>
      <t>Плинтус на клею 12 мм
Плинтус:</t>
    </r>
    <r>
      <rPr>
        <sz val="8"/>
        <color rgb="FF93C47D"/>
        <rFont val="Arial"/>
      </rPr>
      <t xml:space="preserve">
Тип Керамогранит 10мм, Размер 95х600, Производитель Kerama marazzi. 
Артикул Роверелла беж светлый , Затирка Ceresit CE40 №43 багамы
Тип... Размер... Производитель... Артикул... Затирка...
Тип... Размер... Производитель... Артикул... Затирка...</t>
    </r>
  </si>
  <si>
    <t>10.1.9</t>
  </si>
  <si>
    <t>Пол чистовой МОП. Лестничная площадка и лестничный марш с финишной отделкой, - 1 этаж, 1 этаж,последний этаж</t>
  </si>
  <si>
    <r>
      <rPr>
        <sz val="8"/>
        <color rgb="FF000000"/>
        <rFont val="Arial"/>
      </rPr>
      <t xml:space="preserve">Финишная отделка керамогранитом на клею 20 мм
Материалы отделки пола:
</t>
    </r>
    <r>
      <rPr>
        <sz val="8"/>
        <color rgb="FF93C47D"/>
        <rFont val="Arial"/>
      </rPr>
      <t>Тип Керамогранит 10мм, Размер 600х1200, Производитель Kerama marazzi. 
Артикул Про Стоун DD500400R темный серый , Затирка Ceresit CE40 №16 графит
Тип... Размер... Производитель... Артикул... Затирка...
Тип... Размер... Производитель... Артикул... Затирка...</t>
    </r>
  </si>
  <si>
    <t>10.1.10</t>
  </si>
  <si>
    <t>Плинтус МОП. - 1 этаж, 1 этаж,последний этаж</t>
  </si>
  <si>
    <r>
      <rPr>
        <sz val="8"/>
        <color rgb="FF000000"/>
        <rFont val="Arial"/>
      </rPr>
      <t>Плинтус на клею 12 мм
Плинтус:</t>
    </r>
    <r>
      <rPr>
        <sz val="8"/>
        <color rgb="FF93C47D"/>
        <rFont val="Arial"/>
      </rPr>
      <t xml:space="preserve">
Тип Керамогранит 10мм, Размер 95х600, Производитель Kerama marazzi. 
Артикул Роверелла беж светлый , Затирка Ceresit CE40 №43 багамы
Тип... Размер... Производитель... Артикул... Затирка...
Тип... Размер... Производитель... Артикул... Затирка...</t>
    </r>
  </si>
  <si>
    <t>10.1.11</t>
  </si>
  <si>
    <t>Стены чистовые МОП лифтовой холл,-1 этаж</t>
  </si>
  <si>
    <r>
      <rPr>
        <sz val="8"/>
        <color rgb="FF000000"/>
        <rFont val="Arial"/>
      </rPr>
      <t xml:space="preserve">Финишная отделка керамогранитом на клею 20 мм
Материал отделки стены:
</t>
    </r>
    <r>
      <rPr>
        <sz val="8"/>
        <color rgb="FF93C47D"/>
        <rFont val="Arial"/>
      </rPr>
      <t xml:space="preserve">Тип Керамогранит 10мм, Размер 600х1200, Производитель Kerama marazzi. 
Артикул Про Стоун DD500400R темный серый , Затирка Ceresit CE40 №16 графит
Тип... Размер... Производитель... Артикул... Затирка...
Тип... Размер... Производитель... Артикул... Затирка...
</t>
    </r>
    <r>
      <rPr>
        <sz val="8"/>
        <color rgb="FF000000"/>
        <rFont val="Arial"/>
      </rPr>
      <t xml:space="preserve">
Окраска стены
Подготовка к окраске стены:
Класс поверхности штукатурки К4
Материал отделки стены:
</t>
    </r>
    <r>
      <rPr>
        <sz val="8"/>
        <color rgb="FF93C47D"/>
        <rFont val="Arial"/>
      </rPr>
      <t xml:space="preserve">Тип Покраска Номер цвета NCS S1502-Y50R Матовость Глубокоматовая
Тип Покраска Номер цвета NCS S 3005 Y50R Матовость Глубокоматовая
Тип...Номер цвета... Матовость...
Тип...Номер цвета... Матовость...
</t>
    </r>
    <r>
      <rPr>
        <sz val="8"/>
        <color rgb="FF000000"/>
        <rFont val="Arial"/>
      </rPr>
      <t xml:space="preserve">Облицовка стены панелями (МДФ ЛДСП, ГСП)
Материал облицовки:
</t>
    </r>
    <r>
      <rPr>
        <sz val="8"/>
        <color rgb="FF93C47D"/>
        <rFont val="Arial"/>
      </rPr>
      <t xml:space="preserve">Тип Рейки на основании, Производитель Egger, Артикул Орех Пацифик табак
H37ST1002 
Тип Основание для рейки, Производитель Egger, Артикул Чёрный графит
U961 ST2
</t>
    </r>
    <r>
      <rPr>
        <sz val="8"/>
        <color rgb="FF000000"/>
        <rFont val="Arial"/>
      </rPr>
      <t>Правила использования покрытий см.Буклет коллекции</t>
    </r>
  </si>
  <si>
    <t>10.1.12</t>
  </si>
  <si>
    <t>Стены чистовые МОП холл, - 1 этаж</t>
  </si>
  <si>
    <r>
      <rPr>
        <sz val="8"/>
        <color rgb="FF000000"/>
        <rFont val="Arial"/>
      </rPr>
      <t xml:space="preserve">Окраска стены
Подготовка к окраске стены:
Класс поверхности штукатурки К4
Материал отделки стены:
</t>
    </r>
    <r>
      <rPr>
        <sz val="8"/>
        <color rgb="FF93C47D"/>
        <rFont val="Arial"/>
      </rPr>
      <t>Тип Покраска Номер цвета NCS S1502-Y50R Матовость Глубокоматовая
Тип Покраска Номер цвета NCS S 3005 Y50R Матовость Глубокоматовая
Тип...Номер цвета... Матовость...
Тип...Номер цвета... Матовость...</t>
    </r>
    <r>
      <rPr>
        <sz val="8"/>
        <color rgb="FF000000"/>
        <rFont val="Arial"/>
      </rPr>
      <t xml:space="preserve">
Правила использования покрытий см.Буклет коллекции</t>
    </r>
  </si>
  <si>
    <t>10.1.13</t>
  </si>
  <si>
    <t>Стены чистовые МОП колясочная, велосипедная</t>
  </si>
  <si>
    <r>
      <rPr>
        <sz val="8"/>
        <color rgb="FF000000"/>
        <rFont val="Arial"/>
      </rPr>
      <t xml:space="preserve">Финишная отделка керамогранитом на клею 20 мм
Материал отделки стены:
</t>
    </r>
    <r>
      <rPr>
        <sz val="8"/>
        <color rgb="FF93C47D"/>
        <rFont val="Arial"/>
      </rPr>
      <t>Тип Керамогранит 10мм, Размер 600х1200, Производитель Kerama marazzi. 
Артикул Про Стоун DD500400R темный серый , Затирка Ceresit CE40 №16 графит
Тип Керамогранит 10мм, Размер 95х600, Производитель Kerama marazzi. 
Артикул Роверелла беж светлый , Затирка Ceresit CE40 №43 багамы
Тип... Размер... Производитель... Артикул... Затирка...
Тип... Размер... Производитель... Артикул... Затирка...</t>
    </r>
    <r>
      <rPr>
        <sz val="8"/>
        <color rgb="FF000000"/>
        <rFont val="Arial"/>
      </rPr>
      <t xml:space="preserve">
Окраска стены
Подготовка к окраске стены:
Класс поверхности штукатурки К4
Материал отделки стены:
</t>
    </r>
    <r>
      <rPr>
        <sz val="8"/>
        <color rgb="FF93C47D"/>
        <rFont val="Arial"/>
      </rPr>
      <t xml:space="preserve">Тип Покраска Номер цвета NCS S1502-Y50R Матовость Глубокоматовая
Тип Покраска Номер цвета NCS S 3005 Y50R Матовость Глубокоматовая
Тип...Номер цвета... Матовость...
Тип...Номер цвета... Матовость...
</t>
    </r>
    <r>
      <rPr>
        <sz val="8"/>
        <color rgb="FF000000"/>
        <rFont val="Arial"/>
      </rPr>
      <t xml:space="preserve">Уголки обрамляющие для керамогранита и покраски
Материал обрамления:
</t>
    </r>
    <r>
      <rPr>
        <sz val="8"/>
        <color rgb="FF93C47D"/>
        <rFont val="Arial"/>
      </rPr>
      <t xml:space="preserve">Тип L-профиль Артикул ПК 01-12 Лука Цвет 01л анод серебро
Тип ... Артикул... Цвет...
</t>
    </r>
    <r>
      <rPr>
        <sz val="8"/>
        <color rgb="FF000000"/>
        <rFont val="Arial"/>
      </rPr>
      <t>Правила использования покрытий см.Буклет коллекции</t>
    </r>
  </si>
  <si>
    <t>10.1.14</t>
  </si>
  <si>
    <t>Стены чистовые МОП, Холл, лифтовой холл, первый этаж</t>
  </si>
  <si>
    <r>
      <rPr>
        <sz val="8"/>
        <color rgb="FF000000"/>
        <rFont val="Arial"/>
      </rPr>
      <t xml:space="preserve">Финишная отделка керамогранитом на клею 20 мм
Материал отделки стены:
</t>
    </r>
    <r>
      <rPr>
        <sz val="8"/>
        <color rgb="FF93C47D"/>
        <rFont val="Arial"/>
      </rPr>
      <t>Тип Керамогранит 10мм, Размер 600х1200, Производитель Kerama marazzi. 
Артикул Про Стоун DD500400R темный серый , Затирка Ceresit CE40 №16 графит
Тип Керамогранит 10мм, Размер 95х600, Производитель Kerama marazzi. 
Артикул Роверелла беж светлый , Затирка Ceresit CE40 №43 багамы
Тип... Размер... Производитель... Артикул... Затирка...
Тип... Размер... Производитель... Артикул... Затирка...</t>
    </r>
    <r>
      <rPr>
        <sz val="8"/>
        <color rgb="FF000000"/>
        <rFont val="Arial"/>
      </rPr>
      <t xml:space="preserve">
Окраска стены
Подготовка к окраске стены:
Класс поверхности штукатурки К4
Материал отделки стены:
</t>
    </r>
    <r>
      <rPr>
        <sz val="8"/>
        <color rgb="FF93C47D"/>
        <rFont val="Arial"/>
      </rPr>
      <t xml:space="preserve">Тип Покраска Номер цвета NCS S1502-Y50R Матовость Глубокоматовая
Тип Покраска Номер цвета NCS S 3005 Y50R Матовость Глубокоматовая
Тип Покраска Номер цвета NCS S 7500 N Матовость Глубокоматовая
Тип...Номер цвета... Матовость...
Тип...Номер цвета... Матовость...
</t>
    </r>
    <r>
      <rPr>
        <sz val="8"/>
        <color rgb="FF000000"/>
        <rFont val="Arial"/>
      </rPr>
      <t xml:space="preserve">Облицовка стены панелями (МДФ ЛДСП, ГСП)
Материал облицовки:
</t>
    </r>
    <r>
      <rPr>
        <sz val="8"/>
        <color rgb="FF93C47D"/>
        <rFont val="Arial"/>
      </rPr>
      <t xml:space="preserve">Тип Рейки на основании, Производитель Egger, Артикул Орех Пацифик табак
H37ST1002 
Тип Основание для рейки, Производитель Egger, Артикул Чёрный графит
U961 ST2
Тип Панели, Производитель Egger, Артикул Орех Пацифик табак
H37ST1002 
</t>
    </r>
    <r>
      <rPr>
        <sz val="8"/>
        <color rgb="FF000000"/>
        <rFont val="Arial"/>
      </rPr>
      <t xml:space="preserve">Уголки обрамляющие для керамогранита и покраски
Материал обрамления:
</t>
    </r>
    <r>
      <rPr>
        <sz val="8"/>
        <color rgb="FF93C47D"/>
        <rFont val="Arial"/>
      </rPr>
      <t xml:space="preserve">Тип L-профиль Артикул ПК 01-12 Лука Цвет 01л анод серебро
Тип Уголок Артикул Уп 04-27 Лука Цвет 01л анод серебро
Тип ... Артикул... Цвет...
</t>
    </r>
    <r>
      <rPr>
        <sz val="8"/>
        <color rgb="FF000000"/>
        <rFont val="Arial"/>
      </rPr>
      <t>Правила использования покрытий см.Буклет коллекции</t>
    </r>
  </si>
  <si>
    <t>10.1.15</t>
  </si>
  <si>
    <t>Стены чистовые МОП. Входной тамбур, первый этаж</t>
  </si>
  <si>
    <r>
      <rPr>
        <sz val="8"/>
        <color rgb="FF000000"/>
        <rFont val="Arial"/>
      </rPr>
      <t>Финишная отделка керамогранитом на клею 20 мм
Материал отделки стены:</t>
    </r>
    <r>
      <rPr>
        <sz val="8"/>
        <color rgb="FF93C47D"/>
        <rFont val="Arial"/>
      </rPr>
      <t xml:space="preserve">
Тип Керамогранит 10мм, Размер 95х600, Производитель Kerama marazzi. 
Артикул Роверелла беж светлый , Затирка Ceresit CE40 №43 багамы
Тип... Размер... Производитель... Артикул... Затирка...
Тип... Размер... Производитель... Артикул... Затирка...
</t>
    </r>
    <r>
      <rPr>
        <sz val="8"/>
        <color rgb="FF000000"/>
        <rFont val="Arial"/>
      </rPr>
      <t>Правила раскладки керамогранита см.Буклет коллекции</t>
    </r>
  </si>
  <si>
    <t>10.1.16</t>
  </si>
  <si>
    <t>Стены чистовые МОП. Лифтовой холл, типовой этаж</t>
  </si>
  <si>
    <r>
      <rPr>
        <sz val="8"/>
        <color rgb="FF000000"/>
        <rFont val="Arial"/>
      </rPr>
      <t xml:space="preserve">Финишная отделка керамогранитом на клею 20 мм
Материал отделки стены:
</t>
    </r>
    <r>
      <rPr>
        <sz val="8"/>
        <color rgb="FF93C47D"/>
        <rFont val="Arial"/>
      </rPr>
      <t>Тип Керамогранит 10мм, Размер 600х1200, Производитель Kerama marazzi. 
Артикул Про Стоун DD500400R темный серый , Затирка Ceresit CE40 №16 графит
Тип... Размер... Производитель... Артикул... Затирка...
Тип... Размер... Производитель... Артикул... Затирка...</t>
    </r>
    <r>
      <rPr>
        <sz val="8"/>
        <color rgb="FF000000"/>
        <rFont val="Arial"/>
      </rPr>
      <t xml:space="preserve">
Окраска стены
Подготовка к окраске стены:
Класс поверхности штукатурки К4
Материал отделки стены:
</t>
    </r>
    <r>
      <rPr>
        <sz val="8"/>
        <color rgb="FF93C47D"/>
        <rFont val="Arial"/>
      </rPr>
      <t xml:space="preserve">Тип Покраска Номер цвета NCS S1502-Y50R Матовость Глубокоматовая
Тип Покраска Номер цвета NCS S 7500 N Матовость Глубокоматовая
Тип...Номер цвета... Матовость...
Тип...Номер цвета... Матовость...
</t>
    </r>
    <r>
      <rPr>
        <sz val="8"/>
        <color rgb="FF000000"/>
        <rFont val="Arial"/>
      </rPr>
      <t xml:space="preserve">Облицовка стены панелями (МДФ ЛДСП, ГСП)
Материал облицовки:
</t>
    </r>
    <r>
      <rPr>
        <sz val="8"/>
        <color rgb="FF93C47D"/>
        <rFont val="Arial"/>
      </rPr>
      <t xml:space="preserve">Тип Рейки на основании, Производитель Egger, Артикул Орех Пацифик табак
H37ST1002 
Тип Основание для рейки, Производитель Egger, Артикул Чёрный графит
U961 ST2
</t>
    </r>
    <r>
      <rPr>
        <sz val="8"/>
        <color rgb="FF000000"/>
        <rFont val="Arial"/>
      </rPr>
      <t xml:space="preserve">Уголки обрамляющие для керамогранита и покраски
Материал обрамления:
</t>
    </r>
    <r>
      <rPr>
        <sz val="8"/>
        <color rgb="FF93C47D"/>
        <rFont val="Arial"/>
      </rPr>
      <t xml:space="preserve">Тип L-профиль Артикул ПК 01-12 Лука Цвет 01л анод серебро
Тип ... Артикул... Цвет...
</t>
    </r>
    <r>
      <rPr>
        <sz val="8"/>
        <color rgb="FF000000"/>
        <rFont val="Arial"/>
      </rPr>
      <t>Правила использования покрытий см.Буклет коллекции</t>
    </r>
  </si>
  <si>
    <t>10.1.17</t>
  </si>
  <si>
    <t>Стены чистовые МОП. Коридор, типовой этаж</t>
  </si>
  <si>
    <r>
      <rPr>
        <sz val="8"/>
        <color rgb="FF000000"/>
        <rFont val="Arial"/>
      </rPr>
      <t xml:space="preserve">Окраска стены
Подготовка к окраске стены:
Класс поверхности штукатурки К4
Материал отделки стены:
</t>
    </r>
    <r>
      <rPr>
        <sz val="8"/>
        <color rgb="FF93C47D"/>
        <rFont val="Arial"/>
      </rPr>
      <t xml:space="preserve">Тип Покраска Номер цвета NCS S1502-Y50R Матовость Глубокоматовая
Тип Покраска Номер цвета NCS S 3005 Y50R Матовость Глубокоматовая
Тип Покраска Номер цвета NCS S 7500 N Матовость Глубокоматовая
Тип...Номер цвета... Матовость...
Тип...Номер цвета... Матовость...
</t>
    </r>
    <r>
      <rPr>
        <sz val="8"/>
        <color rgb="FF000000"/>
        <rFont val="Arial"/>
      </rPr>
      <t xml:space="preserve">Уголки обрамляющие для керамогранита и покраски
Материал обрамления:
</t>
    </r>
    <r>
      <rPr>
        <sz val="8"/>
        <color rgb="FF93C47D"/>
        <rFont val="Arial"/>
      </rPr>
      <t xml:space="preserve">Тип Уголок Артикул Уп 04-27 Лука Цвет 01л анод серебро
Тип ... Артикул... Цвет...
</t>
    </r>
    <r>
      <rPr>
        <sz val="8"/>
        <color rgb="FF000000"/>
        <rFont val="Arial"/>
      </rPr>
      <t>Правила использования покрытий см.Буклет коллекции</t>
    </r>
  </si>
  <si>
    <t>10.1.18</t>
  </si>
  <si>
    <t>Потолок чистовой МОП лифтовый холл, тамбур-шлюз, колясочная, велосипедная, коридор - 1 этаж</t>
  </si>
  <si>
    <r>
      <rPr>
        <sz val="8"/>
        <color rgb="FF000000"/>
        <rFont val="Arial"/>
      </rPr>
      <t>Окраска потолка
Материал отделки потолка:</t>
    </r>
    <r>
      <rPr>
        <sz val="8"/>
        <color rgb="FF93C47D"/>
        <rFont val="Arial"/>
      </rPr>
      <t xml:space="preserve">
Тип Покраска Номер цвета RAL 9005 Матовость Глубокоматовая
Тип...Номер цвета... Матовость...
Тип...Номер цвета... Матовость...
</t>
    </r>
    <r>
      <rPr>
        <sz val="8"/>
        <color rgb="FF000000"/>
        <rFont val="Arial"/>
      </rPr>
      <t>Отбивка цветом по стене по уровню коммуникаций или верху дверей</t>
    </r>
  </si>
  <si>
    <t>10.1.19</t>
  </si>
  <si>
    <t>Потолок чистовой МОП, Холл, первый этаж</t>
  </si>
  <si>
    <r>
      <rPr>
        <sz val="8"/>
        <color rgb="FF000000"/>
        <rFont val="Arial"/>
      </rPr>
      <t xml:space="preserve">Окраска потолка
Подготовка к окраске потолка:
Класс поверхности штукатурки К4
Материал отделки потолка:
</t>
    </r>
    <r>
      <rPr>
        <sz val="8"/>
        <color rgb="FF93C47D"/>
        <rFont val="Arial"/>
      </rPr>
      <t>Тип Покраска Номер цвета Без колера Матовость Глубокоматовая
Тип Покраска Номер цвета RAL 9005 Матовость Глубокоматовая
Тип...Номер цвета... Матовость...
Тип...Номер цвета... Матовость...</t>
    </r>
  </si>
  <si>
    <t>10.1.20</t>
  </si>
  <si>
    <t>Потолок чистовой МОП, Лифтовой холл, коридор, тамбур, первый этаж</t>
  </si>
  <si>
    <r>
      <rPr>
        <sz val="8"/>
        <color rgb="FF000000"/>
        <rFont val="Arial"/>
      </rPr>
      <t xml:space="preserve">Окраска потолка
Подготовка к окраске потолка:
Класс поверхности штукатурки К4
Материал отделки стены:
</t>
    </r>
    <r>
      <rPr>
        <sz val="8"/>
        <color rgb="FF93C47D"/>
        <rFont val="Arial"/>
      </rPr>
      <t>Тип Покраска Номер цвета Без колера Матовость Глубокоматовая
Тип...Номер цвета... Матовость...
Тип...Номер цвета... Матовость...</t>
    </r>
  </si>
  <si>
    <t>10.1.21</t>
  </si>
  <si>
    <t>Потолок чистовой МОП. Лифтовой холл, коридор, типовой этаж</t>
  </si>
  <si>
    <r>
      <rPr>
        <sz val="8"/>
        <color rgb="FF000000"/>
        <rFont val="Arial"/>
      </rPr>
      <t xml:space="preserve">Окраска потолка
Подготовка к окраске потолка:
Класс поверхности штукатурки К4
Материал отделки стены:
</t>
    </r>
    <r>
      <rPr>
        <sz val="8"/>
        <color rgb="FF93C47D"/>
        <rFont val="Arial"/>
      </rPr>
      <t xml:space="preserve">Тип Покраска Номер цвета Без колера Матовость Глубокоматовая
Тип...Номер цвета... Матовость...
Тип...Номер цвета... Матовость...
</t>
    </r>
    <r>
      <rPr>
        <sz val="8"/>
        <color rgb="FF000000"/>
        <rFont val="Arial"/>
      </rPr>
      <t>Отбивка цветом по стене 40 мм</t>
    </r>
  </si>
  <si>
    <t>Требования к подготовительным слоям</t>
  </si>
  <si>
    <t>10.1.22</t>
  </si>
  <si>
    <t xml:space="preserve">Стены керамогранит по ГКЛ </t>
  </si>
  <si>
    <t>1. Керамогранит
2. Клей для керамогранита
3. Грунтовка глубокого проникновения
4. ГКЛ</t>
  </si>
  <si>
    <t>10.1.23</t>
  </si>
  <si>
    <t>Стены декоративная штукатурка по ГКЛ</t>
  </si>
  <si>
    <t>1. Штукатурка декоративная
2. Грунтовка (в соответствие с видом штукатурки)
3. Гипсовая шпатлевка. Категория качества К4
4. Грунтовка глубокого проникновения
5. ГКЛ</t>
  </si>
  <si>
    <t>10.1.24</t>
  </si>
  <si>
    <t>Стены покраска по ГКЛ</t>
  </si>
  <si>
    <t>1. Интерьерная краска 
2. Грунтовка (в соответствие с видом краски)
3. Гипсовая шпатлевка. Категория качества К4 
4. Грунтовка глубокого проникновения
5. ГКЛ</t>
  </si>
  <si>
    <t>10.1.25</t>
  </si>
  <si>
    <t>Стены керамогранит по кладке/ бетону</t>
  </si>
  <si>
    <t>1. Керамогранит
2. Клей для керамогранита
2. Грунтовка глубокого проникновения
3. Выравнивающая штукатурка
4. Грунтовка бетоноконтактом
5. Бетон / кладка</t>
  </si>
  <si>
    <t>10.1.26</t>
  </si>
  <si>
    <t>Стены декоративная штукатурка по кладке/ бетону</t>
  </si>
  <si>
    <t>1. Штукатурка декоративная
2. Грунтовка (в соответствие с видом штукатурки)
3. Гипсовая шпатлевка. Категория качества К4
4. Грунтовка глубокого проникновения
5. Выравнивающая штукатурка
6. Грунтовка бетоноконтактом
7. Бетон / кладка</t>
  </si>
  <si>
    <t>10.1.27</t>
  </si>
  <si>
    <t xml:space="preserve">Стены покраска по кладке/ бетону </t>
  </si>
  <si>
    <t>1. Интерьерная краска
2. Грунтовка (в соответствие с видом краски)
3. Гипсовая шпатлевка. Категория качества К4
4. Грунтовка глубокого проникновения
5. Выравнивающая штукатурка
6. Грунтовка бетоноконтактом
7. Бетон / кладка</t>
  </si>
  <si>
    <t>10.1.28</t>
  </si>
  <si>
    <t>Потолок покраска по ГКЛ (перекрытие МОП)</t>
  </si>
  <si>
    <t>10.1.29</t>
  </si>
  <si>
    <t>Потолок покраска по бетону (перекрытие МОП)</t>
  </si>
  <si>
    <t>10.1.30</t>
  </si>
  <si>
    <t>Потолок покраска по Аквапанель (перекрытие тамбур)</t>
  </si>
  <si>
    <t>1. Фасадная краска
2. Цементная шпатлевка. Категория качества К3
3. Грунтовка глубокого проникновения (паропроницаемая)
4. Аквапанель</t>
  </si>
  <si>
    <t>10.1.31</t>
  </si>
  <si>
    <t>Потолок покраска по бетону (перекрытие тамбур)</t>
  </si>
  <si>
    <t xml:space="preserve">1. Фасадная краска
2. Грунтовка (в соответствие с видом краски)
3. Декоративная штукатурка
4. Грунтовка глубокого проникновения (паропроницаемая)
5. Армировочно-клеевая смесь с стекловолоконной сеткой
6. Минераловатный утеплитель λ ≥ 110 кг/м3
7. Бетон </t>
  </si>
  <si>
    <t>10.2 Освещение</t>
  </si>
  <si>
    <t>МОП. -1 этаж</t>
  </si>
  <si>
    <r>
      <rPr>
        <sz val="8"/>
        <color rgb="FF000000"/>
        <rFont val="Arial"/>
      </rPr>
      <t xml:space="preserve">Светильники 
</t>
    </r>
    <r>
      <rPr>
        <sz val="8"/>
        <color rgb="FF93C47D"/>
        <rFont val="Arial"/>
      </rPr>
      <t xml:space="preserve">Тип Точечный накладной Производитель Light star Артикул Rullo 214437 Цвет черный
Тип...Производитель... Артикул...Цвет...
Тип...Производитель... Артикул...Цвет...
Лампа светодиодная ELEKTROSTANDARD GU10 5W 3300K </t>
    </r>
    <r>
      <rPr>
        <sz val="8"/>
        <color rgb="FF6AA84F"/>
        <rFont val="Arial"/>
      </rPr>
      <t xml:space="preserve">
</t>
    </r>
    <r>
      <rPr>
        <sz val="8"/>
        <color rgb="FF000000"/>
        <rFont val="Arial"/>
      </rPr>
      <t>Монтаж светильников производится на металлический лоток
Правила расстановки осветительных приборов см. Буклет коллекции</t>
    </r>
  </si>
  <si>
    <t>10.2.2</t>
  </si>
  <si>
    <t>МОП. Холл 1 этаж</t>
  </si>
  <si>
    <r>
      <rPr>
        <sz val="8"/>
        <color rgb="FF000000"/>
        <rFont val="Arial"/>
      </rPr>
      <t xml:space="preserve">Светильники 
</t>
    </r>
    <r>
      <rPr>
        <sz val="8"/>
        <color rgb="FF93C47D"/>
        <rFont val="Arial"/>
      </rPr>
      <t xml:space="preserve">Тип Встраиваемый Производитель Maitoni Артикул Dot DL028-2-01W Цвет белый
Тип Трековый Производитель Light star Артикул Rullo R1T437 Цвет черный
Тип...Производитель... Артикул...Цвет...
Тип...Производитель... Артикул...Цвет...
Лампа светодиодная ELEKTROSTANDARD GU10 5W 3300K </t>
    </r>
    <r>
      <rPr>
        <sz val="8"/>
        <color rgb="FF6AA84F"/>
        <rFont val="Arial"/>
      </rPr>
      <t xml:space="preserve">
</t>
    </r>
    <r>
      <rPr>
        <sz val="8"/>
        <color rgb="FF000000"/>
        <rFont val="Arial"/>
      </rPr>
      <t>Монтаж светильников производится на металлический лоток
Правила расстановки осветительных приборов см. Буклет коллекции</t>
    </r>
  </si>
  <si>
    <t>10.2.3</t>
  </si>
  <si>
    <t>МОП. Тамбур, лифтовый холл, коридор 1 этаж</t>
  </si>
  <si>
    <r>
      <rPr>
        <sz val="8"/>
        <color rgb="FF000000"/>
        <rFont val="Arial"/>
      </rPr>
      <t xml:space="preserve">Светильники 
</t>
    </r>
    <r>
      <rPr>
        <sz val="8"/>
        <color rgb="FF93C47D"/>
        <rFont val="Arial"/>
      </rPr>
      <t>Тип Встраиваемый Производитель Maitoni Артикул Dot DL028-2-01W Цвет белый
Тип...Производитель... Артикул...Цвет...
Тип...Производитель... Артикул...Цвет...</t>
    </r>
    <r>
      <rPr>
        <sz val="8"/>
        <color rgb="FF6AA84F"/>
        <rFont val="Arial"/>
      </rPr>
      <t xml:space="preserve">
</t>
    </r>
    <r>
      <rPr>
        <sz val="8"/>
        <color rgb="FF93C47D"/>
        <rFont val="Arial"/>
      </rPr>
      <t xml:space="preserve">Лампа светодиодная ELEKTROSTANDARD GU10 5W 3300K </t>
    </r>
    <r>
      <rPr>
        <sz val="8"/>
        <color rgb="FF6AA84F"/>
        <rFont val="Arial"/>
      </rPr>
      <t xml:space="preserve">
</t>
    </r>
    <r>
      <rPr>
        <sz val="8"/>
        <color rgb="FF000000"/>
        <rFont val="Arial"/>
      </rPr>
      <t>Монтаж светильников производится на металлический лоток
Правила расстановки осветительных приборов см. Буклет коллекции</t>
    </r>
  </si>
  <si>
    <t>10.2.4</t>
  </si>
  <si>
    <t>МОП. Типовой этаж</t>
  </si>
  <si>
    <r>
      <rPr>
        <sz val="8"/>
        <color rgb="FF000000"/>
        <rFont val="Arial"/>
      </rPr>
      <t xml:space="preserve">Светильники 
</t>
    </r>
    <r>
      <rPr>
        <sz val="8"/>
        <color rgb="FF93C47D"/>
        <rFont val="Arial"/>
      </rPr>
      <t>Тип Точечный накладной Производитель Light star Артикул Rullo 214486 Цвет белый
Тип...Производитель... Артикул...Цвет...
Тип...Производитель... Артикул...Цвет...</t>
    </r>
    <r>
      <rPr>
        <sz val="8"/>
        <color rgb="FF6AA84F"/>
        <rFont val="Arial"/>
      </rPr>
      <t xml:space="preserve">
</t>
    </r>
    <r>
      <rPr>
        <sz val="8"/>
        <color rgb="FF93C47D"/>
        <rFont val="Arial"/>
      </rPr>
      <t>Лампа светодиодная ELEKTROSTANDARD GU10 5W 3300K</t>
    </r>
    <r>
      <rPr>
        <sz val="8"/>
        <color rgb="FF000000"/>
        <rFont val="Arial"/>
      </rPr>
      <t xml:space="preserve"> </t>
    </r>
    <r>
      <rPr>
        <sz val="8"/>
        <color rgb="FF6AA84F"/>
        <rFont val="Arial"/>
      </rPr>
      <t xml:space="preserve">
</t>
    </r>
    <r>
      <rPr>
        <sz val="8"/>
        <color rgb="FF000000"/>
        <rFont val="Arial"/>
      </rPr>
      <t>Монтаж светильников производится на металлический лоток
Правила расстановки осветительных приборов см. Буклет коллекции</t>
    </r>
  </si>
  <si>
    <t>10.2.5</t>
  </si>
  <si>
    <t>МОП. Лестничная клетка</t>
  </si>
  <si>
    <r>
      <rPr>
        <sz val="8"/>
        <color rgb="FF000000"/>
        <rFont val="Arial"/>
      </rPr>
      <t xml:space="preserve">Светильники 
</t>
    </r>
    <r>
      <rPr>
        <sz val="8"/>
        <color rgb="FF6AA84F"/>
        <rFont val="Arial"/>
      </rPr>
      <t xml:space="preserve">Тип Точечный накладной Производитель Light star Артикул Rullo 214486 Цвет белый
Тип...Производитель... Артикул...Цвет...
Тип...Производитель... Артикул...Цвет...
</t>
    </r>
    <r>
      <rPr>
        <sz val="8"/>
        <color rgb="FF93C47D"/>
        <rFont val="Arial"/>
      </rPr>
      <t xml:space="preserve">Лампа светодиодная ELEKTROSTANDARD GU10 5W 3300K </t>
    </r>
    <r>
      <rPr>
        <sz val="8"/>
        <color rgb="FF6AA84F"/>
        <rFont val="Arial"/>
      </rPr>
      <t xml:space="preserve">
</t>
    </r>
    <r>
      <rPr>
        <sz val="8"/>
        <color rgb="FF000000"/>
        <rFont val="Arial"/>
      </rPr>
      <t>Монтаж светильников производится на металлический лоток
Правила расстановки осветительных приборов см. Буклет коллекции</t>
    </r>
  </si>
  <si>
    <t>10.3 Отделка и фурнитура дверей</t>
  </si>
  <si>
    <t>10.3.1</t>
  </si>
  <si>
    <t>МОП. Двери квартирные</t>
  </si>
  <si>
    <r>
      <rPr>
        <sz val="8"/>
        <color rgb="FF000000"/>
        <rFont val="Arial"/>
      </rPr>
      <t xml:space="preserve">Отделка внешней панели двери
</t>
    </r>
    <r>
      <rPr>
        <sz val="8"/>
        <color rgb="FF6AA84F"/>
        <rFont val="Arial"/>
      </rPr>
      <t xml:space="preserve">Тип Пленка Производитель ADILET Артикул мокко SF 04 матовый
Тип Пленка Производитель ADILET Артикул Ирис SF 029 Sweet Feelings
Тип...Производитель... Артикул...
Тип...Производитель... Артикул...
</t>
    </r>
    <r>
      <rPr>
        <sz val="8"/>
        <color rgb="FF000000"/>
        <rFont val="Arial"/>
      </rPr>
      <t xml:space="preserve">Отделка внутренней панели двери
</t>
    </r>
    <r>
      <rPr>
        <sz val="8"/>
        <color rgb="FF93C47D"/>
        <rFont val="Arial"/>
      </rPr>
      <t xml:space="preserve">Тип Пленка Производитель GreenWood Артикул Эмаль белая ZB 799-2
</t>
    </r>
    <r>
      <rPr>
        <sz val="8"/>
        <color rgb="FF000000"/>
        <rFont val="Arial"/>
      </rPr>
      <t xml:space="preserve">Фурнитура
</t>
    </r>
    <r>
      <rPr>
        <sz val="8"/>
        <color rgb="FF93C47D"/>
        <rFont val="Arial"/>
      </rPr>
      <t xml:space="preserve">Ручка Armadillo PS Protector/USS BL Черный 42983
Глазок Fuaro DVZ3 16/180/55x90. BL-24 черный
Задвижка Armadillo URBAN MORI USS дверная ручка на квадратной розетке, цвет черный
Стопер Morelli DS3 BL черный матовый
</t>
    </r>
    <r>
      <rPr>
        <sz val="8"/>
        <color rgb="FF000000"/>
        <rFont val="Arial"/>
      </rPr>
      <t xml:space="preserve">
Схему внешнего вида двери см.Буклет коллекции
</t>
    </r>
  </si>
  <si>
    <t>10.3.2</t>
  </si>
  <si>
    <t>МОП. Двери глухие металлические</t>
  </si>
  <si>
    <r>
      <rPr>
        <sz val="8"/>
        <color rgb="FF000000"/>
        <rFont val="Arial"/>
      </rPr>
      <t xml:space="preserve">Отделка двери
</t>
    </r>
    <r>
      <rPr>
        <sz val="8"/>
        <color rgb="FF93C47D"/>
        <rFont val="Arial"/>
      </rPr>
      <t xml:space="preserve">Цвет RAL 7024 Матовость Матовая
</t>
    </r>
    <r>
      <rPr>
        <sz val="8"/>
        <color rgb="FF000000"/>
        <rFont val="Arial"/>
      </rPr>
      <t>Фурнитура
Ручка противопожарная Trodos 1919/1</t>
    </r>
  </si>
  <si>
    <t>10.3.3</t>
  </si>
  <si>
    <t>МОП. Двери светопрозрачные</t>
  </si>
  <si>
    <r>
      <rPr>
        <sz val="8"/>
        <color rgb="FF000000"/>
        <rFont val="Arial"/>
      </rPr>
      <t xml:space="preserve">Отделка двери
</t>
    </r>
    <r>
      <rPr>
        <sz val="8"/>
        <color rgb="FF93C47D"/>
        <rFont val="Arial"/>
      </rPr>
      <t xml:space="preserve">Цвет RAL 7024 Матовость Матовая
</t>
    </r>
    <r>
      <rPr>
        <sz val="8"/>
        <color rgb="FF000000"/>
        <rFont val="Arial"/>
      </rPr>
      <t>Фурнитура
Ручка Сталь шлифованная со вставкой из бука
Схему ручки см.Буклет коллекции</t>
    </r>
  </si>
  <si>
    <t>10.4 Элементы интерьера и мебель</t>
  </si>
  <si>
    <t>10.4.1</t>
  </si>
  <si>
    <t>Почтовые ящики</t>
  </si>
  <si>
    <r>
      <rPr>
        <sz val="8"/>
        <color rgb="FF000000"/>
        <rFont val="Arial"/>
      </rPr>
      <t xml:space="preserve">Конструкция почтовых ящиков
</t>
    </r>
    <r>
      <rPr>
        <sz val="8"/>
        <color rgb="FF93C47D"/>
        <rFont val="Arial"/>
      </rPr>
      <t xml:space="preserve">Тип Фасад, Производитель Egger, Артикул Орех Пацифик табак H37ST1002
Тип Каркас, Производитель Egger, Артикул Орех Пацифик табак H37ST1002
</t>
    </r>
    <r>
      <rPr>
        <sz val="8"/>
        <color rgb="FF000000"/>
        <rFont val="Arial"/>
      </rPr>
      <t>Размеры и способ размещения в МОП см.Буклет коллекции</t>
    </r>
  </si>
  <si>
    <t>10.4.2</t>
  </si>
  <si>
    <t>Мягкая мебель</t>
  </si>
  <si>
    <r>
      <rPr>
        <sz val="8"/>
        <color theme="1"/>
        <rFont val="Arial"/>
      </rPr>
      <t xml:space="preserve">Материал спинки и сидения:
</t>
    </r>
    <r>
      <rPr>
        <sz val="8"/>
        <color rgb="FF93C47D"/>
        <rFont val="Arial"/>
      </rPr>
      <t xml:space="preserve">В чехле из однотонной износостойкой ткани Melange 100
Материал каркаса:
ЛДСП Орех пацифик табак Н3702 ST10 на металлокаркасе
</t>
    </r>
    <r>
      <rPr>
        <sz val="8"/>
        <color theme="1"/>
        <rFont val="Arial"/>
      </rPr>
      <t xml:space="preserve">
Несущий каркас: Сварная конструкция из
стальных труб
Размеры и способ размещения в МОП см.Буклет коллекции</t>
    </r>
  </si>
  <si>
    <t>10.4.3</t>
  </si>
  <si>
    <t>Инженерные люки</t>
  </si>
  <si>
    <r>
      <rPr>
        <sz val="8"/>
        <color theme="1"/>
        <rFont val="Arial"/>
      </rPr>
      <t xml:space="preserve">Отделка люков
</t>
    </r>
    <r>
      <rPr>
        <sz val="8"/>
        <color rgb="FF93C47D"/>
        <rFont val="Arial"/>
      </rPr>
      <t>Тип Пленка Производитель Greenwood Артикул Дарк грей софт ZB 819-2 (темно-серый)
Тип Пленка Производитель Артикул Силк Тирамису 0,2 MST51923-20 (бежевый)
Тип Пленка Артикул Силк Камелия 0,2 MST51924-20 (темно-бежевый)</t>
    </r>
    <r>
      <rPr>
        <sz val="8"/>
        <color theme="1"/>
        <rFont val="Arial"/>
      </rPr>
      <t xml:space="preserve">
Размеры и способ размещения в МОП см.Буклет коллекции</t>
    </r>
  </si>
  <si>
    <t>10.4.4</t>
  </si>
  <si>
    <t>Акрил 3 мм
Размеры и способ размещения в МОП см.Буклет коллекции</t>
  </si>
  <si>
    <t>10.4.5</t>
  </si>
  <si>
    <t>Настенный декор</t>
  </si>
  <si>
    <r>
      <rPr>
        <sz val="8"/>
        <color rgb="FF93C47D"/>
        <rFont val="Arial"/>
      </rPr>
      <t>Тип Картины Размер 800х1100 Рама из деревянного бруса 20х40 цвет RAL 9005</t>
    </r>
    <r>
      <rPr>
        <sz val="8"/>
        <color theme="1"/>
        <rFont val="Arial"/>
      </rPr>
      <t xml:space="preserve">
Размеры и способ размещения в МОП см.Буклет коллекции</t>
    </r>
  </si>
  <si>
    <t>10.5 Металлические изделия</t>
  </si>
  <si>
    <t>10.5.1</t>
  </si>
  <si>
    <t>Ограждения и перила</t>
  </si>
  <si>
    <r>
      <rPr>
        <sz val="8"/>
        <color theme="1"/>
        <rFont val="Arial"/>
      </rPr>
      <t xml:space="preserve">Покраска </t>
    </r>
    <r>
      <rPr>
        <sz val="8"/>
        <color rgb="FF93C47D"/>
        <rFont val="Arial"/>
      </rPr>
      <t>RAL 7024</t>
    </r>
    <r>
      <rPr>
        <sz val="8"/>
        <color theme="1"/>
        <rFont val="Arial"/>
      </rPr>
      <t xml:space="preserve">
Размеры и схему в МОП см.Буклет коллекции</t>
    </r>
  </si>
  <si>
    <t>10.5.2</t>
  </si>
  <si>
    <t>Откосы лифта</t>
  </si>
  <si>
    <r>
      <rPr>
        <sz val="8"/>
        <color theme="1"/>
        <rFont val="Arial"/>
      </rPr>
      <t xml:space="preserve">Покраска </t>
    </r>
    <r>
      <rPr>
        <sz val="8"/>
        <color rgb="FF93C47D"/>
        <rFont val="Arial"/>
      </rPr>
      <t>RAL 7024</t>
    </r>
    <r>
      <rPr>
        <sz val="8"/>
        <color theme="1"/>
        <rFont val="Arial"/>
      </rPr>
      <t xml:space="preserve">
Размеры и схему в МОП см.Буклет коллекции</t>
    </r>
  </si>
  <si>
    <t>10.5.3</t>
  </si>
  <si>
    <t>Вент решетки</t>
  </si>
  <si>
    <r>
      <rPr>
        <sz val="8"/>
        <color rgb="FF93C47D"/>
        <rFont val="Arial"/>
      </rPr>
      <t xml:space="preserve">Тип Решетка Цвет RAL 7043
Тип Решетка Цвет RAL 9002
Тип Решетка Цвет RAL 1019
</t>
    </r>
    <r>
      <rPr>
        <sz val="8"/>
        <color rgb="FF000000"/>
        <rFont val="Arial"/>
      </rPr>
      <t>Размеры и способ размещения в МОП см.Буклет коллекции</t>
    </r>
  </si>
  <si>
    <r>
      <rPr>
        <b/>
        <sz val="10"/>
        <color theme="1"/>
        <rFont val="Arial"/>
      </rPr>
      <t>Приложение № 2</t>
    </r>
    <r>
      <rPr>
        <sz val="10"/>
        <color theme="1"/>
        <rFont val="Arial"/>
      </rPr>
      <t xml:space="preserve">
к Договору подряда на выполнение проектных работ 
</t>
    </r>
    <r>
      <rPr>
        <sz val="10"/>
        <color rgb="FFFF0000"/>
        <rFont val="Arial"/>
      </rPr>
      <t>№ ________ от __.__.202_г.</t>
    </r>
  </si>
  <si>
    <r>
      <rPr>
        <sz val="8"/>
        <color theme="1"/>
        <rFont val="Arial"/>
      </rPr>
      <t>Объект:</t>
    </r>
    <r>
      <rPr>
        <sz val="8"/>
        <color rgb="FFB6D7A8"/>
        <rFont val="Arial"/>
      </rPr>
      <t xml:space="preserve"> </t>
    </r>
    <r>
      <rPr>
        <sz val="8"/>
        <color rgb="FFFF0000"/>
        <rFont val="Arial"/>
      </rPr>
      <t>«Наименование объекта»</t>
    </r>
  </si>
  <si>
    <r>
      <rPr>
        <sz val="8"/>
        <color theme="1"/>
        <rFont val="Arial"/>
      </rPr>
      <t xml:space="preserve">Договор </t>
    </r>
    <r>
      <rPr>
        <sz val="8"/>
        <color rgb="FFFF0000"/>
        <rFont val="Arial"/>
      </rPr>
      <t>№ ________ от __.__.202_г.</t>
    </r>
  </si>
  <si>
    <t>Этапы выполнения работ</t>
  </si>
  <si>
    <r>
      <rPr>
        <sz val="8"/>
        <color theme="1"/>
        <rFont val="Arial"/>
      </rPr>
      <t xml:space="preserve">Площадь участка ___ га
</t>
    </r>
    <r>
      <rPr>
        <b/>
        <sz val="8"/>
        <color theme="1"/>
        <rFont val="Arial"/>
      </rPr>
      <t>Этажность:</t>
    </r>
    <r>
      <rPr>
        <sz val="8"/>
        <color theme="1"/>
        <rFont val="Arial"/>
      </rPr>
      <t xml:space="preserve"> 
надземная часть 2, 9, 17 и 24 эт.;
подземная часть 2 эт.;
Площадь жилого здания (дома) _______ м²;
Общая продаваемая площадь _______ м²;
</t>
    </r>
    <r>
      <rPr>
        <b/>
        <sz val="8"/>
        <color theme="1"/>
        <rFont val="Arial"/>
      </rPr>
      <t xml:space="preserve">Продаваемая площадь:
</t>
    </r>
    <r>
      <rPr>
        <sz val="8"/>
        <color theme="1"/>
        <rFont val="Arial"/>
      </rPr>
      <t xml:space="preserve">Жилая часть _______ м²;
Коммерческие помещения _______ м²;
Автостоянка _______ м²;
Кладовые _______ м²;
</t>
    </r>
    <r>
      <rPr>
        <b/>
        <sz val="8"/>
        <color theme="1"/>
        <rFont val="Arial"/>
      </rPr>
      <t xml:space="preserve">Общая площадь:
</t>
    </r>
    <r>
      <rPr>
        <sz val="8"/>
        <color theme="1"/>
        <rFont val="Arial"/>
      </rPr>
      <t xml:space="preserve">Жилая часть 28 309 м²;
Коммерческие помещения 1 600 м²;
Автостоянка 2 730 м²;
Кладовые 772 м²;
Технические и вспомогательные помещения ________ м²;
</t>
    </r>
    <r>
      <rPr>
        <b/>
        <sz val="8"/>
        <color theme="1"/>
        <rFont val="Arial"/>
      </rPr>
      <t>Количество:</t>
    </r>
    <r>
      <rPr>
        <sz val="8"/>
        <color theme="1"/>
        <rFont val="Arial"/>
      </rPr>
      <t xml:space="preserve">
Квартир 429 шт.;
Парковочных мест 206 шт.;
Кладовых 214 шт.;
</t>
    </r>
    <r>
      <rPr>
        <i/>
        <sz val="8"/>
        <color theme="1"/>
        <rFont val="Arial"/>
      </rPr>
      <t>* Площадь указана ориентировочно и должна быть дополнительно согласована с Заказчиком в процессе проектирования.</t>
    </r>
  </si>
  <si>
    <t>Функциональное назначение объекта капитального строительства</t>
  </si>
  <si>
    <t>Определить проектом</t>
  </si>
  <si>
    <t>Уровень ответственности в соответствии с Федеральным законом № 384-ФЗ</t>
  </si>
  <si>
    <t>- Детальный проект (эскизный проект);
- ГПЗУ;
- Технические отчеты по выполненным инженерным изысканиям;
- Технические условия на присоединение к сетям инженерно-технического обеспечения;
- Задание на проектирование;
- Строительное задание на лифты;</t>
  </si>
  <si>
    <t>Примечание: исходно-разрешительная документация для проектирования предоставляется Заказчиком в объеме необходимом для проектирования, установленном ст. 44-51 Градостроительного кодекса РФ.</t>
  </si>
  <si>
    <r>
      <rPr>
        <sz val="8"/>
        <color rgb="FF000000"/>
        <rFont val="Arial"/>
      </rPr>
      <t>Проектировщик</t>
    </r>
    <r>
      <rPr>
        <sz val="8"/>
        <color rgb="FFFF0000"/>
        <rFont val="Arial"/>
      </rPr>
      <t xml:space="preserve">
ООО «Наименование»</t>
    </r>
  </si>
  <si>
    <t>Этап 1. Проектное сопровождение:
- Проверка Концепции, разрабатываемой Автором-архитектором, на соответствие федеральным и местным строительным и законодательным правилам, нормам, стандартам и техническим регламентам с передачей в письменной и устной форме аннотаций / комментариев на чертежах применительно к Объекту для их учета в Концепции проекта;
- Предоставление рекомендаций по конструктивным схемам, решениям;
- Консультирование по другим вопросам, связанным с реализацией Проекта, включая транспортно-логистическое обеспечение, вертикальный транспорт, мусороудаление, технологические, санитарные и иные требования; 
- Расчет необходимого количества машиномест на территории Объекта с учетом местных норм и расчетных показателей; 
- Подготовка заключения с обоснованием необходимости разработки Специальных технических условий (СТУ), Расчет по оценке пожарного риска (РПР), иных экспертных заключений;   
- Подготовка технических обоснований и расчетов, необходимые для подачи в соответствующие уполномоченные организации с целью получения технических условий (ТУ) на присоединение к инженерным сетям;
- Подготовка Технического задания на инженерные изыскания в объеме, необходимом для реализации проекта.</t>
  </si>
  <si>
    <t>Этап 2. Стадия "Проектная документация":
- Разработка Проектной документации осуществляется Проектировщиком на основании предоставленных Заказчиком: 
Перечня исходных данных и материалов (Приложение №6);
Задания на проектирование (Приложение №1, 2), с применением BIM-моделирования согласно BIM стандарт организации (Приложение №8).
- Утверждение BIM модели с BIM-менеджментом Заказчика
Экспертиза проекта:
- Проектная документация должна соответствовать требованиям Постановления Правительства РФ №87 от 16.02.2008г. «О составе разделов проектной документации и требованиях к их содержанию» с действующими на дату исполнения договора с экспертизой изменениями и дополнениями и требованиям,  изложенным в Приложении №3</t>
  </si>
  <si>
    <t>Этап 3. Стадия Рабочая документация:
- Разработка альбомов РД согласно Переченя основных разделов документации ПД/РД
(Приложение №7) и Календарного плана работ (Приложение №4);
Задания на проектирование (Приложение №1, 2), с применением BIM-моделирования согласно BIM стандарт организации (Приложение №8).
- Утверждение BIM модели с BIM-менеджментом Заказчика</t>
  </si>
  <si>
    <t>Разработать:
Рабочую документацию в соответствии с утвержденным Заказчиком альбомом Концепции. Проектные работы выполнить в соответствии со ст. 48 Градостроительного кодекса РФ и Постановлением Правительства РФ 
от 16.02.2008 № 87. «О составе разделов проектной документации и требованиях к их содержанию». Проектная документация должна быть выполнена в объеме, необходимом для получения положительного заключения экспертизы и разрешения на строительство, в объеме не менее указанного в Приложение №3. Текстовая часть должна содержать технические характеристики (существенные потребительские качества) оборудования и материалов без указания марки, модели и фирмы-изготовителя.
Рабочая документация (РД) должна соответствовать:
- требованиям задания на проектирование; 
- выданным техническим условиям, требованиям действующих технических регламентов, стандартов, сводов правил и других документов содержащих установленные требования. 
- Рабочая документация должна быть выполнена в объеме, достаточном для выполнения строительно-монтажных работ (далее СМР) с детализацией до типовых узлов и решений поставщиков либо производителей оборудования и материалов, а также содержать подробные указания, чертежи и схемы необходимые для стороннего изготовления изделий либо выполнения СМР, в объеме не менее указанного в Перечне основных разделов документации ПД/РД (Приложение №7).
- Пространственную модель (BIM модель) здания в соответствии с BIM стандарт организации (Приложение 8).
По мере наполнения для стадии П и РД.
- Расчетную записку
- Расчетную модель (КР)</t>
  </si>
  <si>
    <t>Наименование систем принять в соответствии с Приложением №8 BIM стандарт организации.</t>
  </si>
  <si>
    <t>0.1.3</t>
  </si>
  <si>
    <t>0.1.4</t>
  </si>
  <si>
    <t>Не предусматривать надбавку (запас) к общей проектной длине (объему) на трудноустранимые потери и отходы материалов (на изгибы, повороты, раскрой, расключение) в документации и спецификации.</t>
  </si>
  <si>
    <t>Высоты стандартного двухуровневого подземного паркинга
для класса В</t>
  </si>
  <si>
    <t>Высоты паркинга принять в соответствии с матрицей классов. В соответствии с конфигурацией паркинга и квартала. Проектом принять следующие значения высот этажей:
-Высота нижнего этажа паркинга - 3,8 м;
-Высота надземного этажа паркинга - 3,32 м.
Строительные конструкции подбирать согласно типологии этажей.
Высота этажа определяется от верха нижележащего перекрытия до верха вышележащего перекрытия 
Высота этажа измеряется по проезжей части</t>
  </si>
  <si>
    <t>Высоты этажей жилой части с двухуровневым подземным паркингом для класса В</t>
  </si>
  <si>
    <t>Высоты этажей принять в соответствии с матрицей классов и конфигурацией паркинга. Проектом принять следующие значения высот этажей:
-Нижний этаж - 3,67 м;
-Первый этаж - 4,2 м;
-Типовой этаж - 3,0 м;
-Особенный этаж - 3,02 м;
-Верхний этаж - 2,55/3,02 м.
Строительные конструкции подбирать согласно типологии этажей.
Высота этажа определяется от верха нижележащего перекрытия до верха вышележащего перекрытия 
Высоты этажей измеряются по ЛЛУ</t>
  </si>
  <si>
    <t>Общие требования для стандартного двухуровневого паркинга</t>
  </si>
  <si>
    <t>Стандартный двухуровневый паркинг выполняется в кварталах с одной или двумя башнями. 
Высоту паркинга принять согласно
Высоты стандартного двухуровневого подземного паркинга (ссылка)
Въездную рампу и въезд выполнить согласно
Рампа для двухуровневого паркинга (ссылка)
Прямой въезд в паркинг (ссылка)
Стандартный двухуровневый паркинг размещается под дворовым пространством квартала в контуре дворовых границ секций и башен. Допустимо выполнять заглубленные в контур секции машино-места количеством от 2х машино-мест в подземном уровне, расположенных смежно друг с другом. На 1 и 2 этажах запрещено размещать жилые помещения над машино-местами.
Машино-места и строительные конструкции размещать согласно
Планировочные решения стандартного двухуровневого паркинга для кварталов с 1 башней (ссылка)
Планировочные решения стандартного двухуровневого паркинга для кварталов с 2 башнями (ссылка)
Планировочные решения расширенного двухуровневого паркинга для кварталов с 1 башней (ссылка)
Планировочные решения расширенного двухуровневого паркинга для кварталов с 2 башнями (ссылка)</t>
  </si>
  <si>
    <t>Разработать мероприятия по обеспечению условий жизнедеятельности маломобильных групп населения согласно СП 59.13330 в части:
- в каждой секции жилого дома один из входов организовать с возможностью доступа МГН на посадочный этаж, до лифта, с уровня земли, без ступеней и максимальным порогом 14 мм, с размерами тамбура в соответствии с нормами СП 59.13330;
- безбарьерность среды на входных группах в торговые помещения;
- предусмотреть возможность устройства санузлов на первом этаже, с соблюдением СП 59.13330, силами собственника помещений общественного назначения;
- приспособление прилегающей территории, включая организацию путей движения, мест отдыха и доступность малых архитектурных форм;
- машино-места, предназначенные для МГН, запроектировать снаружи, в профилях улиц
- Не предусматривать специализированные квартиры для проживания МГН.
Предусмотреть пожаробезопасную зону для МГН:
- В лифтовом холле при лестничной клетке Н2+Н3,
- В лестничной клетке при лестничной клетке Л1.</t>
  </si>
  <si>
    <t>Обеспечить проектом нормативный или ниже уровень шума в помещениях. При необходимости компенсирующих мероприятий, предоставить Заказчику на согласование расчетное обоснование с учетом заложенного в проекте оборудования.
Шумоизоляция во встроенных и встроенно-пристроенных нежилых помещениях общественного назначения выполняются силами и за счет собственников или арендаторов помещений после ввода Здания в эксплуатацию по отдельно разработанным проектам.
Виброразвязка инженерного оборудования предусматривается вне зависимости от типов помещения над/под которыми расположено данное оборудование (приточно - вытяжная вентиляция, автостоянки и коммерческих помещений; оборудование ИТП и насосных; демпферы на лифтовом оборудовании).
Фундамент под инженерное оборудование выполняется исходя из габаритов и массы оборудования. Установку фундамента на плиту или оборудования на фундамент (за исключением противопожарного инженерного оборудования) выполнить с применением соответствующих виброизоляторов.</t>
  </si>
  <si>
    <t>0.4.3</t>
  </si>
  <si>
    <t>0.4.4</t>
  </si>
  <si>
    <t>Нагрузки коммерческих помещений принять в соответствии с площадями коммерческих помещений
Помещения от 20 м² до 70 м² принять за размер S
Помещения от 70 м² до 120 м² принять за размер M
Помещения от 120 м² до 180 м² принять за размер L
Помещения от 180 м² до 420 м² принять за размеры XL, 2XL, 3XL
Категории помещений по нагрузкам разделить на группы:
Стандарт, Магазин Еда, Общепит, Соц значимые
Нагрузки принять по графическим материалам
Данные нагрузки применимы только для коммерческих помещений</t>
  </si>
  <si>
    <t>0.4.5</t>
  </si>
  <si>
    <t>0.5 Мокап</t>
  </si>
  <si>
    <t>0.5.1</t>
  </si>
  <si>
    <r>
      <rPr>
        <sz val="8"/>
        <rFont val="Arial"/>
      </rPr>
      <t xml:space="preserve">Разработать техническое задание на выполнение мокапа - модель в натуральную величину.
Специально изготовленный полноразмерный образец элемента будущей конструкции (фасада, витража, ландшафта, интерьера) созданный чтобы непосредственно на строительной площадке оценить качество работ, эстетику и композицию различных материалов.
Разработать в объеме отдельного раздела рабочей документации, достаточном для ведения строительно монтажных работ и заказа материалов).
Альбом, техническое задание на выполнение мокапа необходимо предоставить Заказчику, руководителю проекта до выдачи основного альбома рабочей документации, для определения Заказчиком на ранних стадиях разработки проекта необходимой информацию о техническом решении и, если потребуется, ― внести корректировки без значительных затрат. 
Так, на основе полноразмерного образца можно подобрать тип используемых материалов и узлов, сделать расчетные схемы применения фасадной системы. 
Предусмотреть возможность: протестировать на мокапе сложные элементы и убедиться в том, что конкретные решения могут быть реализованы в реальном масштабе, в соответствии с техническими и эстетическими требованиями.
Таким образом тестируются разные подрядчики, разработчики: мы можем сравнить качество и внешний вид тех или иных материалов, сборку внутри системы, и выбираем в зависимости от экономики проекта и архитектуры.
Проект архитектуры мокап выполнять согласно стандарта </t>
    </r>
    <r>
      <rPr>
        <u/>
        <sz val="8"/>
        <color rgb="FF1155CC"/>
        <rFont val="Arial"/>
      </rPr>
      <t>Мокап архитектура</t>
    </r>
    <r>
      <rPr>
        <sz val="8"/>
        <rFont val="Arial"/>
      </rPr>
      <t xml:space="preserve"> 
Проект интерьеров мокап выполнять согласно стандарта </t>
    </r>
    <r>
      <rPr>
        <u/>
        <sz val="8"/>
        <color rgb="FF1155CC"/>
        <rFont val="Arial"/>
      </rPr>
      <t>Мокап интерьеры</t>
    </r>
    <r>
      <rPr>
        <sz val="8"/>
        <rFont val="Arial"/>
      </rPr>
      <t xml:space="preserve"> 
Проект ландшафт мокап выполнять согласно стандарта </t>
    </r>
    <r>
      <rPr>
        <u/>
        <sz val="8"/>
        <color rgb="FF1155CC"/>
        <rFont val="Arial"/>
      </rPr>
      <t>Мокап ландшафт</t>
    </r>
    <r>
      <rPr>
        <sz val="8"/>
        <rFont val="Arial"/>
      </rPr>
      <t xml:space="preserve"> 
Расположение мокап согласовать с заказчиком
Элементы для мокап согласовать с заказчиком</t>
    </r>
  </si>
  <si>
    <t>0.5.2</t>
  </si>
  <si>
    <t>Разработать техническое задание на выполнение мокапа - модель в натуральную величину.
Мокап - специально изготовленный полноразмерный образец элемента будущей конструкции, созданный для оценки качества работ, эстетики и композиции различных материалов непосредственно на строительной площадке.
ТЗ на разработку мокапа включает в себя:
Мокап отдельностоящий (Размер согласовать с заказчиком, базовый размер принять: длина 6,9 м, высота 7,2 м, глубина 2,5 м. ). Выполнить четыре модуля фасада:
- на первом этаже модуль входной группы коммерции;
- на первом этаже модуль с витражным остеклением;
- на втором этаже модуль типового этажа с балконом;
- на втором этаже модуль с типовым окном коллекции.
На мокапе необходимо протестировать основные принципиальные узлы и варианты отделочных материалов (выкрасы штукатурки, кладки кирпича и пр.), а также дополнительные декоративные элементы (отливы, русты, ограждения и пр.) согласно рабочей документации.
С внутренней стороны мокапа предусмотреть лестницу для доступа на второй этаж.
Мокап предусмотреть в границах строительной площадки.
Состав альбома Задания на Мокап:
1. Конструктивные чертежи несущих конструкций (перекрытие-пилоны-лестница на 2 ярус);
2. Аксонометрия;
3. Фасад с раскладкой навесного материала (при наличии) и маркировкой узлов;
4. Сечения;
5. Необходимые узлы.
ТЗ на РД дополнительно включает в себя данные узлы (см альбом узлов АР.ОБ-У-09.23):
- Цокольный;
- Префабрицированные балкон;
- Откосы;
- Отливы;
- Ограждение префабрицированного балкона;
- Ограждение окон (при наличии);
- Приточная решетка вентиляции коммерческих помещений;
- Рама для установки оборудования кондиционирования коммерческого помещения;
- Дверная ручка;
- Подсветка входной группы;
- Навесной вентилируемый фасад первого этажа (при наличии);
- Маркизы (при наличии);
- Козырьки (при наличии);
- Фактуры штукатурного фасада;
- Корзина кондиционера.</t>
  </si>
  <si>
    <t>Выбор элементов навигационной системы согласовать с заказчиком.
Выбор строительных конструкций осуществляется в соответствии с принципами коллекции архитектуры и ландшафта согласно рабочей документации.
Основные блоки наружной навигации:
- Большая навигационная стелла;
- Стандартные информационные стеллы;
- Блок адреса и номера;
- Въезд в паркинг;
- Входная группа (Подъезд).
Размещать навигационные системы согласно концепции архитектуры и ландшафта.
Расположение конструкций см. графические материалы.</t>
  </si>
  <si>
    <t>Рампа для пожарного проезда во двор</t>
  </si>
  <si>
    <t>Рампа для для возможности въезда пожарной машины во двор размещается при наличии двухуровневого паркинга на нижнем и первом этажах. Длина рампы фиксированная и одинаковая в секциях разной ширины.
Въездную рампу в проекте разместить на первом этаже в соответствии с проектом мастер-плана и матрицей кварталов.
Конструкции рампы выполнить согласно стандартов:
Вертикальные конструкции рампы для пожарного проезда во двор (ссылка)
Горизонтальные конструкции рампы для пожарного проезда во двор (ссылка)
Утепление конструкций рампы принять согласно
Устройство штукатурного фасада (ссылка)
Состав пол рампы принять согласно:
Пироги пола двухуровневого паркинга (ссылка)
Въездную рампу в контуре секции выполнить с уклоном 28%.
Часть рампы вне контура секции со стороны дворового фасада выполнить с уклоном 15%.
Часть рампы вне контура секции со стороны уличного фасада выполнить с уклоном 15%.</t>
  </si>
  <si>
    <t>Прямой въезд в паркинг</t>
  </si>
  <si>
    <t>Прямой въезд размещается при двухуровневом паркинге на нижнем и первом этажах для въезда в +1 уровень паркинга, и при одноуровневом паркинге на первом этаже. Длина въезда равна ширине секции.
Въезд в проекте разместить на первом этаже в соответствии с проектом мастер-плана и матрицей кварталов.
Въездную полосу выполнять без уклона;
Допускается предусматривать световые проемы в стене между МОП и въездной полосой согласно стандарту
Планировочное решение МОП первого этажа С28 (ссылка)
Утепление въездной полосы применять в зависимости от региона согласно
Устройство штукатурного фасада (ссылка)</t>
  </si>
  <si>
    <t>Рампа для двухуровневого паркинга</t>
  </si>
  <si>
    <t>Въездная рампа размещается при двухуровневом паркинге на нижнем и первом этажах для въезда в -1 уровень паркинга. Длина рампы фиксированная и одинаковая в секциях разной ширины.
Въездную рампу в проекте принять в соответствии с проектом мастер-плана и матрицей кварталов.
Конструкции рампы выполнить согласно
Вертикальные конструкции рампы (ссылка)
Горизонтальные конструкции рампы (ссылка)
Утепление конструкций рампы принять согласно
Устройство штукатурного фасада (ссылка)
Состав пол рампы принять согласно
Пироги пола двухуровневого паркинга (ссылка)
Въездную рампу в контуре секции выполнить с уклоном 18%.
Часть рампы вне контура секции со стороны уличного фасада выполнить с уклоном 10%.</t>
  </si>
  <si>
    <r>
      <rPr>
        <sz val="8"/>
        <rFont val="Arial"/>
      </rPr>
      <t xml:space="preserve">При проектировании микромассинга, руководствоваться фасадными модулями(см.буклет коллекции).
 Толщину утеплителя смотреть </t>
    </r>
    <r>
      <rPr>
        <u/>
        <sz val="8"/>
        <color rgb="FF1155CC"/>
        <rFont val="Arial"/>
      </rPr>
      <t>Правила подбора толщины теплоизоляционного слоя</t>
    </r>
    <r>
      <rPr>
        <sz val="8"/>
        <rFont val="Arial"/>
      </rPr>
      <t xml:space="preserve"> 
 Монтаж утеплителя выполнять в соответствии с технологией производителя
Микромассинг в "+" и  "-"  в навесном вентилируемом фасаде выполнять с помощью подсистемы(максимальный вылет подсистемы 500 мм)
Микромассинг регламентирован для всего утеплителя надземных этажей.
Толщины и размеры см. граф. материалы</t>
    </r>
  </si>
  <si>
    <t>3.2 Планировочные решения</t>
  </si>
  <si>
    <r>
      <rPr>
        <sz val="8"/>
        <rFont val="Arial"/>
      </rPr>
      <t xml:space="preserve">Особенные квартиры:
-на 1 этаже с террасами;
-на особенном этаже, обладая уникальными характеристиками.
Типовые квартиры:
-на типовом этаже;
-на особенном этаже, не обладая уникальными характеристиками.
В планировке квартиры предусмотреть не меньше минимального набора помещений:
спальня
санузел
кухня или кухня-ниша, совмещенная со столовой (или гостиной - только для 0С)
прихожая
В квартире обеспечить нормативные требования по инсоляции помещений.
Внутриквартирные перегородки выполнять согласно стандарту
</t>
    </r>
    <r>
      <rPr>
        <u/>
        <sz val="8"/>
        <color rgb="FF1155CC"/>
        <rFont val="Arial"/>
      </rPr>
      <t>Перегородки</t>
    </r>
    <r>
      <rPr>
        <sz val="8"/>
        <rFont val="Arial"/>
      </rPr>
      <t xml:space="preserve"> 
Строительные проемы для межкомнатных дверей принять
для спальни, кабинета, кухни - 900х2100 мм;
для гардероба, санузла, постирочной - 800х2100 мм;
для гостиной, кухни-гостиной - ширина не менее 1000 мм, высота до потолка.
Не допускается размещать кухню, кухню-нишу, санузел, постирочную над жилым помещением. Не допускается размещать санузел над кухней и кухней-нишей (за исключением двухуровневых квартир).
При проектировании планировки квартиры обеспечивать минимальные площадки комнат:
спальня не менее 8 м²;
кухня-ниша не менее 5 м² для квартир типа 0С и 1С
кухня-ниша не менее 6 м² для квартир типа 2С, 3С, 4С и более
кухня не менее 8 м²
Готовые планировочные решения квартир собраны в стандартах планировочных решений квартир в зависимости от морфотипа.</t>
    </r>
  </si>
  <si>
    <r>
      <rPr>
        <sz val="8"/>
        <rFont val="Arial"/>
      </rPr>
      <t xml:space="preserve">Планировочное решение МОП выполнить в соответствии с зонированием первого этажа.
Строительные конструкции выбрать согласно стандарту
Планировки первого этажа С28
Планировочное решение МОП выбрать, исходя из следующих параметров:
- морфотип секции: рядовая или угловая;
- наличие/отсутствие паркинга на 1 этаже;
- наличие/отсутствие квартиры с входом из МОП;
- наличие/отсутствие примыкания арки во двор/рампы или въезда в паркинг/рампы для пожарной машины во двор.
При перепаде высот выполнить излом плиты по линии согласно графическим схемам и стандарту
</t>
    </r>
    <r>
      <rPr>
        <u/>
        <sz val="8"/>
        <color rgb="FF1155CC"/>
        <rFont val="Arial"/>
      </rPr>
      <t>Излом плит первого этажа</t>
    </r>
    <r>
      <rPr>
        <sz val="8"/>
        <rFont val="Arial"/>
      </rPr>
      <t xml:space="preserve"> 
Предусмотреть лестницу в МОП. Максимальная разница высот - 900 мм.</t>
    </r>
  </si>
  <si>
    <r>
      <rPr>
        <sz val="8"/>
        <rFont val="Arial"/>
      </rPr>
      <t xml:space="preserve">Планировочное решение МОП выполнить в соответствии с зонированием первого этажа.
Строительные конструкции выбрать согласно стандарту
Планировки первого этажа С50
Планировочное решение МОП выбрать, исходя из наличия/отсутствия паркинга на первом этаже.
При перепаде высот выполнить излом плиты по линии согласно графическим схемам и стандарту 
</t>
    </r>
    <r>
      <rPr>
        <u/>
        <sz val="8"/>
        <color rgb="FF1155CC"/>
        <rFont val="Arial"/>
      </rPr>
      <t>Излом плит первого этажа</t>
    </r>
    <r>
      <rPr>
        <sz val="8"/>
        <rFont val="Arial"/>
      </rPr>
      <t xml:space="preserve"> 
Предусмотреть лестницу в МОП. Максимальная разница высот - 900 мм.</t>
    </r>
  </si>
  <si>
    <r>
      <rPr>
        <sz val="8"/>
        <rFont val="Arial"/>
      </rPr>
      <t xml:space="preserve">Планировочные решения выполнять в соответствии с зонированием типового этажа.
Внутренние стены и перегородки выполнять согласно стандартам
</t>
    </r>
    <r>
      <rPr>
        <u/>
        <sz val="8"/>
        <color rgb="FF1155CC"/>
        <rFont val="Arial"/>
      </rPr>
      <t>Внутренние стены. Блок керамический</t>
    </r>
    <r>
      <rPr>
        <sz val="8"/>
        <rFont val="Arial"/>
      </rPr>
      <t xml:space="preserve"> , </t>
    </r>
    <r>
      <rPr>
        <u/>
        <sz val="8"/>
        <color rgb="FF1155CC"/>
        <rFont val="Arial"/>
      </rPr>
      <t>Перегородки</t>
    </r>
    <r>
      <rPr>
        <sz val="8"/>
        <rFont val="Arial"/>
      </rPr>
      <t xml:space="preserve"> , </t>
    </r>
    <r>
      <rPr>
        <u/>
        <sz val="8"/>
        <color rgb="FF1155CC"/>
        <rFont val="Arial"/>
      </rPr>
      <t>Внутренняя отделка</t>
    </r>
    <r>
      <rPr>
        <sz val="8"/>
        <rFont val="Arial"/>
      </rPr>
      <t xml:space="preserve"> 
Отверстия в стенах и перегородках выполнять согласно стандарту
</t>
    </r>
    <r>
      <rPr>
        <u/>
        <sz val="8"/>
        <color rgb="FF1155CC"/>
        <rFont val="Arial"/>
      </rPr>
      <t>Отверстия в не несущих конструкциях</t>
    </r>
    <r>
      <rPr>
        <sz val="8"/>
        <rFont val="Arial"/>
      </rPr>
      <t xml:space="preserve"> 
Конструктивные решения принять согласно стандарту
</t>
    </r>
    <r>
      <rPr>
        <u/>
        <sz val="8"/>
        <color rgb="FF1155CC"/>
        <rFont val="Arial"/>
      </rPr>
      <t>Каркас монолитный секция до 28 метров</t>
    </r>
    <r>
      <rPr>
        <sz val="8"/>
        <rFont val="Arial"/>
      </rPr>
      <t xml:space="preserve"> 
Дверные проемы и их заполнение принять согласно стандарту
</t>
    </r>
    <r>
      <rPr>
        <u/>
        <sz val="8"/>
        <color rgb="FF1155CC"/>
        <rFont val="Arial"/>
      </rPr>
      <t>Дверные проемы и их заполнение на типовом этаже С28, С50, Б50</t>
    </r>
    <r>
      <rPr>
        <sz val="8"/>
        <rFont val="Arial"/>
      </rPr>
      <t xml:space="preserve"> 
Полы принять согласно стандарту
</t>
    </r>
    <r>
      <rPr>
        <u/>
        <sz val="8"/>
        <color rgb="FF1155CC"/>
        <rFont val="Arial"/>
      </rPr>
      <t>Пироги пола типового этажа</t>
    </r>
    <r>
      <rPr>
        <sz val="8"/>
        <rFont val="Arial"/>
      </rPr>
      <t xml:space="preserve"> 
Планировочные решения типового этажа применимы только к типовым этажам.
Готовые решения планировок квартир типового этажа для конструктивного шага 3,45 м см. графические материалы.</t>
    </r>
  </si>
  <si>
    <r>
      <rPr>
        <sz val="8"/>
        <rFont val="Arial"/>
      </rPr>
      <t xml:space="preserve">Планировочные решения выполнять в соответствии с зонированием особенного этажа.
Внутренние стены и перегородки выполнять согласно стандарту
</t>
    </r>
    <r>
      <rPr>
        <u/>
        <sz val="8"/>
        <color rgb="FF1155CC"/>
        <rFont val="Arial"/>
      </rPr>
      <t>Перегородки</t>
    </r>
    <r>
      <rPr>
        <sz val="8"/>
        <rFont val="Arial"/>
      </rPr>
      <t xml:space="preserve"> 
Отверстия в стенах и перегородках выполнять согласно стандарту
</t>
    </r>
    <r>
      <rPr>
        <u/>
        <sz val="8"/>
        <color rgb="FF1155CC"/>
        <rFont val="Arial"/>
      </rPr>
      <t>Отверстия в не несущих конструкциях</t>
    </r>
    <r>
      <rPr>
        <sz val="8"/>
        <rFont val="Arial"/>
      </rPr>
      <t xml:space="preserve"> 
Конструктивные решения принять согласно стандарту
</t>
    </r>
    <r>
      <rPr>
        <u/>
        <sz val="8"/>
        <color rgb="FF1155CC"/>
        <rFont val="Arial"/>
      </rPr>
      <t>Каркас монолитный секция до 28 метров</t>
    </r>
    <r>
      <rPr>
        <sz val="8"/>
        <rFont val="Arial"/>
      </rPr>
      <t xml:space="preserve"> 
Дверные проемы и их заполнение принять согласно стандарту
</t>
    </r>
    <r>
      <rPr>
        <u/>
        <sz val="8"/>
        <color rgb="FF1155CC"/>
        <rFont val="Arial"/>
      </rPr>
      <t>Дверные проемы и их заполнение на особенном этаже С28, С50, Б50</t>
    </r>
    <r>
      <rPr>
        <sz val="8"/>
        <rFont val="Arial"/>
      </rPr>
      <t xml:space="preserve"> 
Полы принять согласно стандарту
</t>
    </r>
    <r>
      <rPr>
        <u/>
        <sz val="8"/>
        <color rgb="FF1155CC"/>
        <rFont val="Arial"/>
      </rPr>
      <t>Пироги пола особенного этажа</t>
    </r>
    <r>
      <rPr>
        <sz val="8"/>
        <rFont val="Arial"/>
      </rPr>
      <t xml:space="preserve"> 
Планировочные решения особенного этажа применимы только к особенным этажам.
Планировки и правила квартир особенного этажа для конструктивного шага 3,45 м см. графические материалы.</t>
    </r>
  </si>
  <si>
    <r>
      <rPr>
        <sz val="8"/>
        <rFont val="Arial"/>
      </rPr>
      <t xml:space="preserve">Планировочные решения выполнять в соответствии с зонированием особенного этажа.
Внутренние стены и перегородки выполнять согласно стандарту
</t>
    </r>
    <r>
      <rPr>
        <u/>
        <sz val="8"/>
        <color rgb="FF1155CC"/>
        <rFont val="Arial"/>
      </rPr>
      <t>Перегородки</t>
    </r>
    <r>
      <rPr>
        <sz val="8"/>
        <rFont val="Arial"/>
      </rPr>
      <t xml:space="preserve"> 
Отверстия в стенах и перегородках выполнять согласно стандарту
</t>
    </r>
    <r>
      <rPr>
        <u/>
        <sz val="8"/>
        <color rgb="FF1155CC"/>
        <rFont val="Arial"/>
      </rPr>
      <t>Отверстия в не несущих конструкциях</t>
    </r>
    <r>
      <rPr>
        <sz val="8"/>
        <rFont val="Arial"/>
      </rPr>
      <t xml:space="preserve"> 
Конструктивные решения принять согласно стандарту
</t>
    </r>
    <r>
      <rPr>
        <u/>
        <sz val="8"/>
        <color rgb="FF1155CC"/>
        <rFont val="Arial"/>
      </rPr>
      <t>Каркас монолитный секция до 50 метров</t>
    </r>
    <r>
      <rPr>
        <sz val="8"/>
        <rFont val="Arial"/>
      </rPr>
      <t xml:space="preserve"> 
Дверные проемы и их заполнение принять согласно стандарту
</t>
    </r>
    <r>
      <rPr>
        <u/>
        <sz val="8"/>
        <color rgb="FF1155CC"/>
        <rFont val="Arial"/>
      </rPr>
      <t>Дверные проемы и их заполнение на особенном этаже С28, С50, Б50</t>
    </r>
    <r>
      <rPr>
        <sz val="8"/>
        <rFont val="Arial"/>
      </rPr>
      <t xml:space="preserve"> 
Полы принять согласно стандарту
</t>
    </r>
    <r>
      <rPr>
        <u/>
        <sz val="8"/>
        <color rgb="FF1155CC"/>
        <rFont val="Arial"/>
      </rPr>
      <t>Пироги пола особенного этажа</t>
    </r>
    <r>
      <rPr>
        <sz val="8"/>
        <rFont val="Arial"/>
      </rPr>
      <t xml:space="preserve"> 
Планировочные решения особенного этажа применимы только к особенным этажам.
Планировки и правила квартир особенного этажа для конструктивного шага 3,45 м см. графические материалы.</t>
    </r>
  </si>
  <si>
    <r>
      <rPr>
        <sz val="8"/>
        <rFont val="Arial"/>
      </rPr>
      <t xml:space="preserve">При проектировании тамбура руководствоваться данным стандартом.
Глубину тамбура со стороны улицы принять 1540 мм от внутренней плоскости кладки керамического блока до плоскости остекления второй ветки витража 
Глубину тамбура со стороны двора принять 2650 мм от внутренней плоскости кладки керамического блока до плоскости остекления второй ветки витража
Принять типовой проем под входной витраж - 2420 мм 
Отметку чистого пола в МОПе и тамбуре принять +0.000
 Отметка благоустройства по периметру здания принять -0.015
Отметку потолка в тамбуре принять не выше +3.520
Отметку потолка в МОПе принять не выше +3.370
( минимальный размер подшивки потолка - 350 мм)
см. графические материалы:
Расположение входной группы МОП. Заглубленный в фасад(ссылка)
Расположение входной группы МОП. В подрезке(ссылка)
Утепление тамбура :
- по стенам применять минераловатный утеплитель плотностью не менее 110 кг/ м³ в зависимости от региона 
-по потолку принять минераловатный утеплитель плотностью не менее 110 кг/ в два слоя по 100 мм (общая толщина 200 мм)
см. таблицу </t>
    </r>
    <r>
      <rPr>
        <u/>
        <sz val="8"/>
        <color rgb="FF1155CC"/>
        <rFont val="Arial"/>
      </rPr>
      <t>Правила подбора толщины теплоизоляционного слоя</t>
    </r>
    <r>
      <rPr>
        <sz val="8"/>
        <rFont val="Arial"/>
      </rPr>
      <t xml:space="preserve"> 
</t>
    </r>
    <r>
      <rPr>
        <u/>
        <sz val="8"/>
        <color rgb="FF1155CC"/>
        <rFont val="Arial"/>
      </rPr>
      <t>Система грязезащиты. Первая ступень. Планировочные решения</t>
    </r>
    <r>
      <rPr>
        <sz val="8"/>
        <rFont val="Arial"/>
      </rPr>
      <t xml:space="preserve"> </t>
    </r>
  </si>
  <si>
    <r>
      <rPr>
        <sz val="8"/>
        <rFont val="Arial"/>
      </rPr>
      <t xml:space="preserve">Система фасадная теплоизоляционная композиционная (СФТК). Выбор данной системы обусловлен коллекцией, не должен противоречить проценту СФТК, указанному в матрице классов. 
Состав системы СФТК: 
- минераловатный утеплитель по региону
- базовый штукатурный состав
- 1 слой армирующей сетки
- декоративно-защитный состав
- окрасочный слой
В качестве теплоизоляционного слоя применять однослойные плиты из минеральной (каменной) ваты на синтетическом связующем.
Толщина утеплителя:
- Основная плоскость СФТК смотреть толщину в таблице </t>
    </r>
    <r>
      <rPr>
        <u/>
        <sz val="8"/>
        <color rgb="FF1155CC"/>
        <rFont val="Arial"/>
      </rPr>
      <t>Правила подбора толщины теплоизоляционного слоя</t>
    </r>
    <r>
      <rPr>
        <sz val="8"/>
        <rFont val="Arial"/>
      </rPr>
      <t xml:space="preserve"> </t>
    </r>
  </si>
  <si>
    <r>
      <rPr>
        <sz val="8"/>
        <rFont val="Arial"/>
      </rPr>
      <t xml:space="preserve">Навесная фасадная система состоит из несущего каркаса, теплоизоляции, паропроницаемого полотна и внешней облицовки, задающей дизайн и стиль по буклету коллекии
Материал навесной фасадной системы выбирать согласно буклету коллекции :
Для цокольной части применять:
-Кирпич
-СФБ-панели / Префабрицированные панели
Для первого этажа:
-Кирпич
-Керамогранит
-СФБ-панели
-Префаб панели 
-Натуральный камень
Для типового этажа:
-Кирпич
-Клинкерная/бетонная плитка
-Композит
Для особенного этажа:
-Клинкерная/бетонная плитка
-Композит
В качестве теплоизоляционного слоя системы применять двухслойные плиты из минеральной (каменной) ваты на синтетическом связующем.
Толщину теплоизоляционного слоя смотреть по таблице </t>
    </r>
    <r>
      <rPr>
        <u/>
        <sz val="8"/>
        <color rgb="FF1155CC"/>
        <rFont val="Arial"/>
      </rPr>
      <t>Правила подбора толщины теплоизоляционного слоя</t>
    </r>
    <r>
      <rPr>
        <sz val="8"/>
        <rFont val="Arial"/>
      </rPr>
      <t xml:space="preserve"> 
Максимальный вылет подсистемы принять :
Для кирпича,клинкерной плитки,бетонной плитки,керамогранита,композита,префаб-панелей: 500 мм
Для стеклофибробетона,натурального камня:450 мм</t>
    </r>
  </si>
  <si>
    <r>
      <rPr>
        <sz val="8"/>
        <rFont val="Arial"/>
      </rPr>
      <t xml:space="preserve">Фасадная система «АКВАПАНЕЛЬ» представляет собой конструкцию, разработанную на принципе навесных фасадов с вентилируемым воздушным зазором, образованным между облицовочным материалом и теплоизоляцией. 
Несущая конструкция представляет собой каркас из оцинкованной стали с полимерным покрытием или нержавеющей стали,устанавливаемый на стене здания и закрепленные на нем плиты АКВАПАНЕЛЬ с отделкой штукатурным слоем.
 Основными элементами подконструкции являются несущие кронштейны и удлинители кронштейнов, направляющие (несущие) и вспомогательные профили.
 Несущие кронштейны, в виде неравнополочного уголка, крепить к стене через специальные паронитовые прокладки.
Технические решения, принятые в проектной документации,должны отвечать требованиям, предъявляемым к фасадной системе и материалам, входящим в ее состав, теплотехническому расчету, расчету на статические, ветровые и прочие нагрузки, физико-механическим параметрам, коррозионной стойкости, пожарной безопасности и а также привязке предлагаемых проектных решений к буклету коллекции.
В качестве теплоизоляционного слоя системы применять двухслойные плиты из минеральной (каменной) ваты на синтетическом связующем.
Толщину теплоизоляционного слоя смотреть по 
таблице </t>
    </r>
    <r>
      <rPr>
        <u/>
        <sz val="8"/>
        <color rgb="FF1155CC"/>
        <rFont val="Arial"/>
      </rPr>
      <t>Правила подбора толщины теплоизоляционного слоя</t>
    </r>
    <r>
      <rPr>
        <sz val="8"/>
        <rFont val="Arial"/>
      </rPr>
      <t xml:space="preserve"> 
Фасадную систему «АКВАПАНЕЛЬ» применять согласно буклету коллекции</t>
    </r>
  </si>
  <si>
    <r>
      <rPr>
        <sz val="8"/>
        <rFont val="Arial"/>
      </rPr>
      <t>Паттерн - повторяемый рисунок, расположение, цвет и периодичность элементов которого строго регламентированы. Выбор осуществляется на основе каталога паттернов корзин кондиционера. 
Выбор паттерна корзины кондиционера осуществляется на основании принципиальных решений коллекции архитектуры. Использовать совместно со стандартами “</t>
    </r>
    <r>
      <rPr>
        <u/>
        <sz val="8"/>
        <color rgb="FF1155CC"/>
        <rFont val="Arial"/>
      </rPr>
      <t>Корзина кондиционера на ЛП</t>
    </r>
    <r>
      <rPr>
        <sz val="8"/>
        <rFont val="Arial"/>
      </rPr>
      <t xml:space="preserve"> ”, “</t>
    </r>
    <r>
      <rPr>
        <u/>
        <sz val="8"/>
        <color rgb="FF1155CC"/>
        <rFont val="Arial"/>
      </rPr>
      <t>Корзина кондиционера под окно</t>
    </r>
    <r>
      <rPr>
        <sz val="8"/>
        <rFont val="Arial"/>
      </rPr>
      <t xml:space="preserve"> ”.
Размещение определяется в соответствии с концепцией архитектуры (летнее помещение, под окном).
Располагать конструкции согласно детальным чертежам (см. графические материалы).</t>
    </r>
  </si>
  <si>
    <t>Пироги пола одноуровневого паркинга</t>
  </si>
  <si>
    <t>Выбор данного покрытия определяется в соответствии с функциональной зоной.
Пол паркинг. Одноуровневый:
1. Пропитка укрепляющая для бетона BASF MasterTop C714
2. Смесь BASF MasterTop 450 серый или терракот - 20 мм
Покрытие въездной рампы паркинга:
Покрытие шероховатое, исключающее скольжению. Укладка по типу "Елочкой"
1. Плитка тротуарная по типу Бехатон - 80 мм.
2. Цементно-песчаный раствор М150 - от 20 мм.
3. Цементно-песчаная стяжка М150 - 50 мм. - с участками электрокабеля обогрева рампы.
4. Гидроизоляция обмазочная в 2 слоя, Мастика гидроизоляционная ТЕХНОНИКОЛЬ No24
5. Праймер битумный ТЕХНОНИКОЛЬ No01
В конструкции полов автостоянки, не выполнять разуклонку полов.
Состав пола см. графическую часть.</t>
  </si>
  <si>
    <t>Пироги пола двухуровневого паркинга</t>
  </si>
  <si>
    <t>Выбор данного покрытия определяется в соответствии с функциональной зоной. 
Пол паркинг. Многоуровневый - нижний уровень:
1. Пропитка укрепляющая для бетона BASF MasterTop C714
2. Смесь BASF MasterTop 450 серый или терракот - 20 мм
Пол паркинг. Многоуровневый - верхний уровень:
1. Смесь BASF MasterTop P 135 PF серый или терракотовый - 20 мм
2. Эпоксидная грунтовка BASF MasterTop P 622 или BASF MasterTop P 615
Покрытие въездной рампы паркинга:
Покрытие шероховатое, исключающее скольжению. Укладка по типу "Елочкой"
1. Плитка тротуарная по типу Бехатон - 80 мм.
2. Цементно-песчаный раствор М150 - от 20 мм.
3. Цементно-песчаная стяжка М150 - 50 мм. - с участками электрокабеля обогрева рампы.
4. Гидроизоляция обмазочная в 2 слоя, Мастика гидроизоляционная ТЕХНОНИКОЛЬ No24
5. Праймер битумный ТЕХНОНИКОЛЬ No01
Покрытие внутренней рампы паркинга:
1. Пропитка укрепляющая для бетона BASF MasterTop C714
2. Смесь BASF MasterTop 450 серый или терракот - 20 мм
3. Цементно - песчаная стяжка м³ - 80 мм
В конструкции полов автостоянки не выполнять разуклонку полов.
Состав пола см. графическую часть.</t>
  </si>
  <si>
    <t>Использовать при заполнении каркаса керамическим блоком 380х219(h) совместно со стандартом “Внешние стены. Блок керамический”. Типоразмеры проемов предназначены для применения на типовом этаже, высотой 3.0 м. Выбор ширины проема (b) определяется коллекцией. При выборе высоты проема (h) необходимо учитывать функциональное назначение модуля.
Фасадный модуль с окном - рекомендуемые типы проемов:
h = 1865 мм;
b = 965 мм; 1060 мм; 1360 мм; 1550 мм; 1740 мм; 1930 мм; 2310 мм; 2690 мм.
Фасадный модуль с террасой - рекомендуемые типы проемов: 
h = 2095 мм;
b = 965 мм; 1360 мм; 1550 мм; 1740 мм; 1930 мм; 2310 мм.
Фасадный модуль с балконом - рекомендуемые типы проемов: 
h = 2565 мм;
b = 965 мм; 1360 мм; 1550 мм; 1740 мм; 1930 мм; 2310 мм.
При высоте проема h = 1865 мм - располагать низ проема на отметке 700 мм от верха плиты перекрытия текущего этажа. 
При высоте проема h = 2095 мм - располагать низ проема на отметке 470 мм от верха плиты перекрытия текущего этажа.
При высоте проема h = 2565 мм - располагать низ проема на отметке 0 мм от верха плиты перекрытия текущего этажа.
Располагать (привязывать к осям) оконный проем кратно ½ керамического блока (min 380 мм) в соответствии с принципами коллекции. При наличии монолитной стены/пилона в одной плоскости с проемом, привязка ведется не от оси, а от торца монолитной стены/пилона в соответствии с принципами коллекции. Положение перемычки определяется стандартом “Перемычки оконных проемов”. Расстановку необходимого инженерного оборудования предусмотреть согласно стандарту “Принцип размещения радиаторов, приточных вентиляционных клапанов, кондиционеров”.</t>
  </si>
  <si>
    <r>
      <rPr>
        <sz val="8"/>
        <rFont val="Arial"/>
      </rPr>
      <t>Использовать при заполнении каркаса керамическим блоком 380х219(h) совместно со стандартом “</t>
    </r>
    <r>
      <rPr>
        <u/>
        <sz val="8"/>
        <color rgb="FF1155CC"/>
        <rFont val="Arial"/>
      </rPr>
      <t>Внешние стены. Блок керамический.</t>
    </r>
    <r>
      <rPr>
        <sz val="8"/>
        <rFont val="Arial"/>
      </rPr>
      <t xml:space="preserve"> ”. Типоразмеры проемов предназначены для применения на верхнем этаже (жилая надстройка), высотой 3.02м.
Выбор ширины проема (b) определяется коллекцией.
Фасадный модуль с террасой - рекомендуемые типы проемов: 
h = 2095 мм
b = 965 мм; 1360 мм; 1550 мм; 1740 мм; 1930 мм; 2310 мм; 2500 мм; 2690 мм.
При высоте проема h = 2095 мм - располагать низ проема на отметке 470 мм от верха плиты перекрытия текущего этажа.
Располагать (привязывать к осям) оконный проем кратно ½ керамического блока (min 380 мм) в соответствии с принципами коллекции. При наличии монолитной стены/пилона в одной плоскости с проемом, привязка ведется не от оси, а от торца монолитной стены/пилона в соответствии с принципами коллекции. Положение перемычки определяется стандартом “</t>
    </r>
    <r>
      <rPr>
        <u/>
        <sz val="8"/>
        <color rgb="FF1155CC"/>
        <rFont val="Arial"/>
      </rPr>
      <t>Перемычки оконных проемов</t>
    </r>
    <r>
      <rPr>
        <sz val="8"/>
        <rFont val="Arial"/>
      </rPr>
      <t xml:space="preserve"> ”. Расстановку необходимого инженерного оборудования предусмотреть согласно стандарту “</t>
    </r>
    <r>
      <rPr>
        <u/>
        <sz val="8"/>
        <color rgb="FF1155CC"/>
        <rFont val="Arial"/>
      </rPr>
      <t>Принцип размещения радиаторов, приточных вентиляционных клапанов, кондиционеров</t>
    </r>
    <r>
      <rPr>
        <sz val="8"/>
        <rFont val="Arial"/>
      </rPr>
      <t xml:space="preserve"> ”.</t>
    </r>
  </si>
  <si>
    <t>Оконные конструкции выбирать в соответствии со стандартом “Оконные проемы типового (3.0 м) этажа”.
Выбор строительных конструкций при проектировании модуля осуществляется на основании коллекции архитектуры и концепции архитектуры. Выбор характеристик со стороны фасада “цвет” RAL профиля определяется коллекцией архитектуры, со стороны квартиры RAL Classic 9003.
Данные оконные конструкции предназначены для использования на типовом этаже высотой 3.0 м 
Располагать конструкцию в оконном проеме в соответствии с данным стандартом (см. графические материалы). Предусмотреть монтажный зазор сбоку от края проема 50 мм, монтажный зазор сверху от края проема определить в соответствии с узлами альбома “АР.ОБ-У-09.23” раздела “3.2.1.Окна ПВХ”, монтажный зазор снизу от края проема зависит от функционального назначения конструкции: 
- окно (h = 1765 мм) - 50 мм;
- терраса (h = 2030 мм) - 15 мм;
- балкон (h = 2510 мм) - 5 мм.
В оконных конструкция использовать одну или несколько формул стеклопакета:
- 4-14-4-14-4;
- 6-12-4-14-4;
- 6-12-4-14-4;
- 8-12-6-12-6.
Формулы принять согласно графическим материалам.</t>
  </si>
  <si>
    <t>Оконные конструкции выбирать в соответствии со стандартом "Оконные проемы первого этажа".
Выбор строительных конструкций при проектировании модуля осуществляется на основании коллекции архитектуры и концепции архитектуры. Выбор характеристик со стороны фасада “цвет” RAL профиля определяется коллекцией архитектуры, со стороны квартиры RAL Classic 9003. Высота констркукции зависит от высоты этажа.
Данные оконные конструкции предназначены для использования на первом этаже и зависят от высоты этажа.
Располагать конструкцию в оконном проеме в соответствии с данным стандартом (см. графические материалы). Предусмотреть монтажный зазор сбоку от края проема 50 мм, монтажный зазор сверху от края проема определить в соответствии с узлами альбома “АР.ОБ-У-09.23” раздела “3.2.1.Окна ПВХ”, монтажный зазор снизу от края проема зависит от функционального назначения конструкции: 
- терраса (h = 2030 мм) - 15 мм.
В оконных конструкция использовать одну или несколько формул стеклопакета :
4-14-4-14-4
6-12-4-14-4
6-12-4-14-4
8-12-6-12-6
Формулы принять согласно графическим материалам.</t>
  </si>
  <si>
    <t>Выполнить статические испытания свай. При сваях стойках выполнить динамические испытания для уточнения длины.
Сваи для испытаний определить проектом.
Сваи для испытания располагать внутри периметра проектируемого объекта строительства. Положение свай определить таким образом, чтобы сохранить возможность дальнейшей эксплуатации свай в проектируемом сооружении.
Положение свай для испытаний согласовать с заказчиком.</t>
  </si>
  <si>
    <r>
      <rPr>
        <sz val="8"/>
        <rFont val="Arial"/>
      </rPr>
      <t xml:space="preserve">Для выполнения каркаса с подрезкой и без подрезки на верхних этажах использовать монолитные пилоны сечением 250х600 мм, 250х900 мм, 250х1800 мм.
Применять пилоны:
 - сечением 250х600 мм в случае подрезки на 2 последних этажах (в том числе верхний этаж);
 - сечением 250х900 мм в случае подрезки на 3 последних этажах (в том числе верхний этаж), для решения массинга углов.
 - сечением 250х1800 мм, переходной пилон под пилонами 250х600 мм, 250х900 мм.
При подрезке массинга на двух последних этажах, возможно применение пилонов сечением 250х600 мм, при подрезке массинга на 3 этажах последних этажах  - применять пилоны только сечением 250х900 мм.
Местоположение и привязки выполнять в соответствии со </t>
    </r>
    <r>
      <rPr>
        <u/>
        <sz val="8"/>
        <color rgb="FF1155CC"/>
        <rFont val="Arial"/>
      </rPr>
      <t>Стандарт массинга</t>
    </r>
    <r>
      <rPr>
        <sz val="8"/>
        <rFont val="Arial"/>
      </rPr>
      <t xml:space="preserve"> .</t>
    </r>
  </si>
  <si>
    <t>Расчетный уровень грунтовых вод определить проектом исходя из отчета инженерно-геологических изысканий с учетом естественных сезонных и многолетних колебаний уровней подземных вод.
В проекте принять: 
- Низкий уровень грунтовых вод (УГВ), если расстояние от верха фундаментной плиты дома до расчетного уровня грунтовых вод  более 1м;
- Высокий уровень грунтовых вод (УГВ), если расстояние от верха фундаментной плиты до расчетного уровня грунтовых вод менее 1м.</t>
  </si>
  <si>
    <t>Разработать систему водопонижения на период выполнения строительно-монтажных работ. Откачку воды производить на уровень ниже дна планируемого котлована не менее чем на 0.5м.
Устройство зумпфров для откачки вод разрабатывается в разделе ПОС.</t>
  </si>
  <si>
    <t>При всех уровнях грунтовых вод выполнить пристенный дренаж вдоль наружного контура здания.
При высоком уровне грунтовых вод выполнить систему дренажа: пластовый дренаж под автостоянкой, пристенный дренаж вдоль наружного контура здания.
Проектные решения согласовать с Заказчиком.
Состав и расчет дренажа разрабатывается в разделе ВК.</t>
  </si>
  <si>
    <r>
      <rPr>
        <sz val="8"/>
        <color theme="1"/>
        <rFont val="Arial"/>
      </rPr>
      <t xml:space="preserve">Каркасно - стеновая (смешанная) с ядром жесткости, с монолитными железобетонными плитами перекрытия и покрытия.
Определить необходимость разработки временного ограждения котлована на момент производства работ (шпунтового ограждения). Решения по ограждению котлована уточнить с учетом оценки влияния от строительства на объекты окружающей застройки при разработке проектной документации.
При необходимости использовать сваи по серии 1.011.1-10 длину свай определить расчетом. 
В расчетной записке указать максимально допустимую нагрузку на сваю.
Требования к нагрузкам:
• Принять следующие временные, нормативные нагрузки: квартиры 150кг/м², офисы 200кг/м², пути эвакуации 300кг/м², торговые залы 400кг/м².
• Нагрузки от климатических воздействий согласно СП 20.13330.2016.
• Расчет должен учитывать этапность возведения каркаса (порядок строительства и приложения расчетной нагрузки).
• Моделирование конечно элементной модели каркаса и расчет осадок сооружения выполнять на упругопластическом нелинейном основании.
</t>
    </r>
    <r>
      <rPr>
        <b/>
        <sz val="8"/>
        <color theme="1"/>
        <rFont val="Arial"/>
      </rPr>
      <t xml:space="preserve">Основные параметры каркаса:
</t>
    </r>
    <r>
      <rPr>
        <sz val="8"/>
        <color theme="1"/>
        <rFont val="Arial"/>
      </rPr>
      <t xml:space="preserve">Базовый шаг вертикальных конструкции 3450мм.
Предусмотреть деформационные швы на границе сблокированных секций при разнице высот секций в два и более этажей или при суммарной длине сблокированных секций более 55 м (16 базовых шагов по 3,45 м).
• Плита фундаментная монолитная </t>
    </r>
    <r>
      <rPr>
        <b/>
        <sz val="8"/>
        <color theme="1"/>
        <rFont val="Arial"/>
      </rPr>
      <t xml:space="preserve">- </t>
    </r>
    <r>
      <rPr>
        <sz val="8"/>
        <color theme="1"/>
        <rFont val="Arial"/>
      </rPr>
      <t>по расчету, но не более 900 мм
• Стена приямка лифтового монолитная 300 мм
• Плита приямка лифтового монолитная 500 мм
• Стена монолитная 250 мм - Наружная стена подвала, Стена арка, Стена рампа 
• Стена лестнично - лифтового узла монолитная 180 мм - (с -1 по 16, 17 этаж)
• Пилон монолитный 250х1500; 250х1800 мм - Пилон каркаса переходной
• Пилон монолитный 250х900; 250х1200 мм - Пилон каркаса (с -1 по 16, 17 этаж)
• Пилон монолитный 250х600 мм - Пилон каркаса (чердак)
• Плита перекрытия монолитная 180 мм - (между -1 и 1 этажом, между типовыми этажами, перекрытие над аркой, перекрытие над рампой)
• Плита перекрытия монолитная 200 мм - (между последним этажом и чердаком)
• Плита покрытия монолитная 200 мм - Покрытие чердака
Исключить применение разгрузочных балок за исключением въездных арок и рамп.
Класс поверхности для лицевой поверхности стен, колонн и нижняя поверхность перекрытий, лестничных маршей и площадок подготовленная под отделку принять - А4 согласно приложения Х, СП 70.13330.2012.
Класс поверхности для лицевой (верхней) поверхности для фундаментных плит, плит перекрытия ниже нуля принять - А6 согласно приложения Х, СП 70.13330.2012.</t>
    </r>
  </si>
  <si>
    <t>Фоновое и дополнительное армирование плит/фундаментов выполнять типовыми сетками. Для дополнительного армирования плит/фундаментов использовать типовые сетки, если нет подходящей сетки использовать отдельные стержни. Поддерживающие элементы фундаментов выполнять ввиде типовых сеток.
Стены ЛЛУ и пилоны армировать типовыми сетками.
Отдельные арматурные стержни использовать при: 
- армировании стен ЛЛУ: все гнутые элементы, элементы усиления;
- армировании конструкций паркинга, балок - полностью;
- армировании фундаментов: выпуски, гнутые элементы, приямки;
- армировании конструкций арки и рампы (кроме плиты проезда);
- армирование плит: поддерживающие элементы, стержни дополнительного армирования, если невозможно подобрать типовые сетки;
Использовать арматуру классов А240; А500С. Максимальная длина прута арматурного стержня 11700 мм (для армирования отдельными стержнями).
Стены монолитные толщиной 250мм, армировать отдельными стержнями с шагом по расчету, но не более 400 мм.
Пилоны армировать двумя плоскими сетками, объединенными гнутыми элементами.
Плиты армировать плоскими сетками. Нижнее армирование выполнить сетками по всей площади. Исключить верхнее армирование в пролете. Дополнительное верхнее армирование в опорных зонах принять по расчету. 
Фундаментные плиты армировать плоскими сетками. Нижнее и верхнее армирование выполнить однонаправленными сетками. Дополнительное армирование выполнять из однонаправленных или двунаправленных сеток. Поддерживающие каркасы выполнить из сеток. 
Арматурные типовые сетки и отдельные стержни располагать с соблюдением требования по защитным слоям в железобетонных конструкциях.
Правила расположения арматурных стержней и сеток принять в соответствии со:
- Стандарт Армирование отдельными стержнями (ссылка);
- Стандарт Армирование сетками (ссылка).</t>
  </si>
  <si>
    <t>При сборе нагрузок на объект строительства использовать актуальные нормативные акты.
Для каждого типа нагрузки (временные, постоянные, особые) определить долю длительности и назначить коэффициент надежности в соответствии с нормативными документами.
Отступление от паспорта нагрузок должно быть ообосновано расчетом и согласовано с Заказчиком.
Принять следующие временные нормативные нагрузки: 
- квартиры, зоны отдыха на покрытии - 150кг/м²;
- офисы и бытовые помещения 200кг/м²;
- балконы/лоджии по двум вариантам. Для первого варинта расчета сплошной равномерной нагрузкой на всей площади - 200кг/м², для второго варианта полосовой равномерной нагрузкой на участке  шириной 0,8 м вдоль ограждения балкона -  400кг/м²;
- пути эвакуации 300кг/м²;
- торговые залы 400кг/м²;
- паркинг 350 кг/м²; 
- рампа и подъездные пути 500 кг/м².
Нагрузки от полов, кровли и перегородок принять по заданию АР. На уникальных этажах применять распределенную эквивалентную нагрузку от перегородок по площади в жилой части. 
Нагрузку от ландшафта на плиту покрытия паркинга принять по заданию генерального плана. 
Ветровые и снеговые нагрузки принимать в соответствии с районом строительства объекта. Ветровую нагрузку задать с учетом динамических пульсационных воздействий.  В зоне концентрации двух и более снеговых мешков, допустимо принять распределенную нагрузку соответствующую 2μ. 
При полном расположении стены в грунте и горизонтальной поверхности земли считать давление грунта покоя на стену нижнего этажа. Нагрузку от давления грунта принимать с учетом давления грунтовых вод при их наличии. Нагрузку от давления грунта принимать с учетом давления пожарной машины в случае, если она имеет возможность находиться ближе, чем глубина стены до фундамента.
Значение нагрузки от пожарной машины следует принимать согласно техническим данным транспортных средств. При отсутствии паспортных данных транспортных средств следует принимать нормативное значение нагрузки от веса пожарных автомобилей не менее 3.67 т/м².
Значение нагрузки от снегоуборочной техники следует принимать согласно техническим данным транспортных средств.
Расчет нагрузок предусмотреть для всех перечисленных воздействий и приложить ко всему контуру дома.</t>
  </si>
  <si>
    <t>В зависимости от характера приложения использовать сосредоточенные, линейные или распределенные нагрузки.
Нагрузки прикладывать к аналитической модели сооружения в соответсвии с реальной работой конструкции.
Нагрузки располагать в жилой части, МОПах технических помещениях и на кровле конструкции.
Ветровую нагрузку прикладывать как распределенную по дискам перекрытий. При расположении ЛЛУ во внутридворовом фасаде ветровую нагрузку также прикладывать к стене ЛЛУ по площади. 
Нагрузки от перегородок, парапетов и лестничных маршей прикладывать как линейную вдоль расположения конструкций.
Нагрузки от полов, слоев покрытия, снеговые нагрузки и полезные нагрузки от людей прикладывать на плиты как распределенную по площади. Нагрузку от давления грунта прикладывать как распределенную трапецевидную.
Нагрузку от пожарной машины и снегоуборщика прикладывать как распределенную по площади только в зоне проезда (при наличии).
Нагрузки от префаб балконов, префаб площадок и префаб фасадов прикладывать в точку опирания как сосредоточенную нагрузку с крутящим моментом (при наличии).</t>
  </si>
  <si>
    <r>
      <rPr>
        <sz val="8"/>
        <rFont val="Arial"/>
      </rPr>
      <t xml:space="preserve">Стены ЛЛУ принять монолитные толщиной 160 мм.
Монолитные стены ЛЛУ армировать плоскими типовыми сетками.
Марку бетона подобрать по требованиям к каркасам </t>
    </r>
    <r>
      <rPr>
        <u/>
        <sz val="8"/>
        <color rgb="FF1155CC"/>
        <rFont val="Arial"/>
      </rPr>
      <t>Каркас С28</t>
    </r>
    <r>
      <rPr>
        <sz val="8"/>
        <rFont val="Arial"/>
      </rPr>
      <t xml:space="preserve"> , </t>
    </r>
    <r>
      <rPr>
        <u/>
        <sz val="8"/>
        <color rgb="FF1155CC"/>
        <rFont val="Arial"/>
      </rPr>
      <t>Каркас С50</t>
    </r>
    <r>
      <rPr>
        <sz val="8"/>
        <rFont val="Arial"/>
      </rPr>
      <t xml:space="preserve"> , </t>
    </r>
    <r>
      <rPr>
        <u/>
        <sz val="8"/>
        <color rgb="FF1155CC"/>
        <rFont val="Arial"/>
      </rPr>
      <t>Каркас Б50</t>
    </r>
    <r>
      <rPr>
        <sz val="8"/>
        <rFont val="Arial"/>
      </rPr>
      <t xml:space="preserve"> 
Стены ЛЛУ располагать согласно стандарту на каркас ЛЛУ и концепции. В секциях С28 и С50 каркас ЛЛУ располагать во внутриквартальном пространстве, для Б50 каркас ЛЛУ располагать в центральной части.
Расстояние от центра вертикального стержня до грани стены брать, соблюдая основные конструтивные требования.</t>
    </r>
  </si>
  <si>
    <t>5.1.18</t>
  </si>
  <si>
    <r>
      <rPr>
        <sz val="8"/>
        <rFont val="Arial"/>
      </rPr>
      <t xml:space="preserve">Для позиционирования и установки малых архитектурных форм выполнить фундаменты в соответствии с требованиями </t>
    </r>
    <r>
      <rPr>
        <u/>
        <sz val="8"/>
        <color rgb="FF1155CC"/>
        <rFont val="Arial"/>
      </rPr>
      <t>Фундаменты игрового и спортивного оборудования. Технические решения</t>
    </r>
    <r>
      <rPr>
        <sz val="8"/>
        <rFont val="Arial"/>
      </rPr>
      <t xml:space="preserve"> 
Для фундаментов использовать бетон марки не ниже В15, армирование выполнять арматурой класса А500С или сетками по ГОСТ 23279, ГОСТ 6727.
Местоположение и привязки в плане выполнять по концепции.
Устройство фундаментов, глубину заложения и их габариты выполнить в соответствии рекомендациями производителя и узлами ГП.БГ-У. Фундаменты под игровое оборудование на детской площадке выполнить с скругленнием в верхней зоне.</t>
    </r>
  </si>
  <si>
    <t>5.1.19</t>
  </si>
  <si>
    <r>
      <rPr>
        <sz val="8"/>
        <rFont val="Arial"/>
      </rPr>
      <t xml:space="preserve">Гидроизоляция конструций зависит от инженерно-геологических изысканий и элемента подземной части сооружения. 
Гидроизоляция делится на несколько типов: 
- вертикальная;
- горизонтальная. 
При агрессивных средах предусмотреть дополнительные мероприятия в соответствии с нормативной документацией.
При высоком УГВ выполнить гидроизоляцию по бетонной подготовке.
Во всех случаях выполнять гидроизоляцию стен подземной части с внешней стороны наружных стен и плиты покрытия паркинга в составе кровельного пирога паркинга. 
Состав материалов и этапность проведения принять в соответствии с:
- Стандарт </t>
    </r>
    <r>
      <rPr>
        <u/>
        <sz val="8"/>
        <color rgb="FF1155CC"/>
        <rFont val="Arial"/>
      </rPr>
      <t>Гидроизоляция фундамента</t>
    </r>
    <r>
      <rPr>
        <sz val="8"/>
        <rFont val="Arial"/>
      </rPr>
      <t xml:space="preserve"> ;
- Стандарт </t>
    </r>
    <r>
      <rPr>
        <u/>
        <sz val="8"/>
        <color rgb="FF1155CC"/>
        <rFont val="Arial"/>
      </rPr>
      <t>Гидроизоляция и теплоизоляция стен подземной части</t>
    </r>
    <r>
      <rPr>
        <sz val="8"/>
        <rFont val="Arial"/>
      </rPr>
      <t xml:space="preserve"> ;
- Стандарт </t>
    </r>
    <r>
      <rPr>
        <u/>
        <sz val="8"/>
        <color rgb="FF1155CC"/>
        <rFont val="Arial"/>
      </rPr>
      <t>Деформационный шов жилой части</t>
    </r>
    <r>
      <rPr>
        <sz val="8"/>
        <rFont val="Arial"/>
      </rPr>
      <t xml:space="preserve"> ;
- Стандарт </t>
    </r>
    <r>
      <rPr>
        <u/>
        <sz val="8"/>
        <color rgb="FF1155CC"/>
        <rFont val="Arial"/>
      </rPr>
      <t>Деформационный шов паркинга</t>
    </r>
    <r>
      <rPr>
        <sz val="8"/>
        <rFont val="Arial"/>
      </rPr>
      <t xml:space="preserve"> ;
- Стандарт </t>
    </r>
    <r>
      <rPr>
        <u/>
        <sz val="8"/>
        <color rgb="FF1155CC"/>
        <rFont val="Arial"/>
      </rPr>
      <t>Деформационный шов между жилой частью и паркингом</t>
    </r>
    <r>
      <rPr>
        <sz val="8"/>
        <rFont val="Arial"/>
      </rPr>
      <t xml:space="preserve"> ;
- Стандарт </t>
    </r>
    <r>
      <rPr>
        <u/>
        <sz val="8"/>
        <color rgb="FF1155CC"/>
        <rFont val="Arial"/>
      </rPr>
      <t>Пироги кровли паркинга</t>
    </r>
    <r>
      <rPr>
        <sz val="8"/>
        <rFont val="Arial"/>
      </rPr>
      <t xml:space="preserve"> .</t>
    </r>
  </si>
  <si>
    <t>5.1.20</t>
  </si>
  <si>
    <t>Бетонную подготовку выполнить толщиной 70 мм. Материал бетонной подготовки В7,5.
При высоком УГВ по поверхности подготовки выполнять горизонтальную гидроизоляцию, если УГВ низкий, выполнить плиту см. Стандарт на гидроизоляцию фундаментов (ссылка).
Состав слоев под фундаментами при высоком УГВ: 
- Фундаментная плита;
- Защитный слой из тощего бетона В7,5 - 30 мм;
- Гидроизоляция наплавляемая в 1 слой Технониколь Техноэласт ЭПП; 
- Огрунтовка праймером битумным по бетонной подготовке; 
- Бетонная подготовка; 
- Уплотненный грунт основания.
Состав слоев под фундаментами при низком УГВ: 
- Фундаментная плита; 
- Бетонная подготовка; 
- Уплотненный грунт основания.
Бетонную подготовку выполнять под фундаментной плитой. 
Габариты подготовки выполнять на 300 мм больше периметра фундаментной плиты при высоком УГВ и на 100 мм при низком УГВ.
Выполнить согласно альбомов: 
- КР.КЖ-У; 
- КР.Ф-У</t>
  </si>
  <si>
    <t>5.1.21</t>
  </si>
  <si>
    <r>
      <rPr>
        <sz val="8"/>
        <rFont val="Arial"/>
      </rPr>
      <t>Перекрытия принять монолитными. Соединение с вертикальными конструкциями принять жестким. 
Плиты перекрытия выполнять между этажами.
Плиты покрытия выполняют функцию ограждающих конструкций, по ним выполняются кровельные пироги покрытия или слои благоустройства (над парковкой). В плите покрытия над лифтовой шахтой выполнить монтажные крюки, сечение крюков и привязки сделать по заданию на подъемное оборудование. 
В плитах покрытия парковки выполнять капители в зонах продавливания. В жилой части капители не предусматривать.
Монолитные плиты:
- между этажные - толщиной 180 мм; 
- плита проезда рампы и плиты покрытия с эксплуатируемой или неэксплуатируемой кровлей на верхних этажах. Зоны с покрытием на террасах на промежуточных этажах не учитывать.
- плита покрытия над паркингом с капителями - плита толщиной 250 мм, капитель - 500 мм (от верха плиты до низа капители), необходимость устройства капителей подтвердить расчетом, согласовать с Заказчиком.
Для прохода вентиляционных коробов через плиты выполнить префаб проходки, согласно заданию специалистов ОВ. Для выполнения отверстий под остальные инженерные коммуникации выполнить закладные элементы из блоков газо(пено)бетонных для бурения по месту. Отверстия менее или равные 200 мм (одна из сторон)  выполнять по месту по чертежам ВИС.
Монолитные плиты (проезда) 180 мм и 200 мм, покрытие паркинга армировать отдельными стержнями из арматуры класса А240 и А500С, остальные плиты перекрытия армировать сетками из арматуры класса А500С.
Бетон плит В25 W4 F100 (для Сургута - F200).
Монолитные плиты перекрытия располагать согласно концепции, между этажами.
На первом этаже в плите над подвалом выполнить перепады (</t>
    </r>
    <r>
      <rPr>
        <u/>
        <sz val="8"/>
        <color rgb="FF1155CC"/>
        <rFont val="Arial"/>
      </rPr>
      <t>Излом(перепад) плит в уровне 1 этажа</t>
    </r>
    <r>
      <rPr>
        <sz val="8"/>
        <rFont val="Arial"/>
      </rPr>
      <t xml:space="preserve"> ), согласно планированию отметок земли по концепции. В плите перекрытия, в местах заглубления входной группы над подземным этажом, выполнить перепад, величиной равной высоте пирога благоустройства. Перепад выполнять согласно альбому узлов АР.ОБ-У.
Плиту рампы выполнить согласно Стандарту </t>
    </r>
    <r>
      <rPr>
        <u/>
        <sz val="8"/>
        <color rgb="FF1155CC"/>
        <rFont val="Arial"/>
      </rPr>
      <t>Въездная рампа для паркинга в 1 уровень</t>
    </r>
    <r>
      <rPr>
        <sz val="8"/>
        <rFont val="Arial"/>
      </rPr>
      <t xml:space="preserve"> , опирание плиты рампы на вертикальные ограждающие конструкции выполнить по см. Стандарт </t>
    </r>
    <r>
      <rPr>
        <u/>
        <sz val="8"/>
        <color rgb="FF1155CC"/>
        <rFont val="Arial"/>
      </rPr>
      <t>Горизонтальные несущие конструкции рампы</t>
    </r>
    <r>
      <rPr>
        <sz val="8"/>
        <rFont val="Arial"/>
      </rPr>
      <t xml:space="preserve"> . 
В плите покрытия парковки выполнить капители (по необходимости), прямоугольной формы без излома, габаритами равными 1/3 - 1/4 пролета.
Защитные слои в плитах выполнять, соблюдая конструктивные требования нормативных актов.</t>
    </r>
  </si>
  <si>
    <t>5.1.22</t>
  </si>
  <si>
    <t>5.1.23</t>
  </si>
  <si>
    <t>При необходимости выполнения свайного фундамента по инженерному-геологическому отчету, выполнить фундамент свайно-ростверкого типа.
Использовать сваи по серии 1.011.1-10, длину свай определить расчетом, оголовки объединить ростверком. Узел сопряжения свай с ростверком выполнить жестким. В зависимости от инженерно-геологического отчета подобрать сваи стойки или висячие.
Ростверк выполнять толщиной 400 мм, толщину более обосновать расчетом.
Сваи располагать внутри периметра квартала, объединить ростверком.
Наружную грань ростверка формировать без вылета относительно наружных стен подвала. Шаг для сваи выполнить в соответствии с их сечением и условиями закрепления в грунтах.</t>
  </si>
  <si>
    <t>5.1.24</t>
  </si>
  <si>
    <t>При необходимости выполнения свайного фундамента по инженерному-геологическому отчету, выполнить фундамент свайно-ростверкого типа.
Использовать сваи по серии 1.011.1-10, длину свай определить расчетом, оголовки объединить ростверком. Узел сопряжения свай с ростверком выполнить жестким. В зависимости от инженерно-геологического отчета подобрать сваи стойки или висячие.
Ростверк выполнять толщиной 800 мм для каркаса секций С50, толщину более обосновать расчетом.
Сваи располагать внутри периметра квартала, объединить ростверком.
Наружную грань ростверка формировать без вылета относительно наружных стен подвала. Шаг для сваи выполнить в соответствии с их сечением и условиями закрепления в грунтах.</t>
  </si>
  <si>
    <t>5.1.25</t>
  </si>
  <si>
    <t>5.1.26</t>
  </si>
  <si>
    <t>Дренажные приямки монолитные выполнять в соответствии с планировочными решениями АР и ВК (в мокрых помещениях или в местах возможных протечек).
Приямки в секциях выполнять в фундаментной плите. Формировать приямок с помощью стен и плит толщиной равной 300 мм, приямки в паркинге выполнять в плите пола, для формирования приямка использовать толщины равные толщине пола (зависит от УГВ) см. стандарт на каркас паркинга (ссылка).
При распределении приямков, использовать определенный тип размеров:
- в насосной хозяйственно-питьевого водоснабжения, насосной пожаротушения - применять приямок 800х900х800h;
- в ИТП - применять приямок 800х900х800h;
- перед каждым выпуском сетей (ВК) и в коридоре нижнего этажа - применять приямок 500х500х500h;
- в паркинге применять приямок 500х900х800h, лоток для сбора талых вод с рампы 300х300h.
Все приямки перекрыть металлическими решетками.
Приямки необходимо выполнять на подземном этаже в фундаментных плитах секций или плите пола паркинга.
Приямок 800х900х800h, выполнить в центре помещений.
Приямок 500х500х500h, выполнить в:
- Перед каждым выпуском сетей у наружной стены секции. Привязки приямка:
- по ширине помещения, выполнить по середине;
- к грани фундаментной плиты на расстоянии 700-1000 мм от края.
- В коридоре нижнего этажа, один на секцию по центру коридора (по длине), согласно планам АР. Привязку приямка выполнить не ближе 100-200 мм к перегородкам и сместить от к вертикальных конструкций нижнего этажа на расстояние равное толщине фундаментной плиты.
Приямок 500х900х800h, выполнить в паркинге, для удаления воды при различных утечках и для системы дренажной канализации отвода вод от системы автоматического пожаротушения. Зона обслуживания одного приямка не более 30 м. При расположении приямков избегать парковочные места и контур ростверков. 
Лоток на спуске рампы, выполнить на всю ширину рампы. Для сбора содержимого из лотка выполнить приямок 500х900х800h вне зоны рампы. По заданию ЭЛ и ВК предусмотреть монтажную нишу для подвода сетей в приямки паркинга.
Армирование выполнять отдельными стержнями арматуры классов А240; А500С.</t>
  </si>
  <si>
    <t>5.1.27</t>
  </si>
  <si>
    <r>
      <rPr>
        <sz val="8"/>
        <rFont val="Arial"/>
      </rPr>
      <t xml:space="preserve">Выполнить деформационные швы на границе температурных блоков. 
Деформационные швы выполнить при разнице высот секций в два и более этажей или при суммарной длине смежных секций более 55 м (16 базовых шагов по 3,45 м). При замкнутом каркасе, количество деформационных швов на противоположных сторонах должно совпадать, чтобы не нарушалась геометрия секций.
Деформационными швами выделить все секции с наличием перепадов высот и только после этого анализировать остальные секции, разбить их по длине не более 55 м.
Ширину деформационного шва выполнять не менее 50 мм.
В деформационных швах установить пенополистирол ППС25 на всю ширину шва. 
Перед установкой утеплителя в фундаментной плите запозиционировать гидрошпонку Технониколь FM-140/50 в вертикальном (снаружи) и горизонтальном положении. Слои под фундаментной плитой в деформационном шве выполнить по стандарту </t>
    </r>
    <r>
      <rPr>
        <u/>
        <sz val="8"/>
        <color rgb="FF1155CC"/>
        <rFont val="Arial"/>
      </rPr>
      <t>Гидроизоляция фундамента</t>
    </r>
    <r>
      <rPr>
        <sz val="8"/>
        <rFont val="Arial"/>
      </rPr>
      <t xml:space="preserve"> .
В деформационные швы наружных стен нижнего этажа, установить гидрошпонку Технониколь FM-140/50 в вертикальном положении. 
Допустимо применение гидрошпонки FMR-140/50 при сопряжении с существующими конструкциями или ранее возведенными. Монтаж вести по узлам от производителя.
Деформационный шов выполнить на всю высоту температурных блоков.
Выполнить согласно альбомов:
- КР.КЖ-У;
- КР.Ф-У.</t>
    </r>
  </si>
  <si>
    <t>5.1.28</t>
  </si>
  <si>
    <r>
      <rPr>
        <sz val="8"/>
        <rFont val="Arial"/>
      </rPr>
      <t xml:space="preserve">Деформационный шов не выполнять:
- при длине подземного паркинга до 50 м
- при длине от 50 м до 60 м, выполнить температурный расчет 
При длине более 60 м выполнить деформационный шов в центральной части
Ширину деформационного шва принимать не менее 50 мм.
В деформационных швах плиты пола и между ростверками установить пенополистирол ППС25 на всю ширину шва. Перед установкой утеплителя (при высоком УГВ) запозиционировать гидрошпонку Технониколь FM-140/50 
Слои под плитой пола в деформационном шве, выполнить по стандарту </t>
    </r>
    <r>
      <rPr>
        <u/>
        <sz val="8"/>
        <color rgb="FF1155CC"/>
        <rFont val="Arial"/>
      </rPr>
      <t>Гидроизоляция фундамента</t>
    </r>
    <r>
      <rPr>
        <sz val="8"/>
        <rFont val="Arial"/>
      </rPr>
      <t xml:space="preserve"> .
Деформационный шов выполнить на всю высоту. При расположении дефомационного шва не нарушать ширину парковочного места. Расположение деформационного шва сдвинуть от границы проезда пожарной машины на один шаг осей.
Допустимо применение гидрошпонки FMR-140/50 при сопряжении с существующими конструкциями или ранее возведенными. Монтаж вести по узлам от производителя.
При бетонировании в деформационный шов между пилонами установить ППС-25. На вертикальных конструкциях и плите покрытия после снятия опалубки, выполнить замену горючего материала со стороны возможного огневого воздействия, в соответствии с узлами АР.
Выполнить согласно альбомов:
- КР.КЖ-У;
- КР.Ф-У.</t>
    </r>
  </si>
  <si>
    <t>5.1.29</t>
  </si>
  <si>
    <t>Выполнить отсечение деформационным швом паркинг от секций квартала.
Ширину деформационного шва выполнить не менее 50 мм. В деформационных швах установить пенополистирол ППС25 на всю ширину шва. 
При высоком УГВ перед установкой утеплителя запозиционировать гидрошпонку Технониколь FM-140/50.
Конфигурация стыка, а также дополнительные слои под швами между паркингом и секциями зависят от УГВ, выполнить по стандарту гидроизоляция фундамента (ссылка).
Выполнить деформационной шов по всему периметру внутреннего паркинга квартала от нижнего этажа секций. Деформационный шов выполнить по всей высоте. 
Допустимо применение гидрошпонки FMR-140/50 при сопряжении с существующими конструкциями или ранее возведенными. Монтаж вести по узлам от производителя.
При бетонировании в деформационный шов между пилонами установить ППС-25. После снятия опалубки, выполнить замену горючего материала минватой со стороны возможного огневого воздействия на вертикальных конструкциях и плите покрытия, в соответствии с узлами.
Выполнить согласно альбомов:
- КР.КЖ-У;
- КР.Ф-У.</t>
  </si>
  <si>
    <t>5.1.30</t>
  </si>
  <si>
    <t>Гидроизоляцию выполнить под фундаментной плитой выполнить при высоком УГВ.
Для высокого уровня грунтовых вод гидроизоляция выполняется в 1 слой, при низком уровне гидроизоляция не выполняется.
Гидроизоляция фундаментов при высоком уровне грунтовых вод: 
- Фундаментная плита; 
- Защитный слой из тощего бетона В7,5 - 30 мм; 
- Гидроизоляция наплавляемая в 1 слой Технониколь Техноэласт ЭПП; 
- Огрунтовка праймером битумным по бетонной подготовке; 
- Бетонная подготовка из бетона класса В7,5 - 70 мм;
- Уплотненный грунт основания.
В деформационных швах устанавливается:
- Компенсатор из гидроизоляции наплавляемой Технониколь Техноэласт ФЛЕКС;
- Жгут гернитовый ПРП-40Ø40. 
Гидроизоляция фундаментов при низком уровне грунтовых вод: 
- Фундаментная плита; 
- Бетонная подготовка из бетона класса В7,5 - 70 мм;
- Уплотненный грунт основания.
При больших "захватках" при бетонировании возможны выполнение рабочих швов бетонирования. Местоположение согласовать с проектировщиками. В рабочих швах бетонирования установить: 
- Гидрошпонка ЕС-320-4; 
- Саморасширяющийся шнур Технониколь IC-SP 20х10 мм (для высокого УГВ). 
Площадь гидроизоляции при высоком УГВ выполнить на 300 мм больше контура фундаментной плиты.
Выполнить согласно альбомов:
- КР.КЖ-У;
- КР.Ф-У.</t>
  </si>
  <si>
    <t>5.1.31</t>
  </si>
  <si>
    <t>Гидроизоляция внешних стен подземной части зависит от контура котлована.
Гидроизоляцию по внешнему контуру принять в 2 слоя для низкого и высокого уровня грунтовых вод.
Гидроизоляцию и теплоизоляцию выполнять по этапно: 
- Монолитный участок или сборная стена подвала, шпунтовое ограждение с выравнивающим покрытием;
- Праймер битумный;
- Гидроизоляция Технониколь Техноэласт ЭПП (в 2 слоя);
- Клей-пена Технониколь для пенополистирола без механического крепления к стене; 
- Экструзионный пенополистирол CARBON PROF SOLID - 150 мм на глубину промерзания (для коммерческих помещений и подсобных помещений жилья); 100 мм на глубину промерзания (для остальных помещений); 50 мм - ниже глубины промерзания. При шпунтовом ограждении толщину утеплителя выполнять на всю высоту одинаковой;
- Профилированная мембрана Planter Geo (Planter Standard при отсутствии дренажной системы) - 8 мм поверх экструзионного пенополистирола. Не выполнять при шпунтовом ограждении.
Перед выполнением гидроизоляционных работ в деформационных швах наружных стен, фундаментных плит, плит покрытия паркинга уже должны быть запозиционированы основные элементы:
- Гидрошпонка Технониколь FM-140/50; 
- Пенополистирол ППС25 - 50 мм.
При шпунтовом ограждении гидроизоляцию выполнять на подготовленную поверхность шпунта, при открытом котловане на монолитные стены.
Выполнить согласно альбомов: 
- КР.КЖ-У; 
- КР.Ф-У.</t>
  </si>
  <si>
    <t>5.1.32</t>
  </si>
  <si>
    <r>
      <rPr>
        <sz val="8"/>
        <rFont val="Arial"/>
      </rPr>
      <t xml:space="preserve">Перепад выполнить в монолитной плите первого этажа. Возможные перепады: +600, -600, +1200, -1200.
Перепад выполнить в форме стенового элемента толщиной 250 мм. Армировать перепад отдельными стержнями из арматуры класса А240 и А500С с шагом по расчету, но не более 400 мм.
Марку бетона подобрать по требованиям к каркасам С28, С50, Б50.
Перепад выполнить по материалам концепции и после посадки сооружения. 
Отметка 0,000 принимается во внутреннем контуре квартала, единая отметка с уровнем двора. Перепад выполнить по внешнему контуру.
Привязки перепада выполнить в соответствии с графической документацией. 
Расположение зон, возможного местоположения перепада, уточнить по Стандарту </t>
    </r>
    <r>
      <rPr>
        <u/>
        <sz val="8"/>
        <color rgb="FF1155CC"/>
        <rFont val="Arial"/>
      </rPr>
      <t>Излом плит первого этажа</t>
    </r>
    <r>
      <rPr>
        <sz val="8"/>
        <rFont val="Arial"/>
      </rPr>
      <t xml:space="preserve"> </t>
    </r>
  </si>
  <si>
    <t>Отметку 0.000 принять по заданию от генплана.
- Стена монолитная 250 мм - Стена арки, Стена рампы;
- Пилон монолитный основной - 250х1200 мм. 
- Плита перекрытия монолитная 180 мм - (между 1 и 2 этажом).
Материал конструкций см. Стандарт на каркас С28 (ссылка).
Монолитные конструкции армировать в соответствии с требованиями в разделе Армирование по каждой конструкции.
Каркас расположен в уровне планировочных отметок земли. 
Привязки конструкций см. графические материалы. Глубина секции класса В - 14950, данный габарит замерять по минимальному вылету внешних граней плиты перекрытия.</t>
  </si>
  <si>
    <t>Отметку 0.000 принять по заданию от генплана.
Высоту этажа принять в соответствии с матрицей классов
- Пилон монолитный основной - 250х1200 мм;
- Плита перекрытия монолитная 180 мм - (между 1 и 2 этажом).
Материал конструкций см. Стандарт на каркас С50 (ссылка).
Монолитные конструкции армировать в соответствии с требованиями в разделе Армирование по каждой конструкции.
Каркас расположен в уровне планировочных отметок земли.</t>
  </si>
  <si>
    <t>- Пилоны монолитные - Бетон В25 W4 F100: 
- пилон основной - 250х1200 мм; 
- пилон переходной- 250х1800 мм;
- пилон сечением 250х600 мм в случае подрезки на 2 последних этажах (в том числе верхний этаж);
- пилон сечением 250х900 мм в случае подрезки на 3 последних этажах (в том числе верхний этаж), для решения массинга углов - 250х900 мм;
- Плита перекрытия монолитная 180 мм - Бетон В25 W4 F100;
- Префаб балкон толщиной 280 мм, тип балкона выбрать в соответствии с концепцией см. стандарт на префаб балкон (ссылка)
Армировать конструкции в соответствии со стандарт армирования пилонов (ссылка), стандарт армирования перекрытий (ссылка)
Каркас располагать на типовом этаже
Привязки конструкций см. графические материалы. Глубина секции класса В - 14950, данный габарит замерять по минимальному вылету внешних граней плиты пеекрытия. 
Пилон 250х1800 мм выполнить в соответствии с требованиями Стандарт массинга (ссылка)</t>
  </si>
  <si>
    <t>- Пилоны монолитные: 
- пилон основной - 250х1200 мм; 
- пилон переходной- 250х1800 мм;
- пилон сечением 250х600 мм в случае подрезки на 2 последних этажах (в том числе верхний этаж);
- пилон сечением 250х900 мм в случае подрезки на 3 последних этажах (в том числе верхний этаж), для решения массинга углов - 250х900 мм;
- Плита перекрытия монолитная 180 мм;
- Префаб балкон толщиной 280 мм, тип балкона выбрать в соответствии с концепцией см. стандарт на префаб балкон (ссылка).
Материал конструкций см. Стандарт на каркас С50 (ссылка).
Монолитные конструкции армировать в соответствии с требованиями в разделе Армирование по каждой конструкции.
Каркас располагать на типовом этаже.
Привязки конструкций см. графические материалы. Глубина секции класса В - 18400, данный габарит замерять по минимальному вылету внешних граней плиты перекрытия. 
Пилон 250х1800 мм выполнить в соответствии с требованиями Стандарт массинга (ссылка).</t>
  </si>
  <si>
    <r>
      <rPr>
        <sz val="8"/>
        <rFont val="Arial"/>
      </rPr>
      <t xml:space="preserve">- Пилоны монолитные: 
- пилоны основные - 250х1500 мм и 250х1200 мм; 
- пилон переходной- 250х1800 мм;
- пилон сечением 250х600 мм в случае подрезки на 2 последних этажах (в том числе верхний этаж);
- пилон сечением 250х900 мм в случае подрезки на 3 последних этажах (в том числе верхний этаж), для решения массинга углов - 250х900 мм;
- Плита перекрытия монолитная 180 мм;
- Префаб балкон толщиной 280 мм, тип балкона выбрать в соответствии с концепцией см. стандарт на </t>
    </r>
    <r>
      <rPr>
        <u/>
        <sz val="8"/>
        <color rgb="FF1155CC"/>
        <rFont val="Arial"/>
      </rPr>
      <t>Префаб балконы</t>
    </r>
    <r>
      <rPr>
        <sz val="8"/>
        <rFont val="Arial"/>
      </rPr>
      <t xml:space="preserve"> .
Материал конструкций см. Стандарт </t>
    </r>
    <r>
      <rPr>
        <u/>
        <sz val="8"/>
        <color rgb="FF1155CC"/>
        <rFont val="Arial"/>
      </rPr>
      <t>Каркас Б75</t>
    </r>
    <r>
      <rPr>
        <sz val="8"/>
        <rFont val="Arial"/>
      </rPr>
      <t xml:space="preserve"> .
Монолитные конструкции армировать в соответствии с требованиями в разделе Армирование по каждой конструкции.
Каркас располагать на типовом этаже
Привязки конструкций см. графические материалы. 
Пилон 250х1800 мм выполнить в соответствии с требованиями </t>
    </r>
    <r>
      <rPr>
        <u/>
        <sz val="8"/>
        <color rgb="FF1155CC"/>
        <rFont val="Arial"/>
      </rPr>
      <t>Стандарт массинга</t>
    </r>
    <r>
      <rPr>
        <sz val="8"/>
        <rFont val="Arial"/>
      </rPr>
      <t xml:space="preserve"> .</t>
    </r>
  </si>
  <si>
    <r>
      <rPr>
        <sz val="8"/>
        <rFont val="Arial"/>
      </rPr>
      <t xml:space="preserve">Расположение особенных этажей в соответствии с Концепцией. 
Пилоны применять в соответствии со </t>
    </r>
    <r>
      <rPr>
        <u/>
        <sz val="8"/>
        <color rgb="FF1155CC"/>
        <rFont val="Arial"/>
      </rPr>
      <t>Вертикальные несущие элементы массинга</t>
    </r>
    <r>
      <rPr>
        <sz val="8"/>
        <rFont val="Arial"/>
      </rPr>
      <t xml:space="preserve"> :
 - сечением 250х600 мм в случае подрезкина 2 последних этажах (в том числе верхний этаж);
 - сечением 250х900 мм в случае подрезки на 3 последних этажах (в том числе верхний этаж), для решения массинга углов.
- Пилоны монолитные: 
- пилон основной - 250х1200 мм; 
- пилон особенного этажа - 250х900 мм;
- пилон особенного этажа - 250х600 мм;
- Плита перекрытия монолитная 180 мм;
- Префаб балкон толщиной 280 мм, тип балкона выбрать в соответствии с концепцией см. стандарт на </t>
    </r>
    <r>
      <rPr>
        <u/>
        <sz val="8"/>
        <color rgb="FF1155CC"/>
        <rFont val="Arial"/>
      </rPr>
      <t>Префаб балконы</t>
    </r>
    <r>
      <rPr>
        <sz val="8"/>
        <rFont val="Arial"/>
      </rPr>
      <t xml:space="preserve"> .
Материал конструкций см. Стандарт на </t>
    </r>
    <r>
      <rPr>
        <u/>
        <sz val="8"/>
        <color rgb="FF1155CC"/>
        <rFont val="Arial"/>
      </rPr>
      <t>Каркас С28</t>
    </r>
    <r>
      <rPr>
        <sz val="8"/>
        <rFont val="Arial"/>
      </rPr>
      <t xml:space="preserve"> .
Монолитные конструкции армировать в соответствии с требованиями в разделе Армирование по каждой конструкции.
Каркас расположен над типовыми этажами.
Привязки конструкций см. графические материалы. Глубина секции на особенном этаже зависит от подрезки принятой по массингу концепцией. Пилоны 250х600 мм и 250х900 мм выполнить с привязками в соответствии с требованиями </t>
    </r>
    <r>
      <rPr>
        <u/>
        <sz val="8"/>
        <color rgb="FF1155CC"/>
        <rFont val="Arial"/>
      </rPr>
      <t>Стандарт массинга</t>
    </r>
    <r>
      <rPr>
        <sz val="8"/>
        <rFont val="Arial"/>
      </rPr>
      <t xml:space="preserve"> .</t>
    </r>
  </si>
  <si>
    <t>Расположение особенных этажей в соответствии с Концепцией. 
Пилоны применять в соответствии со стандартом массинга (ссылка):
 - сечением 250х600 мм в случае подрезки на 2 последних этажах (в том числе верхний этаж);
 - сечением 250х900 мм в случае подрезки на 3 последних этажах (в том числе верхний этаж), для решения массинга углов.
- Пилоны монолитные: 
- пилон основной - 250х1200 мм; 
- пилон особенного этажа - 250х900 мм;
- пилон особенного этажа - 250х600 мм;
- Плита перекрытия монолитная 180 мм.
- Префаб балкон толщиной 280 мм, тип балкона выбрать в соответствии с концепцией см. стандарт на префаб балкон (ссылка).
Материал конструкций см. Стандарт на каркас С50 (ссылка).
Монолитные конструкции армировать в соответствии с требованиями в разделе Армирование по каждой конструкции.
Каркас расположен над типовыми этажами.
Привязки конструкций см. графические материалы. Глубина секции на особенном этаже зависит от подрезки принятой по массингу концепцией. Пилоны 250х600 мм и 250х900 мм выполнить с привязками в соответствии с требованиями Стандарт массинга (ссылка).</t>
  </si>
  <si>
    <r>
      <rPr>
        <sz val="8"/>
        <rFont val="Arial"/>
      </rPr>
      <t xml:space="preserve">- Пилон монолитный верхнего этажа 250х600 мм;
- Плита покрытия монолитная 200 мм.
Материал конструкций см. Стандарт на </t>
    </r>
    <r>
      <rPr>
        <u/>
        <sz val="8"/>
        <color rgb="FF1155CC"/>
        <rFont val="Arial"/>
      </rPr>
      <t>Каркас С50</t>
    </r>
    <r>
      <rPr>
        <sz val="8"/>
        <rFont val="Arial"/>
      </rPr>
      <t xml:space="preserve"> .
Монолитные конструкции армировать в соответствии с требованиями в разделе Армирование по каждой конструкции.
Каркас расположен на последнем этаже.
Привязки конструкций см. графические материалы. Высота зависит от наличия надстроек на этаже.</t>
    </r>
  </si>
  <si>
    <t>В каркасе класса В секции С28 выполнить рампу длиной проекции 14950 мм, соответствующего каркаса. Крепление рампы выполнить через шпоночное соединение. 
Использовать:
- монолитные стены толщиной 250 мм по Стандарту вертикальные несущие конструкции рампы (ссылка);
- плиту перекрытия проезда (рампу) толщиной 200 мм;
- плиту перекрытия над рампой толщиной 180 мм, совмещенную с балками высотой 500 (h) по Стандарту горизонтальные несущие конструкции рампы (ссылка).
Местоположение каркаса рампы выполнять в соответветствии с концепцией, один элемент на квартал. Конструкции рампы занимают объем 2 этажей, располагать в конце или в начале секции С28.
Ширина рампы в чистоте между внутренними гранями монолитных стен 3900 мм. Плиту рампы выполнить в уровне нижнего этажа. 
Обеспечить высоту проезда по всей длине рампы:
- 2200 мм - без въезда грузовой машины; 
- 3200 мм - с возможностью въезда грузовой машины.
Плиту перекрытия выполнить над рампой в уровне над первым этажом. В центральной части предусмотрен проход инженерных сетей в плите перекрытия, поэтому расположение балок над рампой уточнить в графической документации.</t>
  </si>
  <si>
    <t>Каркас арки класса В</t>
  </si>
  <si>
    <t>В каркасе класса В секции С28 выполнить арку длиной 14950 мм
Использовать:
- монолитные стены толщиной 250 мм и монолитные пилоны сечением 250х1200 мм по Стандарту вертикальные несущие конструкции арки (ссылка);
- плиту перекрытия проезда толщиной 180 мм; 
- плиту перекрытия над аркой толщиной 180 мм, совмещенную с балками высотой 500 (h) по Стандарту горизонтальные несущие конструкции арки (ссылка).
Местоположение каркаса арки выполнять в соответветствии с концепцией, два элемента на квартал. Конструкции арки занимают объем 3 этажей, располагать в конце или в начале секции С28.
Плиту перекрытия арки выполнить в уровне нижнего этажа с понижением для устройства пирога благоустройства. Плиту перекрытия над аркой выполнить над вторым этажом. В центральной части предусмотрен проход инженерных сетей в плите перекрытия, поэтому расположение балок над аркой уточнить в графической документации.</t>
  </si>
  <si>
    <t>5.3 Армирование</t>
  </si>
  <si>
    <t>Отдельными стержнями армировать: столбчатые, ленточные фундаменты, буронабивные сваи под архитектурные элементы.
Армирования фундаментов выполнять отдельными стержнями классов А240, А500С. Максимальная длина арматурного стержня 11700 мм. 
При недостаточном сечении фонового армирования применять стержни дополнительной арматуры - 8, 10, 12, 16, 20, 25, 28, 32 мм (принять по расчету). 
Длина стержней для дополнительного армирования: 1670 мм; 1950 мм; 2340 мм; 2920 мм; 3340 мм; 3900 мм; 4680 мм; 5010 мм; 5850 мм; 6680 мм; 7020 мм; 7800 мм; 8350 мм; 8780 мм.
Не выполнять армирование в верхней (сжатой) зоне при армировании столбчатых фундаментов. Площадь стержней фонового армирования не должна быть меньше минимального коэффициента армирования.
Размещение стержней вести с помощью фиксирующих элементов соблюдая защитные слои назначенные по проекту. Фоновое армирование располагать в разбежку. Относительное количество стыкуемой в одном расчетном сечении арматуры периодического профиля не более 50%, величину нахлеста принять согласно нормативной документации.</t>
  </si>
  <si>
    <t>Армирование отдельными стержнями выполнять:
- монолитные участки в наружных стенах; 
- стены арки и рампы.
Для армирования стен применять отдельные стержни арматуры классов А240, А500С. 
Максимальная длина арматурных стержней горизонтального продольного армирования 11700 мм. 
При недостаточном сечении продольного армирования применять стержни дополнительной арматуры - 8, 10, 12, 16 (диаметры выше принять по расчету). Длина стержней для дополнительного горизонтального армирования: 1670 мм; 1950 мм; 2340 мм; 2920 мм; 3340 мм; 3900 мм
Шаг продольных вертикальных стержней принять максимально возможный (не более 2t и 400 мм, кратный 50 мм), по расчету. Продольную горизонтальную арматуру принимать отдельными стержнями - 8, 10, 12, 16 мм с шагом не более 400 мм. 
Фиксацию стержней осуществлять с помощью поперечной арматуры в шахматном порядке, диаметр стержней не менее 6 мм и 0,25d вертикальных стержней.
Установку вертикальных стержней производить рядом с выпусками из нижележащих конструкций с фиксацией вязальной проволокой между собой. Выпуски должны обеспечивать длину нахлеста.
На торцах установить дополнительные вертикальные стержни.</t>
  </si>
  <si>
    <t>Армирование отдельными стержнями выполнять на пилонах в паркинге. Армирование пилонов выполнять симметричным. 
Для армирования пилонов применять отдельные стержни классов А240, А500С. Вертикальные стержни применять не более Ø40. 
Длина вертикальных стержней должна обеспечивать конструктивные требования по длине нахлеста выпусков в вышележащие конструкции.
Горизонтальное армирование пилонов выполнять хомутами или установить П-образные элементы с обеспечением перехлеста. Диаметр стержней поперечной арматуры не менее 6 мм и 0,25d вертикальных стержней.
Переход от одного сечения пилонов к другому производить с помощью отгибов с уклоном не более 1:6 или организацией дополнительных выпусков. Выпуски в нижележащие конструкции необходимо фиксировать на глубину анкеровки. Установку вертикальных стержней производить рядом с выпусками из нижележащих конструкций с фиксацией их между собой вязальной проволокой. Выпуски должны обеспечивать длину нахлеста.</t>
  </si>
  <si>
    <t>5.3.4</t>
  </si>
  <si>
    <t>Армирование отдельными стержнями выполнять на покрытии над парковкой, плит над аркой и рампой в зоне балок. 
Для армирования плит применять отдельные стержни арматуры классов А240, А500С. Максимальная длина арматурного стержня 11700 мм. При недостаточном сечении фонового армирования применять стержни дополнительной арматуры - 8, 10, 12, 16 мм (принять по расчету). Длина стержней для дополнительного армирования: 1670 мм; 1950 мм; 2340 мм; 2920 мм; 3340 мм; 3900 мм; 4680 мм; 5010 мм; 5850 мм; 6680 мм; 7020 мм; 7800 мм; 8350 мм; 8780 мм.
Нижнее фоновое армирование выполнять по всей площади. Верхнее армирование выполнять только в приопорной зоне, армирование в пролетной части, обосновать расчетом. Позиционирование верхних стержней обеспечивать поддерживающими элементами ("лягушками"). 
Нижнее фоновое армирование располагать в разбежку. Относительное количество стыкуемой в одном расчетном сечении арматуры периодического профиля не более 50%, величину нахлеста принять согласно нормативной документации.
При необходимости выполнить каркасы на продавливание в соответствии с расчетом, согласовать с Заказчиком.</t>
  </si>
  <si>
    <t>5.3.5</t>
  </si>
  <si>
    <t>Армирование отдельными стержнями выполнять на балках над аркой и рампой. 
Для армирования балок применять отдельные стержни арматуры классов А240, А500С.
Для продольного армирования применять не более двух разных диаметров (не считая стержней конструтивного армирования).
Продольные стержни связать между собой хомутами, в сгибе хомутов обязательно должен стоять продольный стержень. Количество хомутов в сечении подобрать в соответствии с конструктивными требованиями. Шаг хомутов в приопорной зоне сделать учащенным. 
Для пилонов над балкой установить выпуски.</t>
  </si>
  <si>
    <t>5.3.6</t>
  </si>
  <si>
    <t>Армирование фундаментов выполнять сетками/каркасами из арматуры классов А240, А500С и частично из отдельных стержней из арматуры класса А500С.
Номенклатуру сеток необходимо подбирать из альбома сеток, необходимые элементы следует выбирать по Стандарт на арматурные сетки фундаментов (ссылка).
Нижнее и верхнее фоновое армирование выполнять сварными однонаправленными сетками, сетки уложить в два слоя так, чтобы рабочая арматура сеток располагалась во взаимно перпендикулярном направлении. 
Нижнее и верхнее дополнительное армирование выполнять сварными однонаправлеными и двунаправленнными сетками. 
Поддерживающие каркасы подобрать по альбому сеток.
По периметру устанавливать П-образные элементы из отдельных арматурных стержней.
Установить выпуски для пилонов и стен из отдельных арматурных стержней.
Порядок раскладки сеток: 
- выполнить раскладку нижних сеток фонового армирования в одном направлении (вдоль оси Х); 
- выполнить раскладку однонаправленных сеток дополнительного армирования в этом же направлении, или двунаправленные сетки;
- выполнить раскладку однонаправленных сеток дополнительного армирования в перпендикулярном направлении (вдоль оси Y); 
- выполнить раскладку нижних сеток фонового армирования в другом направлении; 
- выполнить установку П-образных элементов вдоль перпендикулярных граней фундаментной плиты; 
- выполнить установку поддерживающих элементов (сетки); 
- выполнить раскладку верхнего армирования, повторить по принципу раскладки фонового и дополнительного армирования в нижней зоне;
- выполнить установку выпусков в вышележащие вертикальные элементы.</t>
  </si>
  <si>
    <t>5.3.7</t>
  </si>
  <si>
    <t>При армировании фундаментных плит использовать арматурные типовые сетки, в соответствии с альбомом на типовые сетки.
Данные сетки использовать для фонового армирования, для дополнительного армирования использовать типовые однонаправленные и двухнаправленные сетки.
Количество и шаг (площадь сечения) стержней на сетках фонового армирования не должна быть меньше минимального коэффициента армирования
Диаметр рабочей арматуры для однонаправленных сеток фонового армирования ø12 мм (для плит 500), ø16 мм (для плит 800) с шагом 200 мм, диаметр конструктивной арматуры ø8 мм с шагом 1200 мм. 
Класс рабочей арматуры для сеток/каркасов А500С. 
Относительное количество стыкуемой в одном расчетном сечении арматуры периодического профиля более 50%, величину нахлеста принять согласно нормативной документации.</t>
  </si>
  <si>
    <t>5.3.8</t>
  </si>
  <si>
    <t>Армирование стен выполнять сварными плоскими сетками из арматуры классов А240, А500С с креплением их между собой отдельными стержнями.
Арматурные сетки подбирать из альбома на типовые сетки. Длина сеток должна обеспечивать конструктивные требования по длине нахлеста выпусков в вышележащие конструкции. Диаметр продольных стержней должен обеспечивать расчетные значения с заданным шагом.
Раскладку сеток проводить согласно графической документации, соединять между собой отдельными стержнями из арматуры класса А240 и А500С. 
При недостаточном сечении продольного армирования применять стержни дополнительной продольной арматуры - 8, 10, 12, 16 мм (принять по расчету). 
Установку сеток производить рядом с выпусками из нижележащих конструкций с фиксацией вязальной проволокой между собой. Выпуски должны обеспечивать длину нахлеста. 
Усиление проемов и торцов выполнять отдельными стержнями из арматуры класса А500С.</t>
  </si>
  <si>
    <t>5.3.9</t>
  </si>
  <si>
    <t>При армировании монолитных стен ЛЛУ применять арматурные типовые сетки, в соответствии с альбомом на типовые сетки.
Класс рабочей арматуры для сеток А500С. Диаметр основной продольной рабочей арматуры в сетках - 10, 12, 16 мм. 
Арматурные сетки выбирать из альбома типовых сеток по конструтивным требованиям.</t>
  </si>
  <si>
    <t>5.3.10</t>
  </si>
  <si>
    <t>Армирование пилонов выполнять сварными сетками из арматуры классов А240, А500С. Армирование в пилоне выполнить одинаковым на противоположных гранях (симметричное расположение у каждой грани).
Арматурные сетки подбираются из альбома на типовые сетки. Длина сеток должна обеспечивать конструктивные требования по длине нахлеста выпусков в вышележащие конструкции. Диаметр продольных стержней должен обеспечивать расчетные значения с заданным шагом.
Сетками армируются пилоны/стены 250х600 мм, 250х900 мм, 250х1200 мм, 250х1800 мм.
Сетки устанавливать по две штуки на пилон. На торцах пилонов установить П-образные элементы, дублируя шаг поперечного армирования сеток. Длина "хвостиков" П-образных элементов должна быть не менее 2t или длины анкеровки (t - толщина стены или толщина пилона). 
При недостаточном сечении продольного и поперечного армирования применять стержни дополнительной арматуры - 8, 10, 12, 16 мм (принять по расчету). 
Переход от одного сечения пилонов к другому производить с помощью отгибов с уклоном не более 1:6 или организацией выпусков. Выпуски в нижележащие конструкции, необходимо фиксировать на глубину анкеровки.
Установку сеток производить рядом с выпусками из нижележащих конструкций с фиксацией вязальной проволокой между собой. Выпуски должны обеспечивать длину нахлеста.</t>
  </si>
  <si>
    <t>5.3.11</t>
  </si>
  <si>
    <t>Арматурные сетки подбирать из альбома типовых сеток.
Данные сетки состоят из нескольких продольных и поперечных стержней. В нижней части сеток имеется учащенный шаг поперечных стержней. 
Диаметр основной продольной рабочей арматуры в сетках - 10, 12, 16 мм. Продольное сечение не должно быть меньше минимального процента армирования. Диаметр поперечной арматуры - 8 мм.
При недостаточном сечении продольного и поперечного армирования применять стержни дополнительной арматуры - 8, 10, 12, 16 мм (принять по расчету). 
Размеры сеток по ширине 550, 850, 1150, 1750 мм. 
Класс рабочей арматуры для сеток/каркасов А500С.
Сетки применять при армировании всех пилонов, кроме пилонов паркинга.
Арматурные сетки выбираются из альбома типовых сеток по конструтивным требованиям.</t>
  </si>
  <si>
    <t>5.3.12</t>
  </si>
  <si>
    <t>Армирование плит выполнять сетками из арматуры классов А240, А500С
Номенклатуру сеток необходимо подбирать из альбома типовых сеток, необходимые элементы следует выбирать по Стандарт на арматурные сетки плит перекрытия (ссылка). 
Сетки для армирования плит делятся по назначению на: 
- фоновые нижние однонаправленные; 
- дополнительные сетки однонаправленные и двунаправленные;
- верхние двунаправленные. 
Сетками армируются все плиты перекрытия, кроме элементов паркинга.
Нижнее фоновое армирование укладывать в два слоя так, чтобы рабочая арматура сеток располагалась во взаимно перпендикулярном направлении.
Нижнее дополнительное армирование укладывать между взаимоперпендикулярными слоями нижней арматуры. 
При необходимости выполнить каркасы на продавливание в соответствии с расчетом, согласовать с Заказчиком.
Верхнее армирование выполнять только в приопорной зоне. Если требуется по расчету дополнительное армирование в пролетной части применять сварны сетки. Позиционирование верхних сеток обеспечивать поддерживающими элементами ("лягушки"). 
Относительное количество стыкуемой в одном расчетном сечении арматуры периодического профиля более 50%, величину нахлеста принять согласно нормативной документации. Стержни сеток, попадающие в технические отверстия вырезать по месту. 
Раскладку сеток армирования выполнить согласно графической документации.</t>
  </si>
  <si>
    <t>5.3.13</t>
  </si>
  <si>
    <t>Арматурные сетки принимать из альбома типовых сеток.
Количество и шаг стержней в сетках фонового армирования не должен быть меньше минимального коэффициента армирования для конструкции. 
Диаметр рабочей арматуры для однонаправленных сеток фонового армирования ø 8 мм, диаметр конструктивной арматуры ø6 мм шаг 1200. 
Для верхнего армирования в опорных зонах использовать двунаправленные сетки диаметров ø10, 12, 16 мм с шагом 100; 150; 200 мм. Максимальная ширина данных сеток 2450 мм. 
Класс рабочей арматуры для сеток/каркасов А500С.
Сетки применять при армировании всех плит перекрытия, кроме конструкций паркинга.
Арматурные сетки выбираются из альбома типовых сеток по конструтивным требованиям.</t>
  </si>
  <si>
    <t>6 Электроснабжение</t>
  </si>
  <si>
    <t>6.1 Общее</t>
  </si>
  <si>
    <t>Электроснабжение запроектировать на основании требований действующих нормативных документов, в частности ПУЭ, СП 6.13130.2021, СП 52.13330.2016, СП 76.13330.2016, СП 506.1311500.2021, СП 256.1325800.2016, СП 439.1325800.2018, СП 253.1325800.2016, СП 477.1325800.2020, а также технических условий на присоединение мощности к электросети и энергосбытовой организации. 
Электрическую сеть принять с системой заземления типа TN-C-S.
Электропитание потребителей электроэнергии предусмотреть на напряжение 230/400 В.
При проектировании разработать:
- систему внутреннего электроснабжения и электроосвещения здания;
- систему заземления и уравнивания потенциалов;
- систему молниезащиты;
- планы закладных деталей для системы внутреннего электроосвещения и силового электрооборудования (при наличии). 
Основными электроприемниками являются: жилые квартиры, коммерческие помещения, противопожарное оборудование, лифты, инженерное и технологическое силовое электрооборудование (вентиляция, насосы, электрообогрев систем ливнестока и т.д.), системы внутреннего электроосвещения.</t>
  </si>
  <si>
    <t>Внутреннее электроосвещение всех помещений выполнить в соответствии с действующими нормами и правилами, а также требованиями СП 52.13330.2016, СП 256.1325800.2016, и СП 439.1325800.2018., Требования к световым указателям (знакам безопасности) должны соответствовать ГОСТ 12.4.026-2015, а к эвакуационным светильникам - ГОСТ 27900-88 (МЭК 598-2-22) и ГОСТ IEC 60598-2-22-2012.
Выполнить внутреннее электроосвещение лестничных клеток, поэтажных коридоров, лифтовых холлов, подземого паркинга в соответствии с дизайн-проектом. Освещение технических помещений, нижнего этажа и т.д., в соответствии с нормами освещенности. 
В проектируемом здании предусмотреть рабочее и аварийное (эвакуационное и резервное) и переносное (ремонтное-12/24 В) освещение. 
Рабочее освещение выполнить кабелем марки АсВВГнг(А)-LS.
Аварийное освещение выполнить кабелем марки ВВГнг(А)-FRLS.
Прокладку кабелей к светильникам МОП предусмотреть в замоноличенной ПНД трубе в плите перекрытия. Прокладку кабелей к светильникам паркинга предусмотреть открыто в ПВХ трубе с креплением к перекрытию, либо на кабельных лотках. Выполнить закладные для кабеля в перпендикулярно установленных с проездам пилонах, для возможности протяжки кабеля под светильники освещающие проезды. Выполнить согласно Узлу.... в Конструкторе.</t>
  </si>
  <si>
    <t>6.1.3</t>
  </si>
  <si>
    <t>При разработке проекта электроприемники разделить на следующие категории надежности.
Электроприемники систем противопожарной защиты (СПЗ): 
- система противодымной вентиляции с огнезадерживающими клапанами и клапанами дымоудаления, 
- насосные установки АУПТ и ВПВ, 
- задвижки на обводных линиях водомерного узла,
- автоматическая система пожарной сигнализации,
- система оповещения и управления эвакуацией людей при пожаре,
- аварийное освещение, световые указатели и лифты с функцией перевозки пожарных подразделений и т.д..
Электроприемники I-й категории надёжности электроснабжения: 
- системы безопасности и охраны, 
- системы автоматизации и диспетчеризации инженерного оборудования здания, 
- заградительные огни, оборудование (ИТП), 
- лифты, 
- дренажные насосы и прочие инженернотехнические потребители.
Электроприемники II-й категории надежности электроснабжения: 
- комплекс остальных электроприемников жилые квартиры,
- коммерческие помещения.</t>
  </si>
  <si>
    <t>6.1.4</t>
  </si>
  <si>
    <t>При расчете обеспечить выполнение Приказа Минстрой РФ№919/пр от 30.12.2020г и снизить расчетные нагрузки  для квартир
На 19% для Москвы и Московской области
на 9% для Екатеринбурга, Кургана, Новосибирска, Тюмени и Омска, Сургута
При проектировании учесть плановые нагрузки по данному объекту 1 006,55 кВт.
Расчет электрических нагрузок выполнить согласно СП 256.1325800.2016 (с учётом крайних изменений).
Расчетную мощность на одну квартиру (менее 150 м2) принять 10 кВт.
Расчетную мощность на одну квартиру (150 м2 и более) принять 14,5 кВт.
При проектировании учесть плановые нагрузки по данному объекту</t>
  </si>
  <si>
    <t>6.1.5</t>
  </si>
  <si>
    <t>Разработать проект внутриплощадочных электрических сетей 0,4 кВ для подключения проектируемых зданий в соответствии с действующей нормативной документацией и технических условий на подключение. 
Проектом предусомотреть: 
Кабель четырехжильный с алюминиевыми жилами с изоляцией из сшитого полиэтилена либо шинопровод (по согласованию с Заказчиком), сечение согласно расчёта. 
Устройство ПВХ-труб для ввода и вывода из здания силовых цепей электроснабжения и наружного освещения, диаметр труб подобрать из условия заполняемости кабелем не более 40 % от внутреннего диаметра трубы.
Закладные детали (кабельные полки, лотки, кронштейны, трубы и т.д.) для прокладки кабельных линий внутриплощадочных электрических сетей 0,4 кВ в границах проектирования. Количество труб определить проектом, выбор трубы согласно вендор-листа. 
Огнестойкий кабельный короб с пределом огнестойкости ЕI не ниже огнестойкости прилегающих конструкций при наличии транзитных участков из одного пожарного отсека через другой пожарный отсек.
Стороны огнестойкого кабельного короба подобрать из каталога производителя в соответствии с прилегающими конструкциями.
Прокладку кабельных линий от трансформаторной подстанции (ТП) до ввода в здание предусмотреть снаружи задния: в земле (в трубах/ лотках согласно технических условий на подключение), от ввода в здание до вводно-распределительного устройства (ВРУ) предусмотреть под потолком в коридоре нижнего этажа. 
Граница проектирования сетей 0,4 кВ от наконечников кабельных линий 0,4 кВ БКТП №ХХХ до наконечников кабельных линий 0.4 кВ в ВРУ проектируемого здания. 
При пересечении дорог, проездов и при пересечении коммуникаций, сети электроснабжения прокладывать в ПНД трубопроводах, в соответствии с АТР А-11. 
Узлы прохода через строительные конструкции зданий разрабатываются в разделах АР, АС, КЖ, трассировка кабельных линий (трассировка лотков кабельных линий внутри зданий) от наружной стены здания до ввода в ВРУ выдается заданием от раздела ЭС. Избегать прокладку над кладовыми.
Проектировщик раздела ЭОМ при необходимости включает в состав проекта решения по наружным коммуникациям, переданные ему разработчиком наружных сетей.
Расположение кабеленесущих лотков/ труб и кабельных линий от трансформаторной подстанции (ТП) до вводно-распределительного устройства (ВРУ) выполнить с увязкой с сетями смежных подразделений проектирования.</t>
  </si>
  <si>
    <t>6.1.6</t>
  </si>
  <si>
    <t>Для подключения системы ландшафтного освещения предусмотреть возможность подключения щита управления архитектурным освещением объекта и учесть необходимый резерв электрической мощности. 
Расчет выполнить в соответствии с заданием от специалистов ландшафта.</t>
  </si>
  <si>
    <t>6.2 Электроснабжение в железобетонных конструкциях</t>
  </si>
  <si>
    <t>Для прокладки электрических сетей в монолитных стенах и перекрытиях предусмотреть каналы из труб, установочных и распределительных коробок. 
Использовать гофрированную ПНД трубу. 
Диаметр трубы принять в соответсвие с назначением сетей:
- Освещение квартир/ МОП (d25)
- Освещение ЛК (d20)
- Питание квартир от ЩЭ до ЩК (d40)
Производители труб и коробок согласно вендор листу.
Трубы и коробки расположить в монолитных железобетоных перекрытиях.
Коробки установочные потолочные с крюком расположить по одной на каждое помещение, включая лоджию;
квартирный коридор и прихожую принять за отдельные помещения.
 Располагать коробки по центру помещения, в прихожей и коридоре при определении центра не включать площадь, отведенную под шкаф-купе.
 Коробки установочные потолочные без крюка расположить в МОПе согласно Дизайн-проекта.</t>
  </si>
  <si>
    <t>6.3 Электрооборудование и электроосвещение</t>
  </si>
  <si>
    <t>В жилой части предусмотреть систему электроснабжения.
Выполнить сети освещения и сети электроснабжения (розеточные).
Расчет электрических нагрузок кВт/ на квартиру выполнить по таблице 7.1 СП 256.1325800, с установкой электроплит мощностью 8,5 кВт, при этом расчетная нагрузка на квартиру (менее 150 м²) не должна превышать 10 кВт (220 В).
Питание квартир: однофазное.
Для квартир 150 м2 и более  Ру принять 14,5 кВт. 3-х фазное питание, кабель 5х10
Вводно-распределительное устройство (ВРУ) принимается в соответствии со стандартом типовое ВРУ Жилой части (Ссылка)
Магистраль принимается в соответствие со стандартом горизонтальная разводка магистрали кабельных линий Жилой части (Ссылка)
Стояк принимается в соответствие со стандартом вертикальная разводка стояков электроснабжения кабельных линий Жилой части (Ссылка)
Распределитель этажный принимается в соответствие со стандартом Этажный щит (Ссылка)
Распределитель индивидуальный принимается в соответствие со стандартом Квартирный щит (Ссылка)
Разводка принимается в соответствие со стандартом разводка кабельных линий по Жилым помещениям (Ссылка) 
Производители: согласно вендор листа.
Вводно-распределительное устройство расположено в электрощитовой на нижнем этаже, магистрали в лотках под потолком коридора нижнего этажа, стояки с этажными шкафами в электротехнических нишах у лестнично-лифтового узла, квартирные щиты и разводка в помещениях квартир.</t>
  </si>
  <si>
    <t>В МОП предусмотреть систему электроснабжения.
Выполнить рабочее и аварийное освещение.
Расположение, тип, марку, серию светильников в МОП предусмотреть в соответствии с действующими нормативно-правовыми документами и на основании дизайн-проекта.
Технические характеристики светильников должны соответствовать категориям помещений. 
Коммерчиский учет предусмотреть в составе ВРУ жилой части на ВП.
Освещение фасада предусмотреть в соответствие со стандартом фасадное освещение (Ссылка)
Вводно-распределительное устройство (ВРУ) принимается в соответствии со стандартом типовое ВРУ Жилой части (Ссылка)
Магистраль принимается в соответствие со стандартом горизонтальная разводка магистрали кабельных линий МОП (Ссылка)
Стояк принимается в соответствие со стандартом вертикальная разводка стояков электроснабжения кабельных линий МОП (Ссылка)
Разводка с оконечными потребителями принимается в соответствие со стандартом разводка кабельных линий по МОП (Ссылка) 
Производители: согласно вендор листа.
Вводно-распределительное устройство расположено в электрощитовой на нижнем этаже, магистрали в лотках под потолком коридора нижнего этажа, стояки в электротехнических нишах у лестнично-лифтового узла, разводка по помещениям МОП.</t>
  </si>
  <si>
    <t>В коммерческих помещениях предусмотреть систему электроснабжения. 
В каждом помещение предусмотреть распределительный щит с вводно коммутационным защитным аппаратом в соответствии с расчетной мощностью, а также аппаратов отходящих линий, необходимых для подключения инженерного оборудования и электроосвещения, необходимых для сдачи объекта.
Указать в примечании: аварийное освещение встроенных помещений выполняется силами арендатора (собственника) после ввода объекта в эксплуатацию по индивидуальному проекту.
Эвакуационное освещение выполняется проектом.
Расчетная мощность коммерческих помещений (для расчетов при получении ТУ) - 54 Вт/м². 
Расчетная мощность коммерческих помещений (для проекта рабочей документации) - 170 Вт/м² (не включая нагрузку на тепловые завесы). 
Предусмотреть номинал кабельных линий не менее АсВВГнг(А)-LS 5х10, трехфазный ввод 380В
Дополнительная мощность на коммерческое помещение дозаказывается по отдельному ТУ собственником/арендатором при необходимости. 
Вводно-распределительное устройство (ВРУ) принимается в соответствии со стандартом типовое ВРУ Жилой части (Ссылка)
Магистраль принимается в соответствие со стандартом горизонтальная разводка магистрали кабельных линий Коммерческих помещений (Ссылка)
Стояк принимается в соответствие со стандартом вертикальная разводка стояков электроснабжения кабельных линий Коммерческих помещений (Ссылка)
Распределитель индивидуальный принимается в соответствие со стандартом щит Коммерческих помещений (Ссылка)
Производители: согласно вендор листа.
Вводно-распределительное устройство расположено в электрощитовой на нижнем этаже, магистрали в лотках под потолком коридора нижнего этажа, стояки (подъемы через перекрытие) в месте технических (вспомогательных) помещениях коммерции.
Щиты коммерческих помещений расположить в глубине помещения, во вспомогательных или технических помещениях, не располагать вблизи входной группы.</t>
  </si>
  <si>
    <t>В технических помещениях предусмотреть систему электроснабжения. 
При расчете мощности на технические помещения, учесть нагрузки силового оборудования по заданию от смежных разделов.
Предусмотреть подключение шкафа управления автополивом в помещении насосной станции. Подключить от ВРУ жилья. Мощность уточнить по заданию от специалистов ВК.
Кабельные линии КЛ) от ВРУ (источника) до потребителя выполнить кабелем из алюминиевого сплава марки АсВВГнг(А)-LS/ ВВГнг(А)-FRLS
Производители: согласно вендор листа.
Кабельные линии от ВРУ до стояков проложить в перфорированных лотках под потолком коридора нижнего этажа
Магистраль кабельных линий основной и СПЗ выполнить с разделением по коробам, лоткам, трубам.
Стояк кабельных линий основной и СПЗ выполнить в отдельных электротехнических нишах.
Учет в составе ВРУ жилой части.</t>
  </si>
  <si>
    <t>Cистема электроснабжения Паркинг</t>
  </si>
  <si>
    <t xml:space="preserve">В помещение паркинга предусмотреть систему электроснабжения.
Выполнить рабочее и аварийное освещение.
Предусмотреть электрический обогрев открытой (наружной) рампы и лотков для отвода воды до приямка в паркинге. Мощность уточнить по заданию от специалистов ОВ.
Расположение, тип, марку, серию светильников в паркинге предусмотреть в соответствии с действующими нормативно-правовыми документами и на основании дизайн-проекта.
Технические характеристики светильников должны соответствовать категориям помещений. 
Расчетная мощность Рр=18Вт/м² (для м/м без станций зарядки электромобилей).
Сети от трансформаторной подстанции принять с запасом мощности для машиномест с возможность установки станции зарядки электромобилей исходя из СП256.1325800.2016. Изм.6. 
Количество предусматриваемых мест со станциями зарядки электромобилей предусматривать в количестве 5% от общего количество машиномест согласно данным АР.
Вводно-распределительное устройство (ВРУ) принимается в соответствии со стандартом типовое ВРУ Паркинга (Ссылка)
Магистраль принимается в соответствие со стандартом горизонтальная разводка магистрали кабельных линий Паркинга (Ссылка)
Разводка с оконечными потребителями принимается в соответствие со стандартом разводка кабельных линий по Паркингу (Ссылка) 
Шкафа обогрева рампы (Щоб-Р) с контроллером погодорегулирования, с подключением датчика освещенности и влажности
Кабельные линии проложить под потолком открыто в гофрированных ПВХ трубах с креплением к стенам и потолку.
Шкаф обогрева рампы (Щоб-Р) установить в помещении электрощитовой.
Учет в составе ВРУ паркинга. Счетчики с цифровым дисплеем, класса точности 1, с возможностью подключения к системе диспетчеризации по интерфейсу RS 485.
Светильники (тип, марка, серия) согласно дизайн проекта. 
</t>
  </si>
  <si>
    <t>Количество ВРУ подобрать на основании типовой схемы приложенной в Конструкторе Ссылка.
Схема ВРУ должна быть выполнена на основании типовой схемы приложенной в Конструкторе Ссылка.
Расчетный учет на границе балансовой принадлежности на стороне 0,4 кВ, на вводах в каждое ВРУ в соответствии с ТУ.
ВРУ заводского изготовления в щитах согласно расчетных схем. ВРУ предусмотреть на базе электрооборудования согласно вендор листа.
Все ВРУ разместить в электрощитовых.</t>
  </si>
  <si>
    <t>Подключение ВРУ паркинга предусмотреть от ВРУ жилой части, наиболее близко расположенной к ВРУ паркинга.
ВРУ разместить в электрощитовой паркинга.
Схема ВРУ должна быть выполнена на основании типовой схемы приложенной в Конструкторе Ссылка.
Расчетный учет на границе балансовой принадлежности на стороне 0,4 кВ, на вводах в каждое ВРУ в соответствии с ТУ.
ВРУ заводского изготовления в щитах согласно расчетных схем. ВРУ предусмотреть на базе электрооборудования согласно вендор листа.
ВРУ разместить в электрощитовой паркинга.</t>
  </si>
  <si>
    <t>6.3.8</t>
  </si>
  <si>
    <t>Прокладку кабельных линий от ВРУ до ниши (шахты) ЭЛ, выполнить кабелем:
- с жилами из алюминиевого сплава АсВВГнг(А)-LS 
Прокладку кабельных линий от ЩЭ до ЩК выполнить кабелем АсВВГнг(А)-LS 3х16 для квартир до 150 м²
Прокладку выполнить в перфорированных лотках под потолком коридора нижнего этажа (подвала) до места выхода в стояки. Прокладка кабелей над кладовыми запрещена.
Прокладку кабельных линий от ЩЭ до ЩК выполнить в ПНД гофротрубе d40 в плите перекрытия (поле), согласно узлу в Конструкторе, см. Узел....Ссылка</t>
  </si>
  <si>
    <t>6.3.9</t>
  </si>
  <si>
    <t>Кабельные линии КЛ) от ВРУ (источника) до потребителя выполнить кабелем из алюминиевого сплава марки АсВВГнг(А)-LS/ ВВГнг(А)-FRLS
Кабельные линии сетей освещения МОП выполгнить кабелем АсВВГнг(А)-LS 3х2,5 / ВВГнг(А)-FRLS 3х1,5 после выхода сетей из ниши ЭОМ/СС 
Стояки от Источника до ниши ЭОМ/СС могут быть выполнены кабелем АсВВГнг(А)-LS 3х4 / ВВГнг(А)-FRLS 3х2,5
Прокладку сетей, которые должны подниматься с использованием ниши ЭОМ/СС выполнить в перфорированных лотках (с делением на основной и СПЗ) под потолком коридора нижнего этажа (подвала) до места выхода в стояки. После выхода КЛ из шахты ЭОМ/СС на жилых этажах в МОПах прокладку до оконечного оборудования продолжить скрыто в замоноличенных каналах из ПНД гофры (Раздел ЭЛ.КЖ.). Прокладка сетей освещения ЛК исключает проход трассы через нишу ЭОМ/СС и должна быть выполнена на нижнем этаже открыто в ПВХ гофре с креплением к потолку, до точки вывода КЛ в заранее подготовленные замоноличенные каналы из ПНД гофры (Раздел ЭЛ.КЖ.)
Диаметр ПВХ/ПНД гофры подбирать соответственно кабеля.</t>
  </si>
  <si>
    <t>6.3.10</t>
  </si>
  <si>
    <t>Прокладку кабельных линий коммерции выполнить от ВРУ до ЩМКП кабелем с жилами из алюминиевого сплава марки АсВВГнг(А)-LS.
Кабельные линии принять на 1 номенал выше чем в расчете, но не менее АсВВГнг(А)-LS 5х10
Прокладку выполнить по потолку нижнего этажа (подвала) в гофрированной ПВХ трубе. 
Подъем кабеля к ЩМКП проложить через плиту перекрытия в стальной гильзе и в ПВХ гофрированной трубе. 
Диаметр ПВХ гофры подбирать соответственно кабеля</t>
  </si>
  <si>
    <t>6.3.11</t>
  </si>
  <si>
    <t>Кабельные линии КЛ) от ВРУ (источника) до потребителя выполнить кабелем из алюминиевого сплава марки АсВВГнг(А)-LS/ ВВГнг(А)-FRLS
Сечение кабелей согласно расчёта.
Прокладку сетей, которые должны подниматься с использованием ниши ЭОМ/СС на верхний тех. этаж (теплый чердак) выполнить в перфорированных лотках под потолком коридора нижнего этажа (подвала) до места выхода в стояки. После выхода КЛ из шахты ЭОМ/СС на чердаке прокладку до оконечного оборудования или распред. щитов продолжить открыто в ПВХ гофре с креплением к потолку/стенам. Прокладка сетей в -1-ом тех. этаже до потребителей расположенных в тех. помещениях этого же этажа выполнить открыто в ПВХ гофре с креплением к потолку/стенам. Прокладка кабелей над кладовыми запрещена.
Диаметр ПВХ гофры подбирать соответственно кабеля.</t>
  </si>
  <si>
    <t>6.3.12</t>
  </si>
  <si>
    <t>Магистраль кабельных линий Паркинг</t>
  </si>
  <si>
    <t xml:space="preserve">Кабельные линии КЛ) от ВРУ (источника) до потребителя выполнить кабелем из алюминиевого сплава марки АсВВГнг(А)-LS/ ВВГнг(А)-FRLS
Предусмотреть электрический обогрев открытой (наружной) рампы и лотков для отвода воды до приямка в паркинге.
Электрокабель расположить в слое стяжки (мощность 30 ВТ/м).
Выполнить на основании типовго узла приложенного в Конструкторе Ссылка.
Подключение греющего кабеля выполнить на основании типовой схемы щита обогрева рампы приложенной в Конструкторе Ссылка.
Кабельные линии сетей освещения МОП выполгнить кабелем АсВВГнг(А)-LS 3х2,5 / ВВГнг(А)-FRLS 3х1,5 после выхода сетей из ниши ЭОМ/СС 
Стояки от Источника до ниши ЭОМ/СС могут быть выполнены кабелем АсВВГнг(А)-LS 3х4 / ВВГнг(А)-FRLS 3х2,5
Прокладка сетей в паркинге до потребителей расположенных в паркинге выполнить открыто в ПВХ гофре с креплением к потолку/стенам, либо в перфорированных лотках. Прокладка кабелей над кладовыми запрещена.
Паркинг является отдельным пожарным отсеком (ПО) в случае прохода через паркинг транзитными сетями другого ПО сети проложить в перфорированном лотке и огнезащитном коробе.
Диаметр ПВХ гофры подбирать соответственно кабеля.
</t>
  </si>
  <si>
    <t>6.3.13</t>
  </si>
  <si>
    <t>Прокладку кабельных линий от магистрали в нише ЭЛ выполнить кабелем из алюминиевого сплава марки АсВВГнг(А)-LS
Сечение кабелей согласно расчёта.
Прокладку выполнить в нише ЭЛ, СС на лестничном лотке
Лотки расположить в этажной нише , привязки согласно типовой нише до 50 м. Ссылка</t>
  </si>
  <si>
    <t>6.3.14</t>
  </si>
  <si>
    <t>Кабельные линии КЛ) от магистрали до потребителя выполнить кабелем марки АсВВГнг(А)-LS/ ВВГнг(А)-FRLS
Кабельные линии сетей освещения МОП выполгнить кабелем АсВВГнг(А)-LS 3х2,5 / ВВГнг(А)-FRLS 3х1,5 после выхода сетей из ниши ЭОМ/СС 
Стояки от магистрали до ниши ЭОМ/СС могут быть выполнены кабелем АсВВГнг(А)-LS 3х4 / ВВГнг(А)-FRLS 3х2,5
Прокладку стояков, расположенных в нише ЭОМ/СС выполнить в лестничных лотках открыто.
Лотки расположить в этажной нише , привязки согласно типовой нише до 50 м. Ссылка</t>
  </si>
  <si>
    <t>6.3.15</t>
  </si>
  <si>
    <t>Кабельные линии КЛ) от магистрали до потребителя выполнить кабелем из алюминиевого сплава марки АсВВГнг(А)-LS
Кабельные линии принять на 1 номенал выше чем в расчете, но не менее АсВВГнг(А)-LS 5х10
Подъем кабеля к ЩМКП проложить через плиту перекрытия в ПВХ гофр. трубе.</t>
  </si>
  <si>
    <t>6.3.16</t>
  </si>
  <si>
    <t>Кабельные линии КЛ) от магистрали до потребителя выполнить кабелем марки АсВВГнг(А)-LS/ ВВГнг(А)-FRLS
Сечение кабелей согласно расчёта.
Прокладку сетей, расположенных в нише ЭОМ/СС выполнить на П-образном профиле в нише ЭОМ. Прокладку сетей СПЗ выполнить на П-образном профиле.
П-образный профиль расположить в этажной нише , привязки согласно типовой нише до 50 м. Ссылка</t>
  </si>
  <si>
    <t>6.3.17</t>
  </si>
  <si>
    <t>Этажные распределительные щиты встраиваемого исполнения. 
Предусмотреть в каждом этажном щите розетку от отдельной группы с защитой дифференциальным автоматическим выключателем (в составе ВРУ жилой части) для нужд УК.
В составе этажного щита предусмотреть приборы учета электроэнергии на каждое жилое помещение.
ЩЭ собрать согласно типовой схеме ЩЭ. См. Типовую электрическую принципиальную схему ЩЭ. Ссылка
Счетчики с цифровым дисплеем.
Производители: согласно вендор листа.
Щиты установить в электротехнические ниши. 
Приборы учета электроэнергии квартир предусмотреть в этажных щитах.
Щит этажный (ЩЭ) установить согласно узлу в Конструкторе, см. Узел....Ссылка</t>
  </si>
  <si>
    <t>6.3.18</t>
  </si>
  <si>
    <t>Щит квартирный пластиковый навесного (накладного) исполнения 12 модулей. 
Для обеспечения питания роутера предусмотреть установку розетки 220 В рядом с оптической розеткой на той же высоте.
Комплектацию ЩК с разделеним на группы собрать согласно типовой схеме ЩК. См. Типовую электрическую принципиальную схему ЩК Ссылка
Производители: согласно вендор листа.
ЩК установить сбоку у входной двери. см. Конструктор Ссылка
Щит квартирный (ЩК) установить согласно узлу в Конструкторе, см. Узел....Ссылка</t>
  </si>
  <si>
    <t>6.3.19</t>
  </si>
  <si>
    <t>Щит механизации коммерческих помещений стальной, навесного (накладного) исполнения 18 модулей 
В составе щита механизации коммерческого помещения (ЩМ-К) предусмотреть прибор учета электроэнергии.
Комплектацию ЩМ-К собрать согласно типовой схеме ЩМ-К. См. Типовую электрическую принципиальную схему ЩМ-К Ссылка.
Счетчики с цифровым дисплеем.
Производители: согласно вендор листа.
Расположить в глубине помещения, во вспомогательных или технических помещениях, не располагать вблизи входной группы.</t>
  </si>
  <si>
    <t>6.3.20</t>
  </si>
  <si>
    <t>Щит стальной, навесного (накладного) исполнения. 
Комплектацию выполнить согласно типовых схем. См Конструктор Ссылка.
Производители: согласно вендор листа.
Расположить в технических помещениях согласно заданию от смежного раздела.</t>
  </si>
  <si>
    <t>6.3.21</t>
  </si>
  <si>
    <t>Прокладку кабельных линий от щита этажного (ЩЭ) до щита квартирного (ЩК), выполнить кабелем с алюминиевыми жилами АсВВГнг(А)-LS Ру=10 кВт/кв. 
Прокладку кабельных линий от щита квартирного (ЩК) до конечных потребителей, выполнить кабелем с медными жилами марки ВВГнг(А)-LS.
Выполнить разводку внутриквартирных сетей в соответствии с разделением на группы.
Не производить прокладку кабелей (разводку розеточных сетей) в двухуровневых квартирах, квартирах с отдельным входом и квартирах с надстройкой на последних этажах.
Тип используемого кабеля:
От этажного щита до квартирного щита - АсВВГнг(А)-LS 3х16
Для розеточных сетей - ВВГнг(А)-LS 3х2.5 в трубе d25
Для подключения кухонной плиты предусмотреть отдельный кабель ВВГнг(А)-LS 3х6 в трубе d32
Сети освещение в квартир- ВВГнг(А)-LS 3х1.5 в трубе d20
Опуски к выключателям - 2х1,5 (для одноклавишных), 3х1,5 (для двухклавишных) в трубе d20
Линии розеток:
В каждом помещении квартиры предусмотреть установку ответвительных (распределительных) коробок для прокладки линий розеточной бытовой сети. Места установки коробок на стенах выбрать так, чтобы исключить прокладку линий на монолитных участках стен.
Расстановку розеток внутри комнат выполнить согласно планировочных решений и расположения мебели.
В С/У предусмотреть расположение встраиваемой одноместной розетки на высоте h=1050 мм., и 1 розетки за стиральной машиной (СМ) на высоте h=300 мм. 
Прокладку выполнить по плите перекрытия в ПНД гофрированной трубе d25 в слое стяжки пола.
Линии освещения:
Прокладку выполнить:
В основных жилых помещениях - в ПНД трубе D20 в плите перекрытия.
В ванной - в ПНД трубе D20 в плите перекрытия.
Выпуск кабеля после протяжки из плиты перекрытия выполнить длиной 250 мм и закончить клеммником с патроном и лампой. 
* Опуски к выключателям и подъемы к розеткам расположенным на кирпичных стенах выполнить в штробе под затирку.
Опуски к выключателям и подъемы к розеткам расположенным на ГКЛ перегородках выполнить в гофрированной ПВХ трубе.
Выключатели располагать внутри комнат на высоте 1000 мм с привязкой от проема 200 мм со стороны открывания двери. В случае отсутствия двери (кухня-гостиная) выключатель располагать с привязкой 200 мм от угла проема.
Расположение дверного звонка выполнить согласно узлу в Конструкторе, см. Узел....Ссылка</t>
  </si>
  <si>
    <t>6.3.22</t>
  </si>
  <si>
    <t>Прокладку кабельных линий от щита этажного (ЩЭ) до оконечного потребителя, выполнить кабелем с алюминиевыми жилами АсВВГнг(А)-LS.
Тип используемого кабеля:
Линии освещения:
Сети рабочего освещения выполнить кабелем АсВВГнг(А)-LS 3х2.5 (для участков вне стояка)
Сети аварийного освещения выполнить кабелем ВВГнг(А)-FRLS 3х1.5 (для участков вне стояка)
До клапанов дымоудаления ВВГнг(А)-FRLS 3х1.5
Для помещений МОП светильники (тип, марка, серия) согласно дизайн проекта.
Производители: согласно вендор листа.
Прокладку выполнить:
Линии освещения:
В МОП - в ПНД трубе D20 в плите перекрытия.
До клапанов дымоудаления 
В МОП в ПВХ трубе D20 кабелем ВВГнг(А)-FRLS 3х1.5
Управление освещением мест общего пользования жилой части (межквартирные коридоры, лифтовые холлы, вестибюли входных групп, лестничные клетки) предусмотреть:
Управление освещением:
Рабочее освещение:
- включено постоянно.( актуально для межквартирных коридоров)
- местное (ручное) - с фасада щита освещения;
- телеуправление - с диспетчерского поста (при его наличии);
Аварийное/эвакуационное:
- включено постоянно.
* В ЛК все светильники запитать по 1-й категории, все освещение-аварийное.
 Освещение в ЛК при наличии окон предусмотреть с управлением через Астрореле+датчик освещенности.
Входы в здание, номерные знаки:
- автоматическое - от сумеречных датчиков или астрореле;
- местное (ручное) - с щита освещения;
- телеуправление - с диспетчерского поста (при его наличии).</t>
  </si>
  <si>
    <t>6.3.23</t>
  </si>
  <si>
    <t>Прокладку кабельных линий по техническим помещеним от магистрали до потребителя выполнить кабелем марки АсВВГнг(А)-LS/ ВВГнг(А)-FRLS
Тип используемого кабеля:
Сети рабочего освещения выполнить кабелем АсВВГнг(А)-LS.
Сети аварийного освещения выполнить кабелем ВВГнг(А)-FRLS.
Сечение согласно расчета.
Оконечное оборудование в технических помещениях - согласно выданному заданию от смежных разделов, либо согласно вендор-листу.
* Оконечное оборудование выданное в виде задания от смежного раздела в разделе ЭОМ не учитывается, кроме розеток, коробок, 
 Установка светильников в тех. помещениях согласно вендор- листа
 Установка светильников в кладовых согласно вендор- листа
 Установка светильников в коридорах кладовых согласно вендор- листа
Прокладку по техничеким помещениям, и кладовым выполнить открыто в ПВХ гофре с креплением к потолку/стенам на металлические скобы.
Прокладку по коридорам кладовых выполнить в лотке  с креплением лотка к потолку. Светильники коридоров кладовых закрепить к лоткам, рабочее и аварийное освещение в лотке выполнить через стальную перегородку.
Светильники кладовых располодить по центру помещения, выключатель установить снаружи кладовой, со стороны открывания двери (дверной ручки) на высоте h=1500мм.
Управление освещением:
Указатели пожарные гидранты и заграждения.
- автоматическое - от сумеречных датчиков или астрореле;
- местное (ручное) - с щита освещения;
- телеуправление - с диспетчерского поста (при его наличии).
Освещение санузлов, служебных, подсобных и технических помещений:
Рабочее освещение:
-местное, из помещений. 
* В проходных коридорах, в помещениях в подвале с двумя входами предусмотреть проходные выключатели.
-аварийное/эвакуационное:
- включено постоянно;
- местное, из помещений.</t>
  </si>
  <si>
    <t>6.3.24</t>
  </si>
  <si>
    <t>Разводка кабельных линий по Паркингу</t>
  </si>
  <si>
    <t xml:space="preserve">Прокладку кабельных линий по паркингу от магистрали до потребителя выполнить выполнить кабелем АсВВГнг(А)-LS/ ВВГнг(А)-FRLS.
Тип используемого кабеля:
Сети рабочего освещения выполнить кабелем АсВВГнг(А)-LS.
Сети аварийного освещения выполнить кабелем ВВГнг(А)-FRLS.
Сечение согласно расчета.
Для помещений паркинга светильники (тип, марка, серия) согласно дизайн проекта.
Предусмотреть таблички с направлением движения в паркинге.
Производители: согласно вендор листа.
Прокладку выполнить открыто в ПВХ гофре с креплением к потолку/стенам на пластиковые клипсы, либо в лотках (Сети освещения паркинга над машиноместами) 
Управление освещением:
Рабочее освещение:
- по проездам: телеуправление - с диспетчерского поста (при его наличии);
- над машиноместами: автоматическое, от датчиков движения;
- местное (ручное) - с щита освещения.
Аварийное/эвакуационное:
- включено постоянно;
- местное (ручное) - с щита аварийного освещения.
</t>
  </si>
  <si>
    <t>6.3.25</t>
  </si>
  <si>
    <t>Проектом, в зависимости от этажности, предусмотреть установку и подключение огней светового заграждения (СЗО) на секциях высотой 45 м и более в соответствии с Приказом Федеральной аэронавигационной службы от 28 ноября 2007 г. № 119.
Управление СЗО предусмотреть через блок управления заградительными огнями (БУЗО), установленный на кровле здания.
Прокладку кабеля к заградительным огням выполнить в атмосферостойкой трубе d25 с креплением к внутренней части стены ограждения кровли. Само крепление осуществляется оцинкованными металлическими скобами за слоем утеплителя. 
Распределительные коробки установить в доступном месте с расчётом на дальнейшее обслуживание.
Заградительные огни расположить на кровле с подключением через БУЗО
Заградительные огни закрепить по углам здания к ограде кровли на сварку или другим удобным для монтажа стовобом.
Производители: согласно вендор листа.</t>
  </si>
  <si>
    <t>6.4 Молниезащита и заземление</t>
  </si>
  <si>
    <t>6.4.1</t>
  </si>
  <si>
    <t>Систему молниезащиты выполнить в соответствии с Инструкциями СО 153-34.21.122-2003 и РД 34.21.122-87. Система молниезащиты состоит из: 
- источника (молниеприемника)
- магистрали (опуски)
- потребителя (контур заземления)
Молниеприемник принимается в соответствии со стандарт источника (молниеприемники)
магистрали принимается в соответствии со стандарт магистрали (опуски)
потребитель принимается в соответствии со стандартом потребителя (контур заземления)
Система молниезащиты расположена на кровле (молниеприемник), опуски в слое утеплителя фасадных стен, заземление по периметру здания под благоустройством
Конкретные привязки элементов смотри в стандартом потребителя (контур заземления), стандарт магистрали (опуски), стандартом потребителя (контур заземления)</t>
  </si>
  <si>
    <t>6.4.2</t>
  </si>
  <si>
    <t>Предусмотреть выполнение основной и дополнительной систем уравнивания потенциалов в соответствии с требованием действующих Норм и Правил. Предусмотреть систему защитного заземления зданий по системе TN-C-S. В помещениях квартир без отделки и помещениях общественно-коммерческого назначения ДСУП не предусмотрена, (данные работы осуществляются силами собственников квартир и помещений общественно-коммерческого назначения) В квартирах с отделкой выполнить установку КУП за стальной ванной, от КУП проложить провод ДСУП для розетки С/У, разводку КЛ выполнить скрыто.
В качестве проводника для ДСУП технических помещений применить стальную полосу 25х4 мм. В качестве проводника для ДСУП квартир применить провод ПуГВ 1х6 мм и 1х2,5 мм.
В помещениях электрощитовых, венткамерах, (ИТП), насосной, в машинных помещениях, а также в приямках шахт лифтов выполнить внутренний контур системы ДСУП (стальная полоса 25х4 мм). по периметру помещений на высоте 30 см от уровня чистого пола. Полосу соединить с шиной ГЗШ. Предусмотреть уравнивание потенциалов в машином помещении лифта и лифтовой шахты.Основную систему уравнивания потенциалов выполнить по радиальной схеме, обеспечив соединение всех вводных коммуникаций с главной заземляющей шиной (ГЗШ).
В качестве главных заземляющих шин использовать РE-шины вводно-распределительных устройств ВРУ. 
Принципиальная схема системы заземления и уравнивания потенциалов привередена в Альбоме техничсеких решений (Конструктор).</t>
  </si>
  <si>
    <t>6.4.3</t>
  </si>
  <si>
    <t>Систему молниезащиты выполнить в соответствии с Инструкциями СО 153-34.21.122-2003 и РД 34.21.122-87. 
В качестве молниеприемной сетки применить круглую оцинкованную сталь диаметром 8 мм. 
Молниеприемную сетку уложить в пироге кровли, в верхнем слое уклонообразующей стяжки из керамзитобетона. Часть молниеприемной сетки, проходящей по периметру здания (в том числе машинных помещений), выполнить под парапетом. К молниеприемной сетке, подключить все металлические элементы кровли такие как ограждения, лестницы, радиостойки и прочие элементы без нарушения гидроизоляции кровли. Молниеприемную сетку соединить с системой вертикальных токоотводов - опусков. Все соединения узлов ячеек молниеприемной сетки, выполнить посредством сварки. На всех узлах сварки в системе заземления следует восстановить цинковое покрытие и обработать антикоррозийным составом.
Молниеприемную сетку предусмотреть с шагом не более 10м. Представить к согласованию конструкцию молниеприемника и узлов соединений всех элементов системы молниезащиты с наружным контуром заземления.</t>
  </si>
  <si>
    <t>6.4.4</t>
  </si>
  <si>
    <t>Систему молниезащиты выполнить в соответствии с Инструкциями СО 153-34.21.122-2003 и РД 34.21.122-87. 
В качестве опусков молниезащиты применить круглую оцинкованную сталь диаметром 8 мм. 
Систему вертикальных токоотводов соединить с молниеприемной сеткой. Опуски проложить по наружной стене за утеплителем из негорючих материалов. Вблизи поверхности земли опуски соединить внахлест с заземляющим проводником из стальной оцинкованной полосы 40х4 мм и соединить сваркой с наружным контуром заземления молниезащиты.
Вертикальные токоотводы (опуски) по периметру здания соединить между собой горизонтальными поясами из круглой оцинкованной стали диаметром 8 мм вблизи поверхности земли и через каждые 20,0 м по высоте здания.</t>
  </si>
  <si>
    <t>6.4.5</t>
  </si>
  <si>
    <t>Систему молниезащиты выполнить в соответствии с Инструкциями СО 153-34.21.122-2003 и РД 34.21.122-87. 
Наружный контур заземления выполнить из стальной оцинкованной полосы 40х4 мм.
В местах присоединения токоотводов к наружному контуру заземления молниезащиты, приварить вертикальные заземлители из угловой оцинкованной стали 50х50х5 мм, длиной 3,0 м.
Количество вертикальных заземлителей проверить расчетом. При необходимости добавить/исключить верт.заземлители.
Все соединения узлов ячеек молниеприемной сетки, токоотводов и заземлителей выполнить посредством сварки.
На всех узлах сварки в системе заземления следует восстановить цинковое покрытие и обработать антикоррозийным составом. 
Представить к согласованию конструкцию молниеприемника, токоотводов и узлов соединений всех элементов системы молниезащиты с наружным контуром заземления. 
Наружный контур заземления проложить по периметру здания на глубине не менее 0,7 м от уровня отметки земли и на расстоянии не менее 1 м от фундамента.</t>
  </si>
  <si>
    <t>7 Водоснабжение и водоотведение</t>
  </si>
  <si>
    <t>7.0 Общее</t>
  </si>
  <si>
    <t>7.0.2</t>
  </si>
  <si>
    <t>Границы деления инженерных систем предусматреть в соответствии с Приложением №8 BIM стандарт организации.</t>
  </si>
  <si>
    <t>7.0.1</t>
  </si>
  <si>
    <t>В проектной и рабочей документации (модели) предусматреть буквенно-цифровое обозначение внутренних систем в соответствии с Приложением №8 BIM стандарт организации.</t>
  </si>
  <si>
    <t>7.1 Водоснабжение</t>
  </si>
  <si>
    <t>При проектировании учесть плановые нагрузки по данному объекту 283,47 м3/сут.
Расчет выполнить на основании СП30.13330 Приложение А. таб.А.2
-на коммерческие помещения
-жилые помещения
-паркинг
При расчете не учитывать расход на полив.</t>
  </si>
  <si>
    <r>
      <rPr>
        <sz val="8"/>
        <rFont val="Arial"/>
      </rPr>
      <t xml:space="preserve">Коллекторную однозонную систему применить для зданий до 50 метров с нишей у ЛЛУ.
Коммерческие помещения и полив на благоустройство запитать от собственной магистрали. КУИ запитать от магистрали водоснабжения жилых помещений.
Система состоит:
</t>
    </r>
    <r>
      <rPr>
        <u/>
        <sz val="8"/>
        <color rgb="FF1155CC"/>
        <rFont val="Arial"/>
      </rPr>
      <t>Комплексная насосная хозяйственно - питьевого водоснабжения</t>
    </r>
    <r>
      <rPr>
        <sz val="8"/>
        <rFont val="Arial"/>
      </rPr>
      <t xml:space="preserve"> ;
</t>
    </r>
    <r>
      <rPr>
        <u/>
        <sz val="8"/>
        <color rgb="FF1155CC"/>
        <rFont val="Arial"/>
      </rPr>
      <t xml:space="preserve">Магистраль  - полипропиленовая труба </t>
    </r>
    <r>
      <rPr>
        <sz val="8"/>
        <rFont val="Arial"/>
      </rPr>
      <t xml:space="preserve">  / </t>
    </r>
    <r>
      <rPr>
        <u/>
        <sz val="8"/>
        <color rgb="FF1155CC"/>
        <rFont val="Arial"/>
      </rPr>
      <t>стальная оцинкованная (для Новосибирска)</t>
    </r>
    <r>
      <rPr>
        <sz val="8"/>
        <rFont val="Arial"/>
      </rPr>
      <t xml:space="preserve"> ;
</t>
    </r>
    <r>
      <rPr>
        <u/>
        <sz val="8"/>
        <color rgb="FF1155CC"/>
        <rFont val="Arial"/>
      </rPr>
      <t>Стояк - полипропиленовая труба</t>
    </r>
    <r>
      <rPr>
        <sz val="8"/>
        <rFont val="Arial"/>
      </rPr>
      <t xml:space="preserve">  / </t>
    </r>
    <r>
      <rPr>
        <u/>
        <sz val="8"/>
        <color rgb="FF1155CC"/>
        <rFont val="Arial"/>
      </rPr>
      <t>стальная оцинкованная (для Новосибирска)</t>
    </r>
    <r>
      <rPr>
        <sz val="8"/>
        <rFont val="Arial"/>
      </rPr>
      <t xml:space="preserve"> ;
</t>
    </r>
    <r>
      <rPr>
        <u/>
        <sz val="8"/>
        <color rgb="FF1155CC"/>
        <rFont val="Arial"/>
      </rPr>
      <t>Коллектор</t>
    </r>
    <r>
      <rPr>
        <sz val="8"/>
        <rFont val="Arial"/>
      </rPr>
      <t xml:space="preserve">  - стальной нержавеющий заводского изготовления;
</t>
    </r>
    <r>
      <rPr>
        <u/>
        <sz val="8"/>
        <color rgb="FF1155CC"/>
        <rFont val="Arial"/>
      </rPr>
      <t>Индивидуальный распределитель - узел учета водоснабжения индивидуальный</t>
    </r>
    <r>
      <rPr>
        <sz val="8"/>
        <rFont val="Arial"/>
      </rPr>
      <t xml:space="preserve"> ;
</t>
    </r>
    <r>
      <rPr>
        <u/>
        <sz val="8"/>
        <color rgb="FF1155CC"/>
        <rFont val="Arial"/>
      </rPr>
      <t>Разводка поэтажная</t>
    </r>
    <r>
      <rPr>
        <sz val="8"/>
        <rFont val="Arial"/>
      </rPr>
      <t xml:space="preserve">  - сшитый полиэтилен;
</t>
    </r>
    <r>
      <rPr>
        <u/>
        <sz val="8"/>
        <color rgb="FF1155CC"/>
        <rFont val="Arial"/>
      </rPr>
      <t xml:space="preserve">Разводка индивидуальная </t>
    </r>
    <r>
      <rPr>
        <sz val="8"/>
        <rFont val="Arial"/>
      </rPr>
      <t xml:space="preserve">  - полипропиленовая труба (КУИ);
Производители: согласно вендор листу.
Расположение систем:
Насосную станцию расположить в помещении насосной.
Магистраль расположить в помещении нижнего этажа.
Стояк и коллектор расположить в зоне ЛЛУ в межквартирном коридоре.
Индивидуальный распределитель расположить в КУИ и мокрой зоне коммерческих помещений.
Разводку поэтажную расположить в стяжке пола от этажного коллектора до помещений кухни и санузлов.
Разводку индивидуальную выполнить по помещению КУИ.</t>
    </r>
  </si>
  <si>
    <r>
      <rPr>
        <sz val="8"/>
        <rFont val="Arial"/>
      </rPr>
      <t xml:space="preserve">Коллекторную двухзонную систему применить для зданий от 50 до 75 метров с нишей у ЛЛУ.
Коммерческие помещения и полив на благоустройство запитать от собственной магистрали. КУИ запитать от магистрали водоснабжения жилых помещений.
Система состоит:
</t>
    </r>
    <r>
      <rPr>
        <u/>
        <sz val="8"/>
        <color rgb="FF1155CC"/>
        <rFont val="Arial"/>
      </rPr>
      <t>Комплексная насосная станция хозяйственно - питьевого водоснабжения</t>
    </r>
    <r>
      <rPr>
        <sz val="8"/>
        <rFont val="Arial"/>
      </rPr>
      <t xml:space="preserve"> ;
</t>
    </r>
    <r>
      <rPr>
        <u/>
        <sz val="8"/>
        <color rgb="FF1155CC"/>
        <rFont val="Arial"/>
      </rPr>
      <t>Магистраль - полипропиленовая труба, нержавеющая сталь</t>
    </r>
    <r>
      <rPr>
        <sz val="8"/>
        <rFont val="Arial"/>
      </rPr>
      <t xml:space="preserve">  / </t>
    </r>
    <r>
      <rPr>
        <u/>
        <sz val="8"/>
        <color rgb="FF1155CC"/>
        <rFont val="Arial"/>
      </rPr>
      <t>стальная оцинкованная (для Новосибирска)</t>
    </r>
    <r>
      <rPr>
        <sz val="8"/>
        <rFont val="Arial"/>
      </rPr>
      <t xml:space="preserve"> ;
</t>
    </r>
    <r>
      <rPr>
        <u/>
        <sz val="8"/>
        <color rgb="FF1155CC"/>
        <rFont val="Arial"/>
      </rPr>
      <t>Стояк - полипропиленовая труба</t>
    </r>
    <r>
      <rPr>
        <sz val="8"/>
        <rFont val="Arial"/>
      </rPr>
      <t xml:space="preserve">  / </t>
    </r>
    <r>
      <rPr>
        <u/>
        <sz val="8"/>
        <color rgb="FF1155CC"/>
        <rFont val="Arial"/>
      </rPr>
      <t xml:space="preserve">стальная оцинкованная (для Новосибирска) </t>
    </r>
    <r>
      <rPr>
        <sz val="8"/>
        <rFont val="Arial"/>
      </rPr>
      <t xml:space="preserve"> ;
</t>
    </r>
    <r>
      <rPr>
        <u/>
        <sz val="8"/>
        <color rgb="FF1155CC"/>
        <rFont val="Arial"/>
      </rPr>
      <t>Коллектор</t>
    </r>
    <r>
      <rPr>
        <sz val="8"/>
        <rFont val="Arial"/>
      </rPr>
      <t xml:space="preserve">  - стальной нержавеющий заводского изготовления;
</t>
    </r>
    <r>
      <rPr>
        <u/>
        <sz val="8"/>
        <color rgb="FF1155CC"/>
        <rFont val="Arial"/>
      </rPr>
      <t>Индивидуальный распределитель - узел учета водоснабжения индивидуальный</t>
    </r>
    <r>
      <rPr>
        <sz val="8"/>
        <rFont val="Arial"/>
      </rPr>
      <t xml:space="preserve"> ;
</t>
    </r>
    <r>
      <rPr>
        <u/>
        <sz val="8"/>
        <color rgb="FF1155CC"/>
        <rFont val="Arial"/>
      </rPr>
      <t>Разводка поэтажная</t>
    </r>
    <r>
      <rPr>
        <sz val="8"/>
        <rFont val="Arial"/>
      </rPr>
      <t xml:space="preserve">  - сшитый полиэтилен;
</t>
    </r>
    <r>
      <rPr>
        <u/>
        <sz val="8"/>
        <color rgb="FF1155CC"/>
        <rFont val="Arial"/>
      </rPr>
      <t>Разводка индивидуальная</t>
    </r>
    <r>
      <rPr>
        <sz val="8"/>
        <rFont val="Arial"/>
      </rPr>
      <t xml:space="preserve">  - полипропиленовая труба (КУИ) 
Производители: согласно вендор листу.
Расположение систем:
Насосную станцию расположить в помещении насосной.
Магистраль расположить в помещении нижнего этажа.
Стояк и коллектор расположить в зоне ЛЛУ в межквартирном коридоре.
Индивидуальный распределитель расположить в КУИ и мокрой зоне коммерческих помещений.
Разводку поэтажную расположить в стяжке пола от этажного коллектора до помещений кухни и санузлов.
Разводку индивидуальную выполнить по помещению КУИ.</t>
    </r>
  </si>
  <si>
    <t>Насосную установку подобрать с учетом обеспечения требуемого напора и общего расхода воды. Применить комплексные установки в полной комплектации. Шкаф управления в комплекте с насосной.
К насосным установкам предусмотреть гибкие вставки (вибровставки).
Производитель: Согласно вендор листу.
В одном помещение насосной расположить: узел ввода, насосную станцию хозяйственнно - питьевого водоснабжения, насосную станцию пожаротушения.
Располагать оборудование в насосной необходимо с соблюдением требуемых расстояний согласно СП.
Обвязку насосной станции хозяйственно - питьевого водоснабжения выполнить из стальной нержавеющей трубы ГОСТ 9941-81.
Диаметр (наружный): 19х1,8; 24х1,8; 28х1,8; 36х1,8; 45х1,8; 54х2; 68х2; 76х2; 86х3; 108х3; 130х3; 160х3,2; 200х3,2; 250х3,2 в тепловой изоляции из вспененного каучука толщиной 13 мм.
Применять приварные соединительные детали стальных трубопроводов:
- Отводы под углами 15°/45°/90°;
Тип присоединения запорной и регулирующей арматуры : 
- Муфтовое соединение - DN15 - DN50,
- Фланцевое соединение - DN65 и более.</t>
  </si>
  <si>
    <t>На систему холодного водоснабжения предусмотреть отдельные узлы учета : общедомовой, на жилье, на коммерцию и на автополив.
Узел учета водоснабжения состоит:
1. Задвижка с обрезиненным клином фланцевая / Кран шаровой полнопроходной: с резьбой тип (ВР-ВР), тип рукоятки "рычаг"
2. Фильтр чугунный/ фильтр латунный с резьбой тип(ВР-ВР)
3. Счетчик водоснабжения с импульсным выходом
4. Кран трехходовой для манометра
5. Манометр класс точности 1,5
6. Кран для поверки счетчика
7. Задвижка с обрезиненным клином фланцевая / Кран шаровой полнопроходной: с резьбой тип (ВР-ВР), тип рукоятки "рычаг"
Принцип работы и тип присоединения счетчика водоснабжения: 
- Крыльчатый, муфтовое соединение - DN15 - DN40,
- Турбинный, фланцевое соединение - DN50 и более.
Тип присоединения запорной и регулирующей арматуры : 
- Муфтовое соединение - DN15 - DN50,
- Фланцевое соединение - DN65 и более.
Узлы учета водоснабжения расположить в помещение насосной хозяйственно - питьевого водоснабжения.</t>
  </si>
  <si>
    <t>7.1.6</t>
  </si>
  <si>
    <t>Система водоочистки устанавливается на всех объектах класса В и С.
Станции водоподготовки должны рассчитываться на средний часовой расход в сутки максимального водопотребления.
Запуск хозяйственно-питьевого водопровода через станцию водоподготовки выполнить при заселении дома не менее 20% жителей.
Система Водоочистки состоит:
1. Фильтр осветительный, с засыпкой из алюмосиликатных фильтрующих материалов;
2. Фильтр сорбционный, засыпкой из кокосового угля;
3. УФ лампа; 
4. Байпаснная линия с затвором.
Размеры Фильтров и УФ -лампы рассчитываются из ходя из расхода воды на объекте.
Станция водоподготовки расположена на вводе в здание после водомерного узла в помещении насосной. На входе в станцию водоподготовки требуется давление от 3 до 6 бар. Необходимо предусмотреть обводную линию (байпас) с задвижкой, для водоснабжения объекта во время профилактических работ на фильтровальном оборудовании.</t>
  </si>
  <si>
    <t>7.1.7</t>
  </si>
  <si>
    <t>Предусмотреть систему автополива на террасах и придомовой территории в пределах земельного участка.
Ручной полив с установкой кранов на фасаде (в скрытых лючках) или световых приямках не предусматривать.
В помещении насосной предусмотреть место для установки накопительных баков системы автополива площадью 5м². 
Для системы автополив предусмотреть узел учета. 
Система автополив проектируется отдельной специализированной проектной организацией по отдельному заданию от архитектора ландшафта.</t>
  </si>
  <si>
    <t>7.1.8</t>
  </si>
  <si>
    <t>Магистраль холодного водоснабжения выполнить из полипропиленовых труб PN25 армированных стекловолокном.
Магистраль горячего и циркуляционного водоснабжения выполнить из оцинкованных стальных труб по ГОСТ 3262-75 диаметр и толщина стенки: 15х2,8; 20х2,8; 25х3,2; 32х3,2; 40х3,5, и оцинкованных стальных труб по ГОСТ 10704-91 диаметр и толщина стенки: 57х3,5; 76х3,5; 89х4,0; 108х4,0; 133х4,5;159х4,5.
В тепловой изоляции из вспененного каучука, толщиной 13 мм для ХВС, 19 мм для ГВС. 
Антикоррозийная защита: 
- Трубопроводы в изоляции: краска БТ-177 ГОСТ 5631-79 в два слоя, по грунту ГФ-021 ГОСТ 25129-82 в один слой. 
На выходе из помещения насосной станции выполнить переход с нержавеющей стальной трубы на полипропиленовую с помощью фланца с буртом. На выходе из помещения ИТП выполнить переход с нержавеющей стальной трубы на стальную оцинкованную трубу.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 Кран шаровой полнопроходной сливной со штуцером: с резьбой тип (НР), тип рукоятки "рычаг".
Производители: согласно вендор листу.
Трубопроводы расположить под потолком нижнего этажа.</t>
  </si>
  <si>
    <t>7.1.9</t>
  </si>
  <si>
    <t>Магистраль холодного водоснабжения первой зоны выполнить из полипропиленовых труб PN25 армированных стекловолокном.
Магистраль холодного водоснабжения второй зоны и магистрали горячего и циркуляционного горячего водоснабжения выполнить из оцинкованных стальных труб по ГОСТ 3262-75 диаметр и толщина стенки: 15х2,8; 20х2,8; 25х3,2; 32х3,2; 40х3,5, и оцинкованных стальных труб по ГОСТ 10704-91 диаметр и толщина стенки: 57х3,5; 76х3,5; 89х4,0; 108х4,0; 133х4,5;159х4,5.
В тепловой изоляции из вспененного каучука, толщиной 13 мм для ХВС, 19 мм для ГВС. 
Антикоррозийная защита: 
- Трубопроводы в изоляции: краска БТ-177 ГОСТ 5631-79 в два слоя, по грунту ГФ-021 ГОСТ 25129-82 в один слой. 
На выходе из помещений насосной станции и ИТП выполнить переход с нержавеющей стальной трубы на полипропиленовую с помощью фланца с буртом / на стальную оцинкованную трубу.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 Кран шаровой полнопроходной сливной со штуцером: с резьбой тип (НР), тип рукоятки "рычаг".
Производители: согласно вендор листу.
Трубопроводы расположить под потолком нижнего этажа.</t>
  </si>
  <si>
    <t>7.1.10</t>
  </si>
  <si>
    <t>Стояки холодного водоснабжения выполнить из полипропиленовых труб PN25 армированных стекловолокном.
Стояки горячего водоснабжения выполнить из оцинкованных стальных труб по ГОСТ 10704-91. 
Стояки циркуляции выполнить из оцинкованных стальных труб по ГОСТ 3262-75.
В тепловой изоляции из вспененного каучука, толщиной 13 мм для ХВС, 19 мм для ГВС.
Диаметр трубопроводов:
Для ХВС и ГВС - DN 50
Для циркуляции ГВС - DN 32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Производители: согласно вендор листу.
Трубопроводы расположить в межквартирном коридоре в нише у ЛЛУ.</t>
  </si>
  <si>
    <t>7.1.11</t>
  </si>
  <si>
    <t>Стояки холодного водоснабжения выполнить из полипропиленовых труб PN25 армированных стекловолокном.
Стояки горячего водоснабжения выполнить из оцинкованных стальных труб по ГОСТ 10704-91. 
Стояки циркуляции выполнить из оцинкованных стальных труб по ГОСТ 3262-75.
В тепловой изоляции из вспененного каучука, толщиной 13 мм для ХВС, 19 мм для ГВС.
Диаметр трубопроводов:
Для ХВС и ГВС - DN 63
Для циркуляции ГВС - DN 40
В качестве трубопроводной арматуры использовать:
- Воздухоотводчик: автоматический прямой с (боковым/верхним) выпуском, боковой с верхним выпуском,
- Кран шаровой полнопроходной: с резьбой тип (ВР-ВР), тип рукоятки "рычаг",
- Кран шаровой полнопроходной: с резьбой тип (ВР-ВР), тип рукоятки "бабочка" - для спускных и кранов перед воздухоотводчиками.
Производители: согласно вендор листу.
Трубопроводы расположить в межквартирном коридоре в нише у ЛЛУ.</t>
  </si>
  <si>
    <t>7.1.12</t>
  </si>
  <si>
    <t>7.1.12.1</t>
  </si>
  <si>
    <t>Префабрицированные заготовки стояков водоснабжения</t>
  </si>
  <si>
    <t>Системы:
- Хозяйственно-питьевого водопровода,
- Горячего водоснабжения,
- Циркуляции горячего водоснабжения,
Проектировать, производить и монтировать (стояки жилой части) унифицированными префабрицированными изделиями заводского изготовления (в спецификацию включать количество изделий с маркировкой согласно альбома рабочих чертежей заготовок).</t>
  </si>
  <si>
    <t>7.1.13</t>
  </si>
  <si>
    <t>Коллектор заводского изготовления (в сборе). 
Подключение от стояка через комбинированную муфту ПП-НР.
Состав коллектора:
1. Кран шаровой латунный муфтовый бабочка НР-ВР, DN32 (для подключения к стояку) 
2. Фильтр сетчатый латунный ВР-ВР, DN32
3. Ниппель латунный НР-НР DN32
4. Балка коллекторная DN40 из нержавеющей стали 
5. Кран шаровой латунный муфтовый бабочка ВР-ВР DN15 (для подключения к разводке) 
6. Клапан редукционный мембранный ВР-ВР DN15 (наличие редукционного клапана определить по расчету)
7. Счетчик универсальный с импульсным выходом и присоединительным комплектом
8. Обратный клапан пружинный (штоковый) латунный ВР-ВР DN15
На коллекторе предусмотреть теплоизоляцию из вспененного каучука.
Производители согласно вендодр листу.
Поэтажные коллекторы с поквартирным учетом расположить в межквартирном коридоре, предусмотреть не более 2 поэтажных шкафов на всех собственников. 
Расположение коллектора в этажной нише (привязки) выполнить соглано решения Инженерная ниша (ссылка).</t>
  </si>
  <si>
    <t>7.1.14</t>
  </si>
  <si>
    <t>Предусмотреть индивидуальный узел учета водоснабжения на каждое коммерческое помещение и КУИ.
Подключение от стояка через комбинированный отвод ПП-НР DN20-15.
Состав узла учета:
1. Кран шаровой латунный муфтовый бабочка НР-ВР DN15 
2. Фильтр сетчатый латунный ВР-ВР DN15
3. Ниппель латунный НР-НР DN15 
4. Клапан редукционный ВР-ВР DN15 (наличие редукционного клапана определить по расчету)
5. Счетчик универсальный с импульсным выходом и присоединительным комплектом
6. Обратный клапан пружинный (штоковый) латунный ВР-ВР DN15
7. Заглушка ПП НР DN15
8. Муфта (штуцер) с переходом на НР (надвижной фитинг - для СП)
Производители согласно вендодр листу.
Располагать счетчик на отметке 1200 мм от чистого пола для возможности установки инсталляции.</t>
  </si>
  <si>
    <t>7.1.15</t>
  </si>
  <si>
    <t>Разводку выполнить трубами из сшитого полиэтилена PN10 в тепловой изоляции из вспененного полиэтилена 9 мм в МОП, по квартирам в защитной гофрированной трубе с устройством на конце крана шарового латунного муфтового бабочки ВР-ВР DN15 (для подключения УВП) и заглушкой ПП с НР.
Все повороты выполнять изгибами труб (без применения отводов). 
На каждую квартиру от коллектора водоснабжения к помещениям кухни и санузлов предусмотреть трубопровод в стяжке пола.
Установка санитарных приборов и разводка по санузлам, кухням жилых и коммерческих помещений выполняется силами и за средства собственника помещения.</t>
  </si>
  <si>
    <t>7.1.16</t>
  </si>
  <si>
    <t>Разводку выполнить из полипропиленовых труб PN25 армированных стекловолокном прокладка открытым способом.
Разводку выполнить по помещению КУИ. Предусмотреть душевые поддоны, унитазы, раковины.</t>
  </si>
  <si>
    <t>7.2 Пожаротушение</t>
  </si>
  <si>
    <t>Систему внутреннего пожарного водопровода однозонную применить для зданий от 30 до 50 метров с нишами у ЛЛУ.
Предусмотреть внутренний пожарный водопровод для всех коммерческих помещений. Коммерческие помещения запитать от магистрали водоснабжения жилых помещений.
Система состоит:
Комплексная насосная станция пожарного водоснабжения (ссылка)
Магистраль - стальная неоцинкованная труба (ссылка)
Стояк - стальная неоцинкованная труба (ссылка)
Потребитель - пожарный шкаф (ссылка)
Производители: согласно вендор листу.
Расположение систем:
Насосную станцию расположить в помещении насосной.
Магистраль расположить в помещении нижнего этажа, с выводом патрубков на фасад здания для подключения пожарных машин.
Стояк и пожарный шкаф расположить в зоне ЛЛУ в межквартирном коридоре.</t>
  </si>
  <si>
    <t>7.2.2</t>
  </si>
  <si>
    <t>Систему внутреннего пожарного водопровода двухзонную применить для зданий  от 50 до 75 метров с нишами у ЛЛУ.
Предусмотреть внутренний пожарный водопровод для всех коммерческих помещений. Коммерческие помещения запитать от магистрали водоснабжения 1 зоны жилых помещений.
Зонирование систем пожаротушения выполнить в соответствии с действующими строительными нормами.
Система состоит:
Комплексная насосная станция пожарного водоснабжения (ссылка)
Магистраль - стальная неоцинкованная труба (ссылка)
Стояк - стальная неоцинкованная труба (ссылка)
Потребитель - пожарный шкаф (ссылка)
Производители: согласно вендор листу.
Расположение систем:
Насосную станцию расположить в помещении насосной.
Магистраль расположить в помещении нижнего этажа, с выводом патрубков на фасад здания для подключения пожарных машин.
Стояки и пожарные шкафы расположить в зоне ЛЛУ в межквартирном коридоре.</t>
  </si>
  <si>
    <t>Система внутреннего пожарного водопровода с системой автоматического пожаротушения Автостоянки</t>
  </si>
  <si>
    <t xml:space="preserve">Систему внутреннего пожарного водопровода с системой автоматического пожаротушения применить для всех типов паркингов.
Спринклерная кольцевая воздушная система пожаротушения.
Принять минимальное количество спринклерных оросителей с учетом нормируемого шага.
Размещение и минимальное количество пожарных кранов предусмотреть с учетом соблюдения требований СП10.
Система состоит:
Комплексная насосная станция пожарного водоснабжения (ссылка)
Магистраль - стальная неоцинкованная труба (ссылка)
Потребитель - пожарный шкаф и ороситель (ссылка)
Производители: согласно вендор листу.
Расположение систем:
Насосную станцию расположить в помещении насосной.
Магистраль с выводом патрубков на фасад здания для подключения пожарных машин.и оросители расположить под потолком паркинга. 
Пожарные шкафы расположить на стенах или колоннах в паркинге вне зоны проезда автомобилей.
</t>
  </si>
  <si>
    <t>Насосную установку подобрать с учетом обеспечения требуемого напора и общего расхода воды.
Применить комплексные установки в полной комплектации. Шкаф управления в комплекте с насосной.
К насосным установкам предусмотреть гибкие вставки (вибровставки).
Производитель: Согласно вендор листу.
В одном помещение насосной расположить: узел ввода, насосную станцию хозяйственнно - питьевого водоснабжения, насосную станцию пожаротушения.
Располагать оборудование в насосной необходимо с соблюдение требуемых расстояний согласно СП.
Обвязку насосной станции пожаротушения выполнить из неоцинкованные водогазопроводные трубы по ГОСТ 3262-75 (диаметр и толщина стенки: 15х2,8; 20х2,8; 25х3,2; 32х3,2; 40х3,5) и стальные неоцинкованные электросварные по ГОСТ 10704-91 (диаметр и толщина стенки: 57х3,5; 76х3,5; 89х4,0; 108х4,0; 133х4,5;159х4,5; 219х4,5).
На вводе предусмотреть:
- Задвижку с обрезиненным клином и электроприводом фланцевая
- Клапан обратный чугунный межфланцевый.
Тип присоединения запорной и регулирующей арматуры : 
- Муфтовое соединение - DN15 - DN50,
- Фланцевое соединение - DN65 и более.</t>
  </si>
  <si>
    <t>Магистраль трубопровода системы пожаротушения однозонной выполнить из стальных неоцинкованных водогазопроводных труб по ГОСТ 3262-75 (диаметр и толщина стенки: 15х2,8; 20х2,8) и стальных неоцинкованных электросварных по ГОСТ 10704-91 (диаметр и толщина стенки: 57х3,5; 76х3,5; 89х4,0; 108х4,0). 
Производители: согласно вендор листу.
Трубопроводы расположить под потолком нижнего этажа.</t>
  </si>
  <si>
    <t>7.2.6</t>
  </si>
  <si>
    <t>Магистраль трубопровода системы пожаротушения двухзонной выполнить из стальных неоцинкованных водогазопроводных труб по ГОСТ 3262-75 (диаметр и толщина стенки: 15х2,8; 20х2,8) и стальных неоцинкованных электросварных по ГОСТ 10704-91 (диаметр и толщина стенки: 57х3,5; 76х3,5; 89х4,0, 108х4,0; 133х4,5; 159х4,5). 
Производители: согласно вендор листу.
Трубопроводы расположить под потолком нижнего этажа.</t>
  </si>
  <si>
    <t>7.2.7</t>
  </si>
  <si>
    <t>Магистраль системы пожаротушения с системой автоматического пожаротушения Паркинга</t>
  </si>
  <si>
    <t xml:space="preserve">Магистраль трубопровода системы пожаротушения двухзонной выполнить из стальных неоцинкованных водогазопроводных труб трубы по ГОСТ 3262-75 (диаметр и толщина стенки: 15х2,8; 20х2,8; 25х3,2; 32х3,2; 40х3,5) и стальных неоцинкованных электросварных по ГОСТ 10704-91 (диаметр и толщина стенки: 57х3,5; 76х3,5; 89х4,0; 108х4,0; 133х4,5;159х4,5; 219х4,5). 
Производители: согласно вендор листу.
Трубопроводы расположить под потолком паркинга. </t>
  </si>
  <si>
    <t>7.2.8</t>
  </si>
  <si>
    <t>Стояки выполнить из стальных неоцинкованных электросварных труб по ГОСТ 10704-91 диаметр и толщина стенки: 57х3,5.
Производители: согласно вендор листу.
Трубопроводы расположить в межквартирном коридоре в нише у ЛЛУ.</t>
  </si>
  <si>
    <t>7.2.9</t>
  </si>
  <si>
    <t>Стояки выполнить из стальных неоцинкованных электросварных труб по ГОСТ 10704-91.
Первая зона:
DN 57 - с 1 по 16 этаж
Вторая зона:
DN 57 - с 17 по 24 этаж
Производители: согласно вендор листу.
Трубопроводы расположить в межквартирном коридоре в нише у ЛЛУ.</t>
  </si>
  <si>
    <t>7.2.10</t>
  </si>
  <si>
    <t>Способ установки пожарных шкафов:
- МОП - встраиваемый,
- Коммерческие помещения, паркинг - навесной.
Модель: 
- Встраиваемый: ШПК-Пульс-320-21ВЗБ, ШПК-Пульс-320-12ВЗБ, ШПК-Пульс-320-ВЗБ0,
- Навесной: ШПК-Пульс-320-21НЗБ, ШПК-Пульс-320-12НЗБ, ШПК-Пульс-320-НЗБ.
Производители: согласно вендор листу.
Шкафы в МОП расположить в межквартирном коридоре в нише у ЛЛУ. 
Шкафы в паркинге расположить на стенах и колоннах вне зоны проезда автомобилей.</t>
  </si>
  <si>
    <t>7.2.11</t>
  </si>
  <si>
    <t>Пожарные оросители</t>
  </si>
  <si>
    <t xml:space="preserve">Тип оросителей и высоту установки принять согласно действующему СП.
Спринклерный ороситель водяной тип "СВУ".
Дренчерный ороситель водяной тип "ДВУ".
Производители: согласно вендор листу.
Оросители расположить под потолком МОП / паркинга.
</t>
  </si>
  <si>
    <t>7.3 Водоотведение</t>
  </si>
  <si>
    <t>Применить для всех зданий до 75 метров.
Раздельные системы для жилой части здания (включая помещения МОП) и коммерческих помещений.
Система состоит из:
Магистраль - из полипропиленовых раструбных труб, из чугунных безраструбных труб (при прокладке по автостоянке), выпуски трубы из непластифицированного поливинилхлорида (ссылка)
Стояк - из полипропиленовых раструбных малошумных труб (ссылка)
Разводка (КУИ) - из полипропиленовых раструбных труб - безнапорные участки, из полипропиленовых труб PN20 - напорные участки (ссылка).
Разводку по жилым и коммерческим помещениям не предусматривать.</t>
  </si>
  <si>
    <t>Применить в коммерческих помещениях с назначением: Общественное питание.
Система состоит из:
Магистраль - из чугунных безраструбных труб, выпуски трубы из непластифицированного поливинилхлорида (ссылка).
Стояк - из чугунных безраструбных труб (ссылка)
Стояки расположить в зоне кухни коммерческого помещения.
Разводку не предусматривать. В проекте предусмотреть место для установки жироуловителя, установка производиться силами собственника коммерческого помещения.</t>
  </si>
  <si>
    <t>7.3.3</t>
  </si>
  <si>
    <t>Применить для всех зданий до 75 метров.
Система состоит из:
Магистраль - из полиэтиленовых труб
Стояк - из полиэтилленовых труб (ссылка)
Потребитель - водосточная воронка / трап (ссылка)
В состав спецификации учитывать единый шкаф управления электрообогрева воронок и трапов (один на секцию). 
Ливневая канализация с летних помещений: 
- с префабрицированных  балконов - слив наружу в составе балкона, 
- с непрефабрицированных балконов - слив наружу, в составе монолитного балкона через патрубок универсальный угловой 90 ID32х150х150 (учесть в спецификации)
- с террас - в слое тепловой изоляции фасада здания.</t>
  </si>
  <si>
    <t>7.3.4</t>
  </si>
  <si>
    <t>Ливневая канализация. Паркинг</t>
  </si>
  <si>
    <t xml:space="preserve">Применить для всех типов паркингов.
Система состоит из:
Магистраль - из неоцинкованных стальных труб (ссылка)
Потребитель - водосточная воронка (ссылка)
Водосточные воронки в слое благоустройства, размещать с шагом не более 15х15 метров.
</t>
  </si>
  <si>
    <t>7.3.5</t>
  </si>
  <si>
    <t>Для всех зданий предусмотреть систему отвода аварийных и случайных стоков из приямков в технических помещениях с мокрыми процессами (ИТП, насосная, венткамера), паркинга и нижнего этажа. 
Система состоит из:
Магисталь - из неоцинкованных стальных труб, выпуски трубы из непластифицированного поливинилхлорида (ссылка)
Потребитель - погружной дренажный насос (резервные насосы не закладывать в спецификацию) (ссылка)
Размеры приямков:
- ИТП: 800х900х800h мм для двух насосов.
- В насосной: 800х900х800h мм, для двух насосов.
- Под каждым выпуском канализации: 500х500х500h мм.
- Один приямок на секцию в подвале, по центру коридора (по длине): 500х500х500h мм.
- Рядом с рампой от лотка : 500х900х800h мм. (для закрытой рампы, для открытой - согласно расчету)
Размеры лотка:
- На спуске рампы во всю ширину: 300х300h мм</t>
  </si>
  <si>
    <t>7.3.6</t>
  </si>
  <si>
    <t>Для всех зданий при отсутвии системы централизованного хладоснабжения предусмотреть устройство системы отвода дренажных стоков от внутренних блоков кондиционирвоания.
Система состоит из:
Магистраль - из полипропиленовых труб PN20 (ссылка)
Стояк - из полипропиленовых труб PN20 (ссылка)</t>
  </si>
  <si>
    <t>7.3.7</t>
  </si>
  <si>
    <t>Дренажная канализация аварийных и случайных стоков от системы автоматического пожаротушения. Паркинг</t>
  </si>
  <si>
    <t xml:space="preserve">Для всех типов паркингов предусмотреть отдельную систему дренажной канализации для откачки воды при тушении пожара, удалении воды при различных утечках.
Система состоит из:
Магисталь - из неоцинкованных стальных труб, выпуски трубы из непластифицированного поливинилхлорида (ссылка)
Потребитель - погружной дренажный насос (резервные насосы не закладывать в спецификацию) (ссылка), трап (для верхних уровней многоуровневой автостоянки) (ссылка)
Размеры приямков:
- 500х900х800h мм. с шагом не более 30 метров.
Устройство приямков для сбора и удаления воды с пола паркинга, организовать вне парковочных мест.
</t>
  </si>
  <si>
    <t>7.3.8</t>
  </si>
  <si>
    <t>Магистраль выполнить из полипропиленовых раструбных труб / из чугунных безраструбных труб (при прокладке по паркингу), в тепловой изоляции из вспененного каучука, толщиной 9 мм.
Производители: согласно вендор листу.
Магистраль расположить под потолком в помещениях нижнего и верхнего этажей и паркинга.
Вытяжные части стояков объединяются в помещение верхнего этажа в один фановый стояк с выброс на улицу через пирог кровли. 
Предусмотреть размещение ревизий и прочисток согласно СП.</t>
  </si>
  <si>
    <t>7.3.9</t>
  </si>
  <si>
    <t>Магистраль выполнить из чугунных безраструбных труб, в тепловой изоляции из вспененного каучука, толщиной 9 мм.
Производители: согласно вендор листу.
Магистраль расположить под потолком в помещениях нижнего этажа и паркинга. 
Предусмотреть размещение ревизий и прочисток согласно СП.</t>
  </si>
  <si>
    <t>7.3.10</t>
  </si>
  <si>
    <t>Магистраль выполнить из полиэтиленовых труб SDR17, в тепловой изоляции из вспененного каучука, толщиной 9 мм.
Производители: согласно вендор листу.
Магистраль расположить под потолком в помещениях нижнего и верхнего этажей. 
Опуски от воронок объединяются в помещение верхнего этажа в стояк.
Предусмотреть размещение ревизий и прочисток согласно СП.</t>
  </si>
  <si>
    <t>7.3.11</t>
  </si>
  <si>
    <t>Магистраль ливневой канализации. Паркинг</t>
  </si>
  <si>
    <t xml:space="preserve">Магистраль выполнить из неоцинкованных стальных электросварных труб по ГОСТ 10704-91 (диаметр и толщина стенки: 108х4,0; 159х4,5, 219х4,5), в тепловой изоляции из вспененного каучука, толщиной 19 мм.
Производители: согласно вендор листу.
Магистраль расположить под потолком паркинга. 
Предусмотреть размещение ревизий и прочисток согласно СП.
</t>
  </si>
  <si>
    <t>7.3.12</t>
  </si>
  <si>
    <t>Магистраль выполнить из неоцинкованных стальных водогазопроводнх труб по ГОСТ 3262-75 (диаметр и толщина стенки: 32х3,2; 40х3,5), в тепловой изоляции из вспененного каучука, толщиной 9 мм.
Производители: согласно вендор листу.
Вертикальные трубопроводы расположить у колонн / стен с последующим отводом через напорные магистрали под потолком паркинга / нижнего этажа.</t>
  </si>
  <si>
    <t>7.3.13</t>
  </si>
  <si>
    <t>Магистраль выполнить из полипропиленовых труб PN20, в тепловой изоляции из вспененного каучука, толщиной 9 мм.
Производители: согласно вендор листу.
Магистрали расположить под потолком нижнего этажа с отводом дренажа в ближайшие к стояку дренажные приямки.</t>
  </si>
  <si>
    <t>7.3.14</t>
  </si>
  <si>
    <t>Магистраль дренажной канализации аварийных и случайных стоков от системы автоматического пожаротушения. Паркинг</t>
  </si>
  <si>
    <t xml:space="preserve">Магистраль выполнить из неоцинкованных стальных водогазопроводнх труб по ГОСТ 3262-75 (диаметр и толщина стенки: 32х3,2; 40х3,5), в тепловой изоляции из вспененного каучука, толщиной 19 мм.
Производители: согласно вендор листу
Вертикальные трубопроводы расположить у колонн / стен с последующим отводом через напорные трубопроводы под потолком автостоянки / подвала.
</t>
  </si>
  <si>
    <t>7.3.15</t>
  </si>
  <si>
    <t>Предусмотреть отдельные выпуски в городскую сеть для систем : хозяйственно бытовой канализации жилой части, хозяйственно бытовой канализации коммерческих помещений, производственной канализациии, ливневой канализации жилой части, ливневой канализации паркинга, дренажной канализации аварийных и случайных стоков, дренажной канализации аварийных и случайных стоков АПТ жилого дома и паркинга
Для хозяйственно бытовой канализации жилой части максимальное количество выпусков: 2 шт на секцию. Расстояние между выпусками принимать 14-18 м. Для ливневой канализации жилой части - 1 выпуск на 2 секции.
Выпуски хозяйственно бытовой канализации жилой части, хозяйственно бытовой канализации коммерческих помещений, ливневой канализации паркинга, дренажной канализации аварийных и случайных стоков, дренажной канализации аварийных и случайных стоков АПТ паркинга предусмотреть трубами из непластифицированного поливинилхлорида.
Выпуски ливневой канализации жилой части, дренажной канализации аварийных и случайных стоков АПТ жилого дома предусмотреть трубами из полиэтилена
Производители: согласно вендор листу.</t>
  </si>
  <si>
    <t>7.3.16</t>
  </si>
  <si>
    <t>Стояки выполнить из полипропиленовых раструбных труб DN 110.
Производители: согласно вендор листу.
Стояки расположить в инженерной стене между квартирой и МОП.
В местах прохода стояков через перекрытия предусмотреть противопожарные муфты.
В каждой квартире предусмотреть компенсационный патрубок, для компенсации температурных расширений и изменения положения тройника относительно горизонтальных частей системы (для выставления необходимого уклона канализации).</t>
  </si>
  <si>
    <t>7.3.17</t>
  </si>
  <si>
    <t>Стояки от воронок с кровли выполнить из полиэтиленовых труб SDR17 DN 110. 
Стояки от трапов с террас выполнить из полиэтиленовых труб SDR17 DN 50.
В тепловой изоляции из вспененного каучука, толщиной 9 мм.
Воронки на кровле, пристенные воронки и трапы выполнить с теплоизоляцией, гидроизоляционным полотном и электрообогревом.
Производители: согласно вендор листу.
Стояки от воронок с кровли расположить в шахте в зашивке МОП. Стояки от трапов, расположенных на террасах, выполнить в слое тепловой изоляции фасада здания.</t>
  </si>
  <si>
    <t>7.3.18</t>
  </si>
  <si>
    <t>Стояки выполнить из полиэтиленовых труб DN 50.
Трапы с электрообогревом.
Производители: согласно вендор листу.
Стояки расположить в слое тепловой изоляции фасада здания.</t>
  </si>
  <si>
    <t>7.3.19</t>
  </si>
  <si>
    <t>Стояки выполнить из полипропиленовых труб PN20 DN 25.
Производители: согласно вендор листу.
Стояки расположить в слое тепловой изоляции фасада здания.</t>
  </si>
  <si>
    <t>7.3.20</t>
  </si>
  <si>
    <t>Стояки выполнить из полипропиленовых труб PN20 DN 32.
Производители: согласно вендор листу.
Стояки расположить в слое тепловой изоляции фасада здания.</t>
  </si>
  <si>
    <t>7.3.21</t>
  </si>
  <si>
    <t>Разводка от санитарных приборов из полипропиленовых раструбных труб - безнапорные участки.
Разводка от компактной канализационной насосной установки до врезки в магистральный трубопровод из труб ПП PN20.
Производители: согласно вендор листу.
Разводку выполнить по помещению КУИ, прокладка открытым способом.</t>
  </si>
  <si>
    <t>7.3.22</t>
  </si>
  <si>
    <t>В помещениях КУИ выполнить разводку и установить санитарные приборы.
Предусмотреть в помещении КУИ:
- Поддон душевой 800х800 со смесителем и сифоном
- Раковина керамическая 500х420 (550х450) со смесителем и сифоном
- Унитаз прямой (косой) выпуск 
КУИ общедомовой (основной) - раковина, унитаз, душевой поддон,
КУИ секционный - унитаз, раковина,
КУИ паркинга- раковина,
Комната отдыха с гардеробом - унитаз, раковина, душевой поддон,
Помещение дворника - раковина.</t>
  </si>
  <si>
    <t>7.3.23</t>
  </si>
  <si>
    <t>Насосы расположить в дренажных приямках.
Насос с поплавковым выключателем и шкафом управления.
Производители: согласно вендор листу.</t>
  </si>
  <si>
    <t>8.0 Общее</t>
  </si>
  <si>
    <t>8.0.1</t>
  </si>
  <si>
    <t>Границы деления инженерных систем предусматреть в соответствии с Приложением №8 BIM стандарт организации</t>
  </si>
  <si>
    <t>8.0.2</t>
  </si>
  <si>
    <t>8.1 Отопление</t>
  </si>
  <si>
    <t xml:space="preserve">При проектировании учесть плановые нагрузки по данному объекту 2,185 Гкал/час с учётом на ГВС. 
Расчет выполнить в соответсвии с действующими нормативами.
Плановые нагрузка на отопление включают в себя:
- коммерческие помещения + теплоснабжение вентиляционных установок;
- жилые помещения;
- паркинг.
</t>
  </si>
  <si>
    <t>Методика расчета теплопотерь
Для помещений с КИВ:
Формула для расчета теплопотерь по помещениям Qпом=Qогр+Qинф-Qбыт
Формула для расчет теплопотерь через ограждающие помещения Qогр=k·A·(tв-tн)·(1+∑β)
Формула для расчета теплопотерь на инфильтрацию Qинф=0,28·Gi·с·(tв-tн)
Gi-расход инфильтрующегося воздуха Gi=3·Sпом
Формула бытовых тепловыделений Qбыт=Aпом·Wпом
Для помещений без КИВ:
Формула для расчета теплопотерь по помещениям Qпом=Qогр-Qбыт
Формула для расчет теплопотерь через ограждающие помещения Qогр=k·A·(tв-tн)·(1+∑β)
Формула бытовых тепловыделений Qбыт=Aпом·Wпом
Коэффициенты сопротивления теплопередачи ограждающих конструкции принять в соответствии с существующим теплотехническим расчетом объекта.</t>
  </si>
  <si>
    <r>
      <rPr>
        <sz val="8"/>
        <rFont val="Arial"/>
      </rPr>
      <t xml:space="preserve">Для зданий до 50 м применить однозонную двухтрубную коллекторную систему отопления.
Систему отопления МОП запитать от магистрали жилой части.
Система состоит: 
- </t>
    </r>
    <r>
      <rPr>
        <u/>
        <sz val="8"/>
        <color rgb="FF1155CC"/>
        <rFont val="Arial"/>
      </rPr>
      <t>индивидуальный тепловой пункт</t>
    </r>
    <r>
      <rPr>
        <sz val="8"/>
        <rFont val="Arial"/>
      </rPr>
      <t xml:space="preserve"> ;
- </t>
    </r>
    <r>
      <rPr>
        <u/>
        <sz val="8"/>
        <color rgb="FF1155CC"/>
        <rFont val="Arial"/>
      </rPr>
      <t>магистраль</t>
    </r>
    <r>
      <rPr>
        <sz val="8"/>
        <rFont val="Arial"/>
      </rPr>
      <t xml:space="preserve">  - стальная неоцинковонная труба ;
- секционный распределитель - узел обвязки стояков жилой части;
- </t>
    </r>
    <r>
      <rPr>
        <u/>
        <sz val="8"/>
        <color rgb="FF1155CC"/>
        <rFont val="Arial"/>
      </rPr>
      <t>стояк</t>
    </r>
    <r>
      <rPr>
        <sz val="8"/>
        <rFont val="Arial"/>
      </rPr>
      <t xml:space="preserve">  - стальная неоцинковонная труба;
- </t>
    </r>
    <r>
      <rPr>
        <u/>
        <sz val="8"/>
        <color rgb="FF1155CC"/>
        <rFont val="Arial"/>
      </rPr>
      <t>коллектор</t>
    </r>
    <r>
      <rPr>
        <sz val="8"/>
        <rFont val="Arial"/>
      </rPr>
      <t xml:space="preserve"> - стальной нержавеющий заводского изготовления;
- </t>
    </r>
    <r>
      <rPr>
        <u/>
        <sz val="8"/>
        <color rgb="FF1155CC"/>
        <rFont val="Arial"/>
      </rPr>
      <t>разводка поэтажная</t>
    </r>
    <r>
      <rPr>
        <sz val="8"/>
        <rFont val="Arial"/>
      </rPr>
      <t xml:space="preserve">   - сшитый полиэтилен;
- </t>
    </r>
    <r>
      <rPr>
        <u/>
        <sz val="8"/>
        <color rgb="FF1155CC"/>
        <rFont val="Arial"/>
      </rPr>
      <t>потребитель</t>
    </r>
    <r>
      <rPr>
        <sz val="8"/>
        <rFont val="Arial"/>
      </rPr>
      <t xml:space="preserve"> - стальной панельный радиатор.
Производители: согласно вендор листу
Расположение систем:
Индивидуальный тепловой пункт расположить в помещении нижнего этажа.
Магистраль расположить в помещении технического коридора.
Стояк и коллектор расположить в зоне лестничного лифтового узла в межквартирном коридоре.
Разводку поэтажную расположить в стяжке пола от этажного коллектора до потребителя. 
Привязки строительных конструкций смотри в стандарте: </t>
    </r>
    <r>
      <rPr>
        <u/>
        <sz val="8"/>
        <color rgb="FF1155CC"/>
        <rFont val="Arial"/>
      </rPr>
      <t>индивидуальный тепловой пункт</t>
    </r>
    <r>
      <rPr>
        <sz val="8"/>
        <rFont val="Arial"/>
      </rPr>
      <t xml:space="preserve"> , </t>
    </r>
    <r>
      <rPr>
        <u/>
        <sz val="8"/>
        <color rgb="FF1155CC"/>
        <rFont val="Arial"/>
      </rPr>
      <t>магистраль</t>
    </r>
    <r>
      <rPr>
        <sz val="8"/>
        <rFont val="Arial"/>
      </rPr>
      <t xml:space="preserve"> , секционный распределитель,  </t>
    </r>
    <r>
      <rPr>
        <u/>
        <sz val="8"/>
        <color rgb="FF1155CC"/>
        <rFont val="Arial"/>
      </rPr>
      <t>стояк</t>
    </r>
    <r>
      <rPr>
        <sz val="8"/>
        <rFont val="Arial"/>
      </rPr>
      <t xml:space="preserve"> , </t>
    </r>
    <r>
      <rPr>
        <u/>
        <sz val="8"/>
        <color rgb="FF1155CC"/>
        <rFont val="Arial"/>
      </rPr>
      <t>коллектор</t>
    </r>
    <r>
      <rPr>
        <sz val="8"/>
        <rFont val="Arial"/>
      </rPr>
      <t xml:space="preserve"> , </t>
    </r>
    <r>
      <rPr>
        <u/>
        <sz val="8"/>
        <color rgb="FF1155CC"/>
        <rFont val="Arial"/>
      </rPr>
      <t>разводка поэтажная</t>
    </r>
    <r>
      <rPr>
        <sz val="8"/>
        <rFont val="Arial"/>
      </rPr>
      <t xml:space="preserve"> , </t>
    </r>
    <r>
      <rPr>
        <u/>
        <sz val="8"/>
        <color rgb="FF1155CC"/>
        <rFont val="Arial"/>
      </rPr>
      <t>потребитель</t>
    </r>
    <r>
      <rPr>
        <sz val="8"/>
        <rFont val="Arial"/>
      </rPr>
      <t xml:space="preserve"> . 
Схему однозонной системы отопления жилой части смотри в графической части.</t>
    </r>
  </si>
  <si>
    <r>
      <rPr>
        <sz val="8"/>
        <rFont val="Arial"/>
      </rPr>
      <t xml:space="preserve">Для зданий от 50 до 100 метров применить двухтрубную двухзонную коллекторную систему отопления.
Систему отопления МОП запитать от магистрали жилой части.
Система состоит: 
- </t>
    </r>
    <r>
      <rPr>
        <u/>
        <sz val="8"/>
        <color rgb="FF1155CC"/>
        <rFont val="Arial"/>
      </rPr>
      <t>индивидуальный тепловой пункт</t>
    </r>
    <r>
      <rPr>
        <sz val="8"/>
        <rFont val="Arial"/>
      </rPr>
      <t xml:space="preserve"> ;
- </t>
    </r>
    <r>
      <rPr>
        <u/>
        <sz val="8"/>
        <color rgb="FF1155CC"/>
        <rFont val="Arial"/>
      </rPr>
      <t>магистраль</t>
    </r>
    <r>
      <rPr>
        <sz val="8"/>
        <rFont val="Arial"/>
      </rPr>
      <t xml:space="preserve">  - стальная неоцинковонная труба;
- секционный распределитель - узел обвязки стояков жилой части;
- </t>
    </r>
    <r>
      <rPr>
        <u/>
        <sz val="8"/>
        <color rgb="FF1155CC"/>
        <rFont val="Arial"/>
      </rPr>
      <t>стояк</t>
    </r>
    <r>
      <rPr>
        <sz val="8"/>
        <rFont val="Arial"/>
      </rPr>
      <t xml:space="preserve">  - стальная неоцинковонная труба;
- </t>
    </r>
    <r>
      <rPr>
        <u/>
        <sz val="8"/>
        <color rgb="FF1155CC"/>
        <rFont val="Arial"/>
      </rPr>
      <t>коллектор</t>
    </r>
    <r>
      <rPr>
        <sz val="8"/>
        <rFont val="Arial"/>
      </rPr>
      <t xml:space="preserve">  - стальной нержавеющий заводского изготовления;
- </t>
    </r>
    <r>
      <rPr>
        <u/>
        <sz val="8"/>
        <color rgb="FF1155CC"/>
        <rFont val="Arial"/>
      </rPr>
      <t>разводка</t>
    </r>
    <r>
      <rPr>
        <sz val="8"/>
        <rFont val="Arial"/>
      </rPr>
      <t xml:space="preserve">  - сшитый полиэтилен;
- </t>
    </r>
    <r>
      <rPr>
        <u/>
        <sz val="8"/>
        <color rgb="FF1155CC"/>
        <rFont val="Arial"/>
      </rPr>
      <t>потребитель</t>
    </r>
    <r>
      <rPr>
        <sz val="8"/>
        <rFont val="Arial"/>
      </rPr>
      <t xml:space="preserve"> - стальной панельный радиатор.
Производители: согласно вендор листу
Расположение систем:
Индивидуальный тепловой пункт расположить в помещении нижнего этажа.
Магистраль  расположить в помещении технического коридора.
Стояк и коллектор расположить в зоне лестничного лифтового узла в межквартирном коридоре.
Разводку поэтажную расположить в стяжке пола от этажного коллектора до потребителя. 
Привязки строительных конструкций смотри в стандарте: </t>
    </r>
    <r>
      <rPr>
        <u/>
        <sz val="8"/>
        <color rgb="FF1155CC"/>
        <rFont val="Arial"/>
      </rPr>
      <t>индивидуальный тепловой пункт</t>
    </r>
    <r>
      <rPr>
        <sz val="8"/>
        <rFont val="Arial"/>
      </rPr>
      <t xml:space="preserve"> , </t>
    </r>
    <r>
      <rPr>
        <u/>
        <sz val="8"/>
        <color rgb="FF1155CC"/>
        <rFont val="Arial"/>
      </rPr>
      <t>магистраль</t>
    </r>
    <r>
      <rPr>
        <sz val="8"/>
        <rFont val="Arial"/>
      </rPr>
      <t xml:space="preserve"> , секционный распределитель, </t>
    </r>
    <r>
      <rPr>
        <u/>
        <sz val="8"/>
        <color rgb="FF1155CC"/>
        <rFont val="Arial"/>
      </rPr>
      <t>стояк</t>
    </r>
    <r>
      <rPr>
        <sz val="8"/>
        <rFont val="Arial"/>
      </rPr>
      <t xml:space="preserve"> , </t>
    </r>
    <r>
      <rPr>
        <u/>
        <sz val="8"/>
        <color rgb="FF1155CC"/>
        <rFont val="Arial"/>
      </rPr>
      <t>коллектор</t>
    </r>
    <r>
      <rPr>
        <sz val="8"/>
        <rFont val="Arial"/>
      </rPr>
      <t xml:space="preserve"> , </t>
    </r>
    <r>
      <rPr>
        <u/>
        <sz val="8"/>
        <color rgb="FF1155CC"/>
        <rFont val="Arial"/>
      </rPr>
      <t>разводка поэтажная</t>
    </r>
    <r>
      <rPr>
        <sz val="8"/>
        <rFont val="Arial"/>
      </rPr>
      <t xml:space="preserve"> , </t>
    </r>
    <r>
      <rPr>
        <u/>
        <sz val="8"/>
        <color rgb="FF1155CC"/>
        <rFont val="Arial"/>
      </rPr>
      <t>потребитель</t>
    </r>
    <r>
      <rPr>
        <sz val="8"/>
        <rFont val="Arial"/>
      </rPr>
      <t xml:space="preserve"> .
Схему двухзонной системы отопления жилой части смотри в графической части.</t>
    </r>
  </si>
  <si>
    <r>
      <rPr>
        <sz val="8"/>
        <rFont val="Arial"/>
      </rPr>
      <t xml:space="preserve">Для системы отопления МОП принять двухтрубную тупиковую разводку, предусмотреть подключение системы от ветки отопления жилой части.
Для отопления лестничной клетки предусмотреть дополнительный выход от коллектора жилой части.
Система состоит:
- </t>
    </r>
    <r>
      <rPr>
        <u/>
        <sz val="8"/>
        <color rgb="FF1155CC"/>
        <rFont val="Arial"/>
      </rPr>
      <t>индивидуальный тепловой пункт</t>
    </r>
    <r>
      <rPr>
        <sz val="8"/>
        <rFont val="Arial"/>
      </rPr>
      <t xml:space="preserve"> ;
- </t>
    </r>
    <r>
      <rPr>
        <u/>
        <sz val="8"/>
        <color rgb="FF1155CC"/>
        <rFont val="Arial"/>
      </rPr>
      <t>магистраль</t>
    </r>
    <r>
      <rPr>
        <sz val="8"/>
        <rFont val="Arial"/>
      </rPr>
      <t xml:space="preserve">  - стальная неоцинковонная труба;
- секционный распределитель - узел обвязки ответвления МОП;
- стояк - стальная неоцинковонная труба;
- </t>
    </r>
    <r>
      <rPr>
        <u/>
        <sz val="8"/>
        <color rgb="FF1155CC"/>
        <rFont val="Arial"/>
      </rPr>
      <t>разводка поэтажная</t>
    </r>
    <r>
      <rPr>
        <sz val="8"/>
        <rFont val="Arial"/>
      </rPr>
      <t xml:space="preserve">  - сшитый полиэтилен;
- </t>
    </r>
    <r>
      <rPr>
        <u/>
        <sz val="8"/>
        <color rgb="FF1155CC"/>
        <rFont val="Arial"/>
      </rPr>
      <t>потребитель</t>
    </r>
    <r>
      <rPr>
        <sz val="8"/>
        <rFont val="Arial"/>
      </rPr>
      <t xml:space="preserve">  - стальные панельные радиаторы и стальные дизайн радиаторы.
Производители: согласно вендор листу
Отапливаемые помещения МОП:
- входной вестибюль после первого тамбура;
- лестничная клетка, если есть наружная стена;
- лифтовой холл, если есть наружная стена;
- КУИ при наличии наружной стены (от электрического конвектора);
- велосипедная (от электрического конвектора);
- колясочные при наличии наружной стены.
В помещениях кладовых отопление не предусматривать.
Привязки строительных конструкций смотри в стандарте: </t>
    </r>
    <r>
      <rPr>
        <u/>
        <sz val="8"/>
        <color rgb="FF1155CC"/>
        <rFont val="Arial"/>
      </rPr>
      <t>индивидуальный тепловой пункт</t>
    </r>
    <r>
      <rPr>
        <sz val="8"/>
        <rFont val="Arial"/>
      </rPr>
      <t xml:space="preserve"> , </t>
    </r>
    <r>
      <rPr>
        <u/>
        <sz val="8"/>
        <color rgb="FF1155CC"/>
        <rFont val="Arial"/>
      </rPr>
      <t>магистраль</t>
    </r>
    <r>
      <rPr>
        <sz val="8"/>
        <rFont val="Arial"/>
      </rPr>
      <t xml:space="preserve"> , секционный распределитель, стояк, </t>
    </r>
    <r>
      <rPr>
        <u/>
        <sz val="8"/>
        <color rgb="FF1155CC"/>
        <rFont val="Arial"/>
      </rPr>
      <t>разводка поэтажная</t>
    </r>
    <r>
      <rPr>
        <sz val="8"/>
        <rFont val="Arial"/>
      </rPr>
      <t xml:space="preserve"> , </t>
    </r>
    <r>
      <rPr>
        <u/>
        <sz val="8"/>
        <color rgb="FF1155CC"/>
        <rFont val="Arial"/>
      </rPr>
      <t>потребитель</t>
    </r>
    <r>
      <rPr>
        <sz val="8"/>
        <rFont val="Arial"/>
      </rPr>
      <t xml:space="preserve"> .
Схему системы отопления МОП смотри в графической части.</t>
    </r>
  </si>
  <si>
    <r>
      <rPr>
        <sz val="8"/>
        <rFont val="Arial"/>
      </rPr>
      <t xml:space="preserve">Для системы отопления коммерческой части принять двухтрубную тупиковую разводку, предусмотреть подключение отдельной веткой от индивидуального теплового пункта. 
Система состоит:
- </t>
    </r>
    <r>
      <rPr>
        <u/>
        <sz val="8"/>
        <color rgb="FF1155CC"/>
        <rFont val="Arial"/>
      </rPr>
      <t>индивидуальный тепловой пункт</t>
    </r>
    <r>
      <rPr>
        <sz val="8"/>
        <rFont val="Arial"/>
      </rPr>
      <t xml:space="preserve"> ;
-  </t>
    </r>
    <r>
      <rPr>
        <u/>
        <sz val="8"/>
        <color rgb="FF1155CC"/>
        <rFont val="Arial"/>
      </rPr>
      <t>магистраль</t>
    </r>
    <r>
      <rPr>
        <sz val="8"/>
        <rFont val="Arial"/>
      </rPr>
      <t xml:space="preserve"> - стальная неоцинковонная труба;
- </t>
    </r>
    <r>
      <rPr>
        <u/>
        <sz val="8"/>
        <color rgb="FF1155CC"/>
        <rFont val="Arial"/>
      </rPr>
      <t>стояк</t>
    </r>
    <r>
      <rPr>
        <sz val="8"/>
        <rFont val="Arial"/>
      </rPr>
      <t xml:space="preserve"> - стальная неоцинковонная труба;
- </t>
    </r>
    <r>
      <rPr>
        <u/>
        <sz val="8"/>
        <color rgb="FF1155CC"/>
        <rFont val="Arial"/>
      </rPr>
      <t>индивидуальный распределитель</t>
    </r>
    <r>
      <rPr>
        <sz val="8"/>
        <rFont val="Arial"/>
      </rPr>
      <t xml:space="preserve">  - узел учета тепловой энергии;
- </t>
    </r>
    <r>
      <rPr>
        <u/>
        <sz val="8"/>
        <color rgb="FF1155CC"/>
        <rFont val="Arial"/>
      </rPr>
      <t>разводка</t>
    </r>
    <r>
      <rPr>
        <sz val="8"/>
        <rFont val="Arial"/>
      </rPr>
      <t xml:space="preserve">  - сшитый полиэтилен;
- </t>
    </r>
    <r>
      <rPr>
        <u/>
        <sz val="8"/>
        <color rgb="FF1155CC"/>
        <rFont val="Arial"/>
      </rPr>
      <t>потребитель</t>
    </r>
    <r>
      <rPr>
        <sz val="8"/>
        <rFont val="Arial"/>
      </rPr>
      <t xml:space="preserve">  - стальной панельный радиатор.
Производители: согласно вендор листу
Расположение систем:
Индивидуальный тепловой пункт расположить в помещении нижнего этажа.
Магистраль расположить в помещении технического коридора.
Стояк и индивидуальный распределитель расположить в зоне санузлов.
Разводку поэтажную расположить в стяжке пола от индивидуального распределителя до потребителя. 
Привязки строительных конструкций смотри в стандарте: </t>
    </r>
    <r>
      <rPr>
        <u/>
        <sz val="8"/>
        <color rgb="FF1155CC"/>
        <rFont val="Arial"/>
      </rPr>
      <t>индивидуальный тепловой пункт</t>
    </r>
    <r>
      <rPr>
        <sz val="8"/>
        <rFont val="Arial"/>
      </rPr>
      <t xml:space="preserve"> , </t>
    </r>
    <r>
      <rPr>
        <u/>
        <sz val="8"/>
        <color rgb="FF1155CC"/>
        <rFont val="Arial"/>
      </rPr>
      <t>магистраль</t>
    </r>
    <r>
      <rPr>
        <sz val="8"/>
        <rFont val="Arial"/>
      </rPr>
      <t xml:space="preserve"> , </t>
    </r>
    <r>
      <rPr>
        <u/>
        <sz val="8"/>
        <color rgb="FF1155CC"/>
        <rFont val="Arial"/>
      </rPr>
      <t>стояк</t>
    </r>
    <r>
      <rPr>
        <sz val="8"/>
        <rFont val="Arial"/>
      </rPr>
      <t xml:space="preserve"> , </t>
    </r>
    <r>
      <rPr>
        <u/>
        <sz val="8"/>
        <color rgb="FF1155CC"/>
        <rFont val="Arial"/>
      </rPr>
      <t>индивидуальный распределитель</t>
    </r>
    <r>
      <rPr>
        <sz val="8"/>
        <rFont val="Arial"/>
      </rPr>
      <t xml:space="preserve"> , </t>
    </r>
    <r>
      <rPr>
        <u/>
        <sz val="8"/>
        <color rgb="FF1155CC"/>
        <rFont val="Arial"/>
      </rPr>
      <t>разводка поэтажная</t>
    </r>
    <r>
      <rPr>
        <sz val="8"/>
        <rFont val="Arial"/>
      </rPr>
      <t xml:space="preserve"> , </t>
    </r>
    <r>
      <rPr>
        <u/>
        <sz val="8"/>
        <color rgb="FF1155CC"/>
        <rFont val="Arial"/>
      </rPr>
      <t>потребитель</t>
    </r>
    <r>
      <rPr>
        <sz val="8"/>
        <rFont val="Arial"/>
      </rPr>
      <t xml:space="preserve"> .
Схему системы отопления коммерческой части смотри в графической части.</t>
    </r>
  </si>
  <si>
    <t>Отопление технических помещений принять от электрического конвектора.
Отопление помещения ИТП от теплоизбытков оборудования теплового пункта.
Отопление нижнего этажа (подвала) принять за счет теплоизбытков от трубопроводов теплоснабжения.
Система состоит:
- потребитель - электрический конвектор.
Производители: согласно вендор листу
Отапливаемые технические помещения: насосная, электрощитовая, помещение сетей связи, помещения венткамер.
Для отопления насосной применить влагозащищенный электрический конвектор (IP54).</t>
  </si>
  <si>
    <t>Система отопления Паркинг</t>
  </si>
  <si>
    <t xml:space="preserve">Помещение автостоянки не отапливается.
</t>
  </si>
  <si>
    <t>Магистральные трубопроводы однозонной системы отопления жилой части выполнить из стальных прямошовных труб по ГОСТ 10704-91.
Диаметр и толщину стенки принять:
- стальных прямошовных 57х3,5; 76х3,5; 89х4,0; 108х4,0; 133х4,5;159х4,5 в тепловой изоляции из вспененного каучука 19 мм.
Предусмотреть антикоррозионную защиту трубопроводов краской БТ-177 ГОСТ 5631-79 в два слоя, грунт ГФ-021 ГОСТ 25129-2020 в один слой. 
Компенсаторы для магистральных трубопроводов принять П-образные. 
Арматура на магистральных трубопроводах:
- воздухоотводчик: автоматический прямой с (боковым/верхним) выпуском;
- кран шаровой полнопроходной: с резьбой тип (ВР-ВР), тип рукоятки "рычаг", для спускных кранов и кранов перед воздухоотводчиками тип рукоятки "бабочка";
- клапан латунный балансировочный ручной/автоматический применять для регулировки ветки МОП.
Тип присоединения запорной и регулирующей арматуры : 
- муфтовое соединение - DN15 - DN40;
- фланцевое соединение - DN50 и более.
Магистраль расположить под потолком нижнего этажа в техническом коридоре.
Прокладка магистральных трубопроводов открытая. Трубопроводы прокладывать не ниже пути эвакуации, учитывая изоляцию и дренажную арматуру.</t>
  </si>
  <si>
    <t>Магистральные трубопроводы однозонной системы отопления жилой части выполнить из стальных прямошовных труб по ГОСТ 10704-91.
Диаметр и толщину стенки принять
- стальных прямошовных 57х3,5; 76х3,5; 89х4,0; 108х4,0; 133х4,5;159х4,5 в тепловой изоляции из вспененного каучука 19 мм.
Предусмотреть антикоррозионную защиту трубопроводов краской БТ-177 ГОСТ 5631-79 в два слоя, грунт ГФ-021 ГОСТ 25129-2020 в один слой. 
Компенсаторы для магистральных трубопроводов принять П-образные. 
Арматура на магистральных трубопроводах:
- воздухоотводчик: автоматический прямой с (боковым/верхним) выпуском,
- кран шаровой полнопроходной: с резьбой тип (ВР-ВР), тип рукоятки "рычаг", для спускных кранов и кранов перед воздухоотводчиками тип рукоятки "бабочка";
- клапан латунный балансировочный ручной/автоматический применять для регулировки ветки МОП.
Тип присоединения запорной и регулирующей арматуры: 
- муфтовое соединение - DN15 - DN40;
- фланцевое соединение - DN50 и более.
Магистраль расположить под потолком нижнего этажа в техническом коридоре.
Прокладка магистральных трубопроводов открытая. Трубопроводы прокладывать не ниже пути эвакуации, учитывая изоляцию и дренажную арматуру.</t>
  </si>
  <si>
    <t>Магистральные трубопроводы системы отопления коммерческой части выполнить из стальной неоцинкованной трубы по ГОСТ 3262-75* и стальной прямошовной трубы по ГОСТ 10704-91.
Диаметр и толщину стенки принять:
- стальных водогазопроводынх 15х2,8; 20х2,8; 25х3,2; 32х3,2 в тепловой изоляции из вспененного каучука 19 мм;
- стальных прямошовных 57х3,5 в тепловой изоляции из вспененного каучука 19 мм.
Антикоррозийная защита: 
- рубопроводы: краска БТ-177 ГОСТ 5631-79 в два слоя, грунт ГФ-021 ГОСТ 25129-2020 в один слой. 
Компенсаторы для магистральных трубопроводов принять П-образные. 
Трубопроводная арматура:
- воздухоотводчик: автоматический прямой с (боковым/верхним) выпуском;
- кран шаровой полнопроходной: с резьбой тип (ВР-ВР), тип рукоятки "рычаг", для спускных кранов и кранов перед воздухоотводчиками тип рукоятки "бабочка".
Тип присоединения запорной и регулирующей арматуры : 
- муфтовое соединение - DN15 - DN40;
- фланцевое соединение - DN50 и более.
Магистраль расположить под потолком нижнего этажа в техническом коридоре.
Прокладка магистральных трубопроводов открытая. Трубопроводы прокладывать не ниже пути эвакуации, учитывая изоляцию и дренажную арматуру.</t>
  </si>
  <si>
    <t>8.1.12</t>
  </si>
  <si>
    <t>Стояки для однозонной системы отопления жилой части до 28 метров выполнить из стальной неоцинковонной трубы по ГОСТ 3262-75 и стальной прямошовной трубы по ГОСТ 10704-91.
Диаметр и толщину стенки принять:
- стальных водогазопроводных 32х3,2 в тепловой изоляции из вспененного каучука 19 мм;
- стальных прямошовных 57х3,5; 76х3,5 в тепловой изоляции из вспененного каучука 19 мм. 
Диаметр трубопроводов:
- DN 65 - с 1 по 5 этаж;
- DN 50 - с 6 по 8 этаж;
- DN 32 - 9 этаж .
При меньшем количестве этажей исключать нижний этаж. 
Компенсаторы: сильфонные.
Опоры: неподвижные.
Антикоррозийная защита: 
- трубопроводы: краска БТ-177 ГОСТ 5631-79 в два слоя, грунт ГФ-021 ГОСТ 25129-2020 в один слой. 
Трубопроводная арматура:
- воздухоотводчик: автоматический прямой с (боковым/верхним) выпуском;
- кран шаровой полнопроходной: с резьбой тип (ВР-ВР), тип рукоятки "рычаг", для спускных кранов и кранов перед воздухоотводчиками тип рукоятки "бабочка";
- клапан латунный балансировочный ручной/автоматический применять для регулировки ветки МОП.
Трубопроводы расположить в межквартирном коридоре в нише у лестнично - лифтового узла.
Расположение выполнить согласно альбому заготовок.</t>
  </si>
  <si>
    <t>8.1.13</t>
  </si>
  <si>
    <t>Стояки для однозонной системы отопления жилой части от 28 до 50 метров выполнить из стальной неоцинковонной трубы по ГОСТ 3262-75*и стальной прямошовной трубы по ГОСТ 10704-91. 
Диаметр и толщину стенки принять: 
- стальных водогазопроводных 32х3,2 в тепловой изоляции из вспененного каучука 19 мм;
- стальных прямошовных 57х3,5; 76х3,5, 89х4,0; 108х4,0 в тепловой изоляции из вспененного каучука 19 мм.
Диаметр трубопроводов:
- DN 100 - с 1 по 5 этаж;
- DN 80 - с 6 по 8 этаж;
- DN 65 - с 9 по 12 этаж;
- DN 50 - с 13 по 15 этаж;
- DN 32 - 16 этаж.
При меньшем количестве этажей исключать нижний этаж. 
Компенсаторы: сильфонные.
Опоры: неподвижные. 
Антикоррозийная защита: 
- трубопроводы: краска БТ-177 ГОСТ 5631-79 в два слоя, грунт ГФ-021 ГОСТ 25129-2020 в один слой.
Трубопроводная арматура: 
- воздухоотводчик: автоматический прямой с (боковым/верхним) выпуском;
- кран шаровой полнопроходной: с резьбой тип (ВР-ВР), тип рукоятки "рычаг", для спускных кранов и кранов перед воздухоотводчиками тип рукоятки "бабочка";
- клапан латунный балансировочный ручной/автоматический применять для регулировки ветки МОП 
Трубопроводы расположить в межквартирном коридоре в нише у лестнично - лифтового узла. 
Расположение выполнить согласно альбому заготовок.</t>
  </si>
  <si>
    <t>8.1.14</t>
  </si>
  <si>
    <t>Стояки для двухзонной системы отопления жилой части от 50 до 75 метров выполнить из стальной неоцинковонной трубы по ГОСТ 3262-75*и стальной прямошовной трубы по ГОСТ 10704-91.
Диаметр и толщину стенки принять:
- стальных водогазопроводных 32х3,2 в тепловой изоляции из вспененного каучука 19 мм;
- стальных прямошовных 57х3,5; 76х3,5, 89х4,0 в тепловой изоляции из вспененного каучука 19 мм. 
Диаметр трубопроводов:
Первая зона: 
- DN 80 - с 1 по 4 этаж;
- DN 65 - с 5 по 8 этаж;
- DN 50 - с 9 по 11 этаж;
- DN 32 - 12 этаж.
Вторая зона: 
- DN 80 - с 1 по 16 этаж;
- DN 65 - с 17 по 20 этаж; 
- DN 50 - с 21 по 23 этаж;
- DN 32 - 24 этаж.
При меньшем количестве этажей исключать нижний этаж.
Компенсаторы: сильфонные.
Опоры: неподвижные.
Антикоррозийная защита: 
- трубопроводы: краска БТ-177 ГОСТ 5631-79 в два слоя, грунт ГФ-021 ГОСТ 25129-2020 в один слой. 
Трубопроводная арматура:
- воздухоотводчик: автоматический прямой с (боковым/верхним) выпуском;
- кран шаровой полнопроходной: с резьбой тип (ВР-ВР), тип рукоятки "рычаг", для спускных кранов и кранов перед воздухоотводчиками тип рукоятки "бабочка";
- клапан латунный балансировочный ручной/автоматический применять для регулировки ветки МОП.
Трубопроводы расположить в межквартирном коридоре в нише у лестнично - лифтового узла.
Расположение выполнить согласно альбому заготовок.</t>
  </si>
  <si>
    <t>8.1.14.1</t>
  </si>
  <si>
    <t>Префабрицированные заготовки стояков отопления</t>
  </si>
  <si>
    <t>Систему отопления (стояки жилой части) проектировать, производить и монтировать унифицированными префабрицированными изделиями заводского изготовления (в спецификацию включать количество изделий с маркировкой согласно альбома рабочих чертежей заготовок).
В случае отсутствия возможности проектирования префабрицированными изделиями - проектировать классическим способом.</t>
  </si>
  <si>
    <t>8.1.15</t>
  </si>
  <si>
    <t>Стояки для системы отопления коммерческих помещений выполнить их стальной неоцинкованной трубы по ГОСТ 3262-75*.
Диаметр и толщину стенки принять:
- стальных водогазопроводных 15х2,8; 20х2,8, 25х3,2 в тепловой изоляции из вспененного каучука 19 мм.
Антикоррозийная защита:
- трубопроводы: краска БТ-177 ГОСТ 5631-79 в два слоя грунт ГФ-021 ГОСТ 26129-2020 в один слой.
Трубопроводы расположить в санузле.
Стояк расположить с учетом размещения смежных инженерных сетей.</t>
  </si>
  <si>
    <t>8.1.16</t>
  </si>
  <si>
    <t>Для жилой части принять коллектора из неоцинкованной стали, количество выходов предусмотреть в соответствии с квартирографией, при необходимости добавить ответвление на отопление лестничной клетки.
Коллектор принять заводского изготовления (в сборе). 
В составе предусмотреть учет тепла (теплосчетчик с открытым протоколом системы диспетчеризации), балансировку, дренаж, удаление воздуха, перекрытие теплоносителя.
Состав коллектора:
- кран шаровый латунный муфтовый бабочка НР-ВР DN25, DN32 (для подключения к стояку);
- фильтр сетчатый латунный ВР-ВР DN25, DN32;
- балка коллекторная DN50;
- вставка запорная латунная;
- клапан балансировочный автоматический (обратный трубопровод) DN20, DN25;
- дренажный кран;
- кронштейн;
- теплосчетчик отопления (только для квартир);
- клапан балансировочный ручной DN15;
- кран Маевского.
На коллекторе предусмотреть теплоизоляцию из вспененного каучука.
В составе рабочей документации предоставить настройки автоматических и ручных балансировочных клапанов, расчет выполнить в программе "Аудитор" или "DCAD" предоставить расчетный файл.
Поэтажные коллекторы с поквартирным учетом расположить в межквартирном коридоре, количество коллекторов на одном этаже принять в зависимости от количества коридоров. 
При расположении квартир на первом этаже и отсутствии доступа к инженерным нишам ОВ из МОП первого этажа - обеспечить доступ к нишам на нижнем этаже.
В двухуровневых квартирах подключение к поэтажному коллектору осуществляется с нижнего этажа.
В квартирах на последнем этаже с выходом на террасу (кровлю) подключение осуществляется от разводки нижележащего этажа предпочтительно в зоне санузел или в непосредственной близости ко входу в квартиру (в зоне пилона, в штробе в стене, в зоне будущей зашивки).
Расположение коллектора в этажной нише (привязки) выполнить согласно решения Инженерная ниша (ссылка).</t>
  </si>
  <si>
    <t>8.1.17</t>
  </si>
  <si>
    <t>Для коммерческой части принять индивидуальный узел учета тепловой энергии для каждого коммерческого помещения.
В составе узла учета предусмотреть:
- кран шаровый латунный муфтовый бабочка НР-ВР с подключением для термодатчика DN20, DN25;
- фильтр сетчатый латунный ВР-ВР DN20, DN25;
- врезка для подключения импульсной трубки;
- клапан балансировочный автоматический DN15, DN20;
- теплосчетчик электронный ультразвуковой;
- кран шаровый латунный муфтовый бабочка НР-ВР DN20, DN25.
Узел учета тепловой энергии разместить в санузле коммерческого помещения.</t>
  </si>
  <si>
    <t>8.1.18</t>
  </si>
  <si>
    <t>Для коммерческой части при размещении приточной установки на водяном теплоносителе предусмотреть индивидуальный узел учета теплоснабжения.
В составе узла учета предусмотреть:
- кран шаровый латунный муфтовый бабочка с подключением для термодатчика НР-ВР DN20, DN25, DN32;
- фильтр сетчатый латунный ВР-ВР DN20, DN25, DN32;
- клапан балансировочный ручной (обратный трубопровод) DN15, DN20, DN25;
- теплосчетчик отопления;
- кран шаровый латунный муфтовый НР-ВР DN20, DN25, DN32;
- заглушки.
Узел учета теплоснабжения разместить в санузле коммерческого помещения.</t>
  </si>
  <si>
    <t>8.1.19</t>
  </si>
  <si>
    <t>Принять трубы из сшитого полиэтилена PN10 PEX-A в тепловой изоляции из вспененного полиэтилена 9 мм в МОП, в квартирах и коммерческих помещениях в защитной гофрированной трубе с устройством на конце адаптера (евроконуса) для радиатора.
Разводка с тупиковым движением теплоносителя.
Диаметр трубопроводов:
- DN16;
- DN20;
- DN25.
Диаметр труб более DN25 не применять.
Для квартир и коммерческих помещений с большой тепловой нагрузкой предусмотреть две ветки от коллектора. Вторую ветку для квартиры подключить после теплосчетчика через тройник. 
Для коммерческих помещений применить узел учета с несколькими выходами.
Тепловую изоляцию и защитную гофрированную трубу на подающем трубопроводе применять красного цвета, на обратном трубопроводе синего цвета. 
В разводке предусмотреть подключение к поэтажному коллектору муфтой (штуцером) с переходом на НР или ВР (обжимной фитинг - для СП).
Все повороты выполнять изгибами труб (без применения отводов). 
На каждую квартиру от коллектора отопления до потребителя предусмотреть трубопровод в стяжке пола.
Прокладку трубопроводов через помещения ванных комнат и санузлов, ниш инженерных сетей не выполнять.
В местах балконных дверей и остекления «в пол» перед остеклением предусмотреть прокладку трубопровода в конструкции пола от отопительного прибора выполнить "змейкой" шириной 250 мм вдоль окна.
Ссылка стандарт привязок и трассировки.</t>
  </si>
  <si>
    <t>8.1.20</t>
  </si>
  <si>
    <t>Принять трубы из сшитого полиэтилена PN10 PEX-A в тепловой изоляции из вспененного полиэтилена 9 мм в МОП.
Разводка с тупиковым движением теплоносителя.
Тепловую изоляцию и защитную гофрированную трубу на подающем трубопроводе применять красного цвета, на обратном трубопроводе синего цвета. 
В разводке предусмотреть подключение к поэтажному коллектору муфтой (штуцером) с переходом на НР или ВР (обжимной фитинг - для СП). 
Все повороты выполнять изгибами труб (без применения отводов).
На каждый радиатор лестничной клетки от коллектора отопления предусмотреть трубопровод в стяжке пола. 
Ссылка стандарт привязок и трассировки.</t>
  </si>
  <si>
    <t>8.1.21</t>
  </si>
  <si>
    <t>Для жилой части предусмотреть радиаторы отопления и электрический конвектор.
Применить стальные панельные радиаторы с нижним подключением в комплекте с термостатическим клапаном. Предусмотреть термоголовку. 
Для квартир с отдельным входом предусмотреть установку электрического конвектора в тамбуре.
Для квартир с ванными, примыкающими к наружным стенам, предусмотреть отопление от электрического полотенцесушителя.
Применять радиаторы тип 11: 
- высотой 300 длиной от 800 до 2000;
- высотой 900 длиной от 400 до 800,
Применять радиаторы тип 22: 
- высотой 300 длиной от 800 до 2000;
- высотой 900 длиной от 400 до 800.
Применять радиаторы тип 33: 
- высотой 300 длиной от 800 до 2000;
- высотой 900 длиной от 400 до 800.
Узел нижнего подключения отопительного прибора:
- клапан угловой запорный радиаторный двойной без байпаса;
- адаптер (евроконус) соединительный с ВР.
В пределах одного помещения следует предусматривать радиаторы единой глубины и высоты, переменной длины.
Длину радиаторов принять не менее 70% и не более 100% длины окна.  
Радиаторы высотой 900 мм применять в местах балконных дверей и остекления «в пол», располагать на фасадной стене, при необходимости - расположить радиаторы с двух сторон остекления. Не располагать радиаторы на ближайших простенках, перпендикулярных фасадной стене.
При подборе учитывать высоту подоконного пространства.
Привязки и расположение радиаторов для жилой части смотри в графической части.</t>
  </si>
  <si>
    <t>8.1.22</t>
  </si>
  <si>
    <t>Для МОП предусмотреть стальные дизайн радиаторы и стальные панельные радиаторы.
Применять радиаторы высотой 2м, длину принять в соответствии с расчетом. 
Для лестничной клетки применить радиаторы тип 22, при отсутствии возможности - тип 33, максимально возможной длины.
 На планах рабочей документации все отопительные приборы отобразить в масштабе. 
Применять радиаторы тип 11:
- высотой 300 длиной от 800 до 2000; 
- высотой 900 длиной от 400 до 800,.
Применять радиаторы тип 22: 
- высотой 300 длиной от 800 до 2000; 
- высотой 900 длиной от 400 до 800. 
Применять радиаторы тип 33: 
- высотой 300 длиной от 800 до 2000; 
- высотой 900 длиной от 400 до 800.
 Узел нижнего подключения отопительного прибора: 
- клапан угловой запорный радиаторный двойной без байпаса; 
- адаптер (евроконус) соединительный с ВР. 
Место установки и габариты дизайн радиаторов согласовать с Заказчиком. 
В лестничной клетке радиаторы расположить на простенке за дверью на отметке 150 мм от пола. Количество радиаторов на лестничной клетке принять по расчету в диапазоне с первого по четвертый этаж.</t>
  </si>
  <si>
    <t>8.1.23</t>
  </si>
  <si>
    <t>Для коммерческой части предусмотреть радиаторы отопления.
Применить стальные панельные радиаторы с нижним подключением в комплекте с термостатическим клапаном. Предусмотреть термоголовку.
Применять радиаторы тип 11: 
- высотой 300 длиной от 800 до 2000;
- высотой 900 длиной от 400 до 800,
Применять радиаторы тип 22: 
- высотой 300 длиной от 800 до 2000;
- высотой 900 длиной от 400 до 800.
Применять радиаторы тип 33: 
- высотой 300 длиной от 800 до 2000;
- высотой 900 длиной от 400 до 800.
Узел нижнего подключения отопительного прибора:
- клапан угловой запорный радиаторный двойной без байпаса;
- адаптер (евроконус) соединительный с ВР.
В пределах одного помещения следует предусматривать радиаторы единой глубины и высоты, переменной длины.
Длину радиаторов принять не менее 70% и не более 100% длины окна.
Радиаторы высотой 900 мм применять в местах балконных дверей и остекления «в пол», располагать на фасадной стене, при необходимости - расположить радиаторы с двух сторон остекления либо на ближайшем от окна простенке или перегородке.</t>
  </si>
  <si>
    <t>8.2 Вентиляция общеобменная</t>
  </si>
  <si>
    <t>Для зданий до 28 метров принять естественную приточную систему вентиляции, вытяжную - гибридную.
Предусмотреть естественный приток через воздушные клапаны в жилых комнатах. Вытяжку - из санузлов, ванных комнат и кухонь.
Расход вытяжного воздуха: кухня - 60м³/ч, санузел - 50м³/ч.
Система состоит: 
- клапаны приточные угловые стеновые;
- решетки вытяжные регулируемые;
- бытовые канальные вентиляторы;
- нормально открытый противопожарный клапан;
- воздуховоды из оцинкованной стали;
- вытяжное оборудование;
- шумоглушитель;
- наружная решетка;
- вытяжная вентиляционная шахта.
Производители: согласно вендор листу
Приточные клапаны предусмотреть в наружных стенах жилых комнат, исключая кухни, кухни-столовые, за исключением студий.
Воздуховоды систем вытяжной вентиляции предусмотреть в зашивке в помещениях санузлов, ванных комнат, коридоров и кухнях. Присоединение вытяжных решеток к вертикальному каналу через каналы спутники. На последнем этаже и в кухнях-нишах предусмотреть установку бытовых вентиляторов. Для последнего этажа вентиляторы подключать с установкой нормально открытого противопожарного клапана.
Выброс вытяжного воздуха предусмотреть в вытяжную шахту верхнего этажа. Выброс на улицу через вытяжную шахту верхнего этажа. На верхнем этаже разместить вытяжное оборудование на виброопорах (над нежилым помещением), установку шумоизолировать, предусмотреть шумоглушитель. Режим работы вентилятора - теплый период года. 
В холодный период года - принять режим работы естественной вентиляции.
Размер отверстия для вентиляционной шахты в плите покрытия 4000х1500. Высота вытяжной шахты принять от плиты покрытия кровли до плиты покрытия вытяжной шахты 1175 мм, плита покрытия 160 мм, размер решетки 1550х470 мм - площадь живого сечения 0,5.
Под шахтой предусмотреть поддон из оцинкованной стали для сбора осадков и конденсата.</t>
  </si>
  <si>
    <t>8.2.2</t>
  </si>
  <si>
    <t>Для зданий от 28 до 50 метров принять естественную приточную систему вентиляции, вытяжную с механическим (искусственным) побуждением.
Предусмотреть естественный приток через воздушные клапаны в жилых комнатах. Вытяжку - из санузлов, ванных комнат и кухонь.
Расход вытяжного воздуха: кухня - 60м³/ч, санузел - 50м³/ч.
Система состоит: 
- клапаны приточные угловые стеновые;
- решетки вытяжные регулируемые;
- воздуховоды из оцинкованной стали;
- вытяжная вентиляционная шахта;
- наружная решетка;
- вытяжное оборудование.
Производители: согласно вендор листу
Приточные клапаны предусмотреть в наружных стенах жилых комнат, исключая кухни, кухни-столовые, за исключением студий.
Воздуховоды систем вытяжной вентиляции предусмотреть в зашивке в помещениях санузлов, ванных комнат, коридоров и кухнях. Присоединение вытяжных решеток к вертикальному каналу через каналы спутники. Последние этажи подключить через отдельный воздуховод. 
Выброс вытяжного воздуха предусмотреть в помещение верхнего этажа. Выброс на улицу через вытяжную шахту верхнего этажа. Размер отверстия для вентиляционной шахты в плите покрытия 4000х1500. Высота вытяжной шахты принять от плиты покрытия кровли до плиты покрытия вытяжной шахты 1175 мм, плита покрытия 160 мм.
Под шахтой предусмотреть поддон из оцинкованной стали для сбора осадков и конденсата.</t>
  </si>
  <si>
    <t>8.2.3</t>
  </si>
  <si>
    <t>Для зданий от 50 до 100 метров принять естественную приточную систему вентиляции, вытяжную - с механическим (искусственным) побуждением двух зон: 
- до 50 метров;
- до 100 метров.
Предусмотреть естественный приток через воздушные клапаны в жилых комнатах. Вытяжку принять механической из санузлов, ванных комнат и кухонь.
Расход вытяжного воздуха: кухня - 60м³/ч, санузел - 50м³/ч.
Система состоит:
- клапаны угловые стеновые;
- решетки вытяжные регулируемые;
- воздуховоды из оцинкованной стали;
- вытяжная шахта;
- наружная решетка;
- вытяжное оборудование.
Производители: согласно вендор листу
Приточные клапаны предусмотреть в наружных стенах жилых комнат, исключая кухни, кухни-столовые, за исключением студий.
Воздуховоды систем вытяжной вентиляции предусмотреть в зашивке в помещениях санузлов, ванных комнат, коридоров и кухнях. Присоединение вытяжных решеток к вертикальному каналу через каналы спутники. Последние этажи подключить через отдельный воздуховод.
Выброс вытяжного воздуха предусмотреть в помещение верхнего этажа. Выброс на улицу через вытяжную шахту верхнего этажа. Размер отверстия для вентиляционной шахты в плите покрытия 4000х1500. Высота вытяжной шахты принять от плиты покрытия кровли до плиты покрытия вытяжной шахты 1175 мм, плита покрытия 160 мм.
Под шахтой предусмотреть поддон из оцинкованной стали для сбора осадков и конденсата.</t>
  </si>
  <si>
    <t>8.2.4</t>
  </si>
  <si>
    <t>В зданиях до 28 метров с лестничной клетой типа Л1 принять:
- приточную естественную и механическую вытяжную системы вентиляции межквартирного коридора. 
Приток организовать через приточный клапан (КИВ), устанавливаемый в лестничной клетке. 
Удаление воздуха принять из межквартирного коридора. Выброс отработанного воздуха транзитом в вытяжную шахту на кровле верхнего этажа. 
Воздухообмен в лестничной клетке, лифтовом холле и межквартирном коридоре происходит за счет перетекания воздуха через открытые двери. 
Для работы системы вентиляции противопожарные двери между лестничной клеткой и лифтовым холлом, межквартирным коридором должны быть всегда открыты, зафиксированы электромагнитным замком удержания двери (предусмотрен в разделе СС).
- приточную и вытяжную механические системы вентиляции для остальных МОП.
Приточная установка (вентилятор) с электронагревателем. 
Выброс отработанного воздуха транзитом в вытяжную шахту на кровле верхнего этажа. 
Воздухозабор общий с системой компенсации дымоудаления в МОП нижнего и типовых этажей.
Кратность воздухообмена:
МОП выше отметки 0
Для первого и типовых этажей:
- в колясочной/велосипедной – 1,5 ч-1; 
- лифтовый холл – 1,5 ч-1; 
- межквартирный коридор – 1,5 ч-1;
- расход вытяжного воздуха: КУИ - 50м³/ч.
МОП ниже отметки 0
- блок кладовых – 1,5 ч-1; 
- расход вытяжного воздуха: КУИ - 50м³/ч.
Система состоит:
- воздуховоды из оцинкованной стали;
- переточные решетки;
- нормально открытые клапаны;
- дроссель-клапана;
- регулируемая решетка;
- наружная решетка;
- приточная установка с электронагревателем;
- КИВ;
- вытяжная установка.
Установки для систем вентиляции МОП расположить в вентиляционной камере нижнего этажа.
Транзитные воздуховоды систем проложить в инженерных нишах.</t>
  </si>
  <si>
    <t>8.2.5</t>
  </si>
  <si>
    <t>Во всех зданиях с лестничными клетками типа Н3 и Н2+Н3 для помещений МОП принять приточную и вытяжную механические системы вентиляции.
Приточная установка (вентилятор) с электронагревателем. 
Выброс отработанного воздуха транзитом в вытяжную шахту на кровле верхнего этажа. 
Воздухозабор общий с системой компенсации дымоудаления в МОП нижнего и типовых этажей.
Кратность воздухообмена:
МОП выше отметки 0
Для первого и типовых этажей:
- в колясочной/велосипедной – 1,5 ч-1; 
- лифтовый холл – 1,5 ч-1; 
- межквартирный коридор – 1,5 ч-1;
- расход вытяжного воздуха: КУИ - 50м³/ч.
МОП ниже отметки 0
- блок кладовых – 1,5 ч-1; 
- расход вытяжного воздуха: КУИ - 50м³/ч.
Система состоит:
- воздуховоды из оцинкованной стали;
- переточные решетки;
- нормально открытые клапаны;
- дроссель-клапана;
- регулируемая решетка;
- наружная решетка;
- приточная установка с электронагревателем;
- вытяжная установка.
Установки для систем вентиляции МОП расположить в вентиляционной камере нижнего этажа.
Транзитные воздуховоды систем проложить в инженерных нишах.</t>
  </si>
  <si>
    <t>8.2.6</t>
  </si>
  <si>
    <t>Для коммерческих помещений принять механическую систему вентиляции, система устанавливается силами собственника. Предусмотреть отдельный вентканал - для возможности устройства вытяжной механической вентиляции основного помещения. 
Для санузлов коммерческих помещений предусмотреть отдельный воздуховод - для вытяжки из санузла, воздухообмен согласно норме. Выброс воздух в помещение верхнего этажа, далее через решетки на улицу. 
Нагрев приточного воздуха предусмотреть на водяном теплоносителе (от ИТП), установка с рекуперацией тепла. Тепловая нагрузка для теплоснабжение приточных установок не должна превышать нагрузку, предусмотренной по ТУ на объект.
Воздухообмен принять: 
- при общей площади помещения менее 120м² - кратность 2;
- при общей площади помещения более 120м² - кратность 4.
Размеры воздуховодов принять в зависимости от скорости в воздуховодах, рекомендуемая скорость до 2,5м/с.
Система состоит:
- воздуховоды из оцинкованной стали;
- наружная решетка.
Воздуховод основного помещения проложить в шахте инженерных коммуникаций у лифта.
Воздуховоды санузлов предусмотреть пристроенными к вентканалам жилья (в инженерной стене - нише), таким образом чтобы не нарушать квартирографию. Например, через санузел квартир, в пространстве между вентканалом жилья и стояковой группой или в шахте инженерных коммуникаций у лифта.
Для возможности устройства приточной механической вентиляции предусмотреть воздухозаборную решетку, из расчета 4-кратного воздухообмена и скорости в решетке 2,5м/с, за вывеской lightbox или над входной группой в коммерческое помещение, расположение согласовать с автором архитектором.
Выброс вытяжного воздуха через решетку, расположенную в стене верхнего этажа.
Установка вентиляционного оборудования и разводка воздуховодов по помещению осуществляется силами собственника.</t>
  </si>
  <si>
    <t>8.2.7</t>
  </si>
  <si>
    <t>Для технических помещений предусмотреть приточную и вытяжную механические системы вентиляции. Приточная установка (вентилятор) с электронагревателем. 
Выброс отработанного воздуха транзитом в вытяжную шахту на кровле верхнего этажа. Воздухозабор общий с системой компенсации дымоудаления в МОП нижнего и типовых этажей.
Кратности воздухообменов принять:
- ИТП –2,0 ч-1;
- узел ввода –1,0 ч-1;
- насосная хозяйственно-питьевого водоснабжения –2,0 ч-1;
- насосная пожаротушения жилой части здания и паркинга –1,0 ч-1 (при объединении помещений ВК принимать –2,0 ч-1.);
- электрощитовая жилой части здания и паркинга –1,0 ч-1;
- помещение сетей связи –1,0 ч-1.
Система состоит:
- воздуховоды из оцинкованной стали;
- клапан нормально открытый;
- дроссель-клапан;
- регулируемая решетка;
- наружная решетка;
- приточная установка с электронагревом;
- вытяжная установка.
Транзитные воздуховоды систем проложить в инженерных нишах.</t>
  </si>
  <si>
    <t>8.2.8</t>
  </si>
  <si>
    <t>Общеобменная вентиляция Паркинг</t>
  </si>
  <si>
    <t xml:space="preserve">Для всех паркингов принять приточную и вытяжную системы вентиляции.
Воздухообмен рассчитывать на разбавление вредных газовыделений. Не принимать в расчёт величину вытяжного воздуха 150 м³/ч или двукратный воздухообмен.
Работа вентиляции при срабатывании датчиков СО. 
Общеобменную систему вентиляции принять функционально совмещенной с противодымной вытяжной системой.
Система состоит:
- воздуховоды из оцинкованной стали;
- клапан нормально открытый;
- дроссель-клапан;
- регулируемая решетка;
- наружная решетка;
- приточная и вытяжная установки.
Размеры воздуховодов принять в зависимости от скорости в воздуховодах. Скорость движения воздуха в общеобменной вентиляции до 8 м/с.
Принять 50% удаление воздуха с верхней зоны паркинга, 50% с нижней зоны паркинга. Подачу приточного воздуха организовать вдоль основного проезда, вблизи приточной венткамеры. 
Приоритет расположения воздуховодов - по периметру автостоянки. 
Приточную вентиляцию располагать с одной стороны паркинга, вытяжную располагать на противоположной стороне паркинга.
Воздухозаборную решетку предусмотреть на внутреннем фасаде здания, на высоте не менее 2м от земли.
Вытяжной воздуховод расположит по наружной стене паркинга.
</t>
  </si>
  <si>
    <t>8.2.9</t>
  </si>
  <si>
    <t>Приточная канальная либо осевая система вентиляции. Вытяжная канальная система вентиляции.
Приточную установку разместить в вентиляционной камере нижнего этажа.</t>
  </si>
  <si>
    <t>8.2.10</t>
  </si>
  <si>
    <t>Оборудование общеобменная вентиляция Паркинга</t>
  </si>
  <si>
    <t>Осевой вентилятор.
Разместить в вентиляционной камере паркинга.</t>
  </si>
  <si>
    <t>8.2.11</t>
  </si>
  <si>
    <t>Воздуховоды принять из листовой стали, класс герметичности "В" с покрытием комплексной огнезащитной системой. Предел огнестойкости принять в соответствии с действующими нормативами. Применить теплоизоляцию при необходимости.
Толщина стенок воздуховодов и фасонных изделий:
Для прямоугольных воздуховодов при сечении:
 С огнезащитным покрытием, толщиной 0,8 мм
- для одиночных мокрых помещений: 500х200 (кухня, сан.узел);
- для смежных мокрых помещений в одной нише расположить: 500х200 (кухня, сан.узел) и 350х200 (сан.узел).
Сечение прямоугольного воздуховодов спутника толщиной 0,8 мм, с огнезащитным покрытием: 
- 200х100.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Транзитные воздуховоды проводить в специально отведенных нишах внутри квартир в соответствии с АР.
Расположение воздуховодов в нишах (привязки) выполнить согласно альбома заготовок ОВ.</t>
  </si>
  <si>
    <t>8.2.12</t>
  </si>
  <si>
    <t>Воздуховоды принять из листовой стали, класс герметичности "В" с покрытие комплексной огнезащитной системой. Предел огнестойкости принять в соответствии с действующими нормативами. Применить теплоизоляцию при необходимости.
Толщина стенок воздуховодов и фасонных изделий:
Для прямоугольных воздуховодов при сечении:
С огнезащитным покрытием, толщиной 0,8 мм
- для одиночных мокрых помещений: 500х200 (кухня, сан.узел);
- для смежных мокрых помещений в одной нише расположить: 500х200 (кухня, сан.узел) и 350х200 (сан.узел).
Сечение прямоугольного воздуховодов спутника толщиной 0,8 мм, с огнезащитным покрытием: 
- 200х100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Транзитные воздуховоды проводить в специально отведенных нишах внутри квартир в соответствии с АР.
Расположение воздуховодов в нишах (привязки) выполнить согласно альбома заготовок ОВ.</t>
  </si>
  <si>
    <t>8.2.13</t>
  </si>
  <si>
    <t>Воздуховоды принять их листовой стали, класс герметичности "В" с покрытие комплексной огнезащитной системой. Предел огнестойкости принять в соответствии с действующими нормативами. Применить теплоизоляцию при необходимости.
Толщина стенок воздуховодов и фасонных изделий:
Первая зона:
Для прямоугольных воздуховодов при сечении:
С огнезащитным покрытием, толщиной 0,8 мм.
- для одиночных мокрых помещений: 500х200 (кухня, сан.узел);
- для смежных мокрых помещений в одной нише расположить: 500х200 (кухня, сан.узел) и 350х200 (сан.узел).
Сечение прямоугольного воздуховодов спутника толщиной 0,8 мм, с огнезащитным покрытием: 
- 200х100
Вторая зона:
Для прямоугольных воздуховодов при сечении:
С огнезащитным покрытием, толщиной 0,8 мм
- для одиночных мокрых помещений: 500х200 (кухня, сан.узел);
- для смежных мокрых помещений в одной нише расположить: 500х200 (кухня, сан.узел) и 350х200 (сан.узел).
Сечение прямоугольного воздуховодов спутника толщиной 0,8 мм, с огнезащитным покрытием: 
- 200х100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Транзитные воздуховоды проводить в специально отведенных нишах внутри квартир в соответствии с АР.
Расположение воздуховодов в нишах (привязки) выполнить согласно альбома заготовок ОВ.</t>
  </si>
  <si>
    <t>8.2.13.1</t>
  </si>
  <si>
    <t>Префабрицированные заготовки стояков общеобменной вентиляции</t>
  </si>
  <si>
    <t>Систему общеобменной вентиляции (стояки жилой части) проектировать, производить и монтировать унифицированными префабрицированными изделиями заводского изготовления (в спецификацию включать количество изделий с маркировкой согласно альбома рабочих чертежей заготовок).</t>
  </si>
  <si>
    <t>8.2.14</t>
  </si>
  <si>
    <t>Воздуховоды принять из листовой стали, класс герметичности "В" с покрытием комплексной огнезащитной системой. Предел огнестойкости принять в соответствии с действующими нормативами. Применить теплоизоляцию при необходимости.
Толщина стенок воздуховодов и фасонных изделий:
Для прямоугольных воздуховодов при сечении:
Без огнезащитного покрытия
- от 100х100 до 250х250 включительно - 0,5 мм;
- от 300х100 (100х300) до 1000х1000 - 0,7 мм;
- от 350х1050 (1050х350) до 2000х2000 - 0,9 мм.
С огнезащитным покрытием
- от 100х100 до 1000х1000 включительно - 0,8 мм;
- от 1000х1050 до 2000х2000 - 0,9 мм.
Круглые воздуховоды использовать в исключительных случаях при отсутсвии возможности использовать прямоугольные воздуховоды: 
 Без огнезащитного покрытия
- до Ø200 - 0,5 мм,
- от Ø250 до Ø450 - 0,6 мм;
- от Ø500 до Ø800 - 0,7 мм;
- от Ø900 до Ø1250 - 1,0 мм.
С огнезащитным покрытием
- от Ø100 до Ø800- 0,8 мм;
- от Ø900 до Ø1250- 1,0 мм.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отсутствии возможности использования тройника, а также если их применение не влечет значительного увеличения аэродинамического сопротивления.
Транзитные воздуховоды систем проложить в инженерных нишах.</t>
  </si>
  <si>
    <t>8.2.15</t>
  </si>
  <si>
    <t>Воздуховоды принять из листовой стали, класс герметичности "В" с покрытием комплексной огнезащитной системой. Предел огнестойкости принять в соответствии с действующими нормативами. Применить теплоизоляцию при необходимости.
Толщина стенок воздуховодов и фасонных изделий:
Для прямоугольных воздуховодов при сечении:
Без огнезащитного покрытия
- от 100х100 до 250х250 включительно - 0,5 мм;
- от 300х100 (100х300) до 1000х1000 - 0,7 мм;
- от 350х1050 (1050х350) до 2000х2000 - 0,9 мм.
С огнезащитным покрытием
- от 100х100 до 1000х1000 включительно - 0,8 мм;
- от 1000х1050 до 2000х2000 - 0,9 мм.
Круглые воздуховоды использовать в исключительных случаях при отсутствии возможности использовать прямоугольные воздуховоды: 
 Без огнезащитного покрытия
- до Ø200 - 0,5 мм;
- от Ø250 до Ø450 - 0,6 мм;
- от Ø500 до Ø800 - 0,7 мм;
- от Ø900 до Ø1250 - 1,0 мм.
С огнезащитным покрытием
- от Ø100 до Ø800- 0,8 мм;
- от Ø900 до Ø1250- 1,0 мм.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отсутствии возможности использования тройника, а также если их применение не влечет значительного увеличения аэродинамического сопротивления.
Транзитные воздуховоды систем проложить в инженерных нишах.</t>
  </si>
  <si>
    <t>8.2.16</t>
  </si>
  <si>
    <t>8.2.17</t>
  </si>
  <si>
    <t>Принципиальная схема стояков вентиляции Паркинг</t>
  </si>
  <si>
    <t xml:space="preserve">Воздуховоды принять из листовой стали, класс герметичности "В" с покрытием комплексной огнезащитной системой. Предел огнестойкости принять в соответствии с действующими нормативами. Применить теплоизоляцию при необходимости.
Толщина стенок воздуховодов и фасонных изделий:
Для прямоугольных воздуховодов при сечении:
Без огнезащитного покрытия
- от 100х100 до 250х250 включительно - 0,5 мм;
- от 300х100 (100х300) до 1000х1000 - 0,7 мм;
- от 350х1050 (1050х350) до 2000х2000 - 0,9 мм.
С огнезащитным покрытием
- от 100х100 до 1000х1000 включительно - 0,8 мм;
- от 1000х1050 до 2000х2000 - 0,9 мм.
Круглые воздуховоды использовать в исключительных случаях при отсутствии возможности использовать прямоугольные воздуховоды: 
 Без огнезащитного покрытия
- до Ø200 - 0,5 мм;
- от Ø250 до Ø450 - 0,6 мм;
- от Ø500 до Ø800 - 0,7 мм;
- от Ø900 до Ø1250 - 1,0 мм.
С огнезащитным покрытием
- от Ø100 до Ø800- 0,8 мм;
- от Ø900 до Ø1250- 1,0 мм.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отсутствии возможности использования тройника, а также если их применение не влечет значительного увеличения аэродинамического сопротивления.
Транзитные воздуховоды систем проложить в инженерных нишах.
</t>
  </si>
  <si>
    <t>8.2.18</t>
  </si>
  <si>
    <t>Для вытяжных систем общеобменной вентиляции принять регулируемые решетки.
Для приточных систем принять наружные решетки индивидуального изготовления.
Вытяжные решетки расположить в обслуживаемом помещении. 
Наружные решетки на высоте не менее 2м от уровня земли.</t>
  </si>
  <si>
    <t>8.2.19</t>
  </si>
  <si>
    <t>Вентиляционные сетки</t>
  </si>
  <si>
    <t xml:space="preserve">Вентиляционные сетки из оцинкованной стали.
</t>
  </si>
  <si>
    <t>8.2.20</t>
  </si>
  <si>
    <t>Предусмотреть в соответствии с действующими нормативами.
Клапаны нормально открытые принять с электроприводом напряжением 220В с возвратной пружиной в общепромышленном исполнении.
Клапан расположить в обслуживаемом помещении.</t>
  </si>
  <si>
    <t>8.2.21</t>
  </si>
  <si>
    <t>Для систем общеобменной вентиляции принять клапан приточный угловой при выходе воздухозабора на фасад здания.
Клапан состоит из пластикового воздуховода Ø125 мм, соединение воздуховода с клапаном выполняется с помощью пластикового воздуховода сечением 200х50.
Клапан с воздуховодом расположить в стене (простенке), не допускается установка стеновых клапанов на несущих конструкциях здания. 
При размещении приточных вентиляционных клапанов необходимо руководствоваться решением "Принцип размещения радиаторов, приточных вентиляционных клапанов, кондиционеров".
При "окнах в пол" стеновой клапан устанавливать над радиатором отопления.
Клапан приточный установить согласно узлу в конструкторе. (ссылка)</t>
  </si>
  <si>
    <t>8.2.22</t>
  </si>
  <si>
    <t>Для систем общеобменной вентиляции квартир последнего этажа и для кухонь-ниш предусмотреть канальные бытовые вентиляторы.
Канальные бытовые вентиляторы.
Вентилятор расположить в обслуживаемом помещении.</t>
  </si>
  <si>
    <t>8.3 Вентиляция противодымная</t>
  </si>
  <si>
    <t>Систему дымоудаления принять в соответствии с действующими нормативами.
Для здании с лестничной клеткой типа Л1 длина межквартирного коридора менее 12м предусмотреть системы:
- дымоудаления из коридора нижнего этажа;
- компенсации дымоудаления нижнего этажа.
Для здании с лестничной клеткой типа Л1 длина межквартирного коридора более 12м предусмотреть системы:
- дымоудаления из коридора нижнего этажа;
- компенсации дымоудаления нижнего этажа;
- дымоудаление из межквартирного коридора;
- компенсацию дымоудаления межквартирного коридора.
Для зданий с лестничной клеткой типа Н3:
- дымоудаление из коридора нижнего этажа;
- компенсация дымоудаления нижнего этажа;
- дымоудаление из межквартирного коридора;
- компенсация дымоудаление межквартирного коридора;
- подпор в тамбур-шлюз;
- подпор в пожаробезопасную зону;
- подпор в лифтовую шахту перевозки пожарных подразделений.
Для зданий с лестничной клеткой типа Н2+Н3:
- дымоудаление из коридора нижнего этажа;
- компенсация дымоудаления нижнего этажа;
- дымоудаление из межквартирного коридора;
- компенсацию дымоудаления межквартирного коридора;
- подпор в тамбур-шлюз;
- подпор в пожаробезопасную зону;
- подпор в лифтовую шахту перевозки пожарных подразделений;
- подпор в лестничную клетку.
Система состоит:
- решетки декоративные;
- клапан нормально закрытый;
- вентиляционная установка;
- воздуховоды из оцинкованной стали. 
Производители: согласно вендор листу
Клапан дымоудаления из межквартирного коридора необходимо устанавливать в верхней зоне коридора не ниже дверного проема.
Расстояние между низом клапана дымоудаления и верхом клапана компенсации дымоудаления не менее 1,5м.
Клапан компенсации дымоудаления расположить в нижней зоне на отметке не ниже 0,2м от уровня чистого пола.
Подпор в лестничную клетку и пожаробезопасную зону предусмотреть в верхнюю зону.</t>
  </si>
  <si>
    <t>Противодымная вентиляция Паркинг</t>
  </si>
  <si>
    <t xml:space="preserve">Для всех паркингов предусмотреть противодымную систему вентиляции. 
Система противодымной вытяжной вентиляции функционально совмещенная с общеобменной.
Система состоит: 
- воздуховоды из оцинкованной стали;
- клапан нормально закрытый;
- вентиляционные сетки;
- клапан избыточного давления;
- воздухозаборная решетка;
- вентиляционная установка.
Принять минимальное количество дымоприемных устройств при соблюдении следующих условий:
- радиус действия 18 м;
- площадь помещения, обслуживаемая одним дымоприемным устройством 1000 м².
Скорость движения удаляемого (выбрасываемого) воздуха принять не более 12м/с или не более 20м/с при давлении не более 1000 Па.
Приоритет расположения воздуховодов - по центру автостоянки. 
Вентилятор дымоудаления установить в венткамере нижнего этажа (подвала). Выброс обеспечить через решетки, расположенные в стене верхнего этажа (чердака).
Подпор воздуха в тамбур - шлюзы парно - последовательно расположенные при входе в паркинг предусмотреть от осевого вентилятора установленного под потолком тамбур шлюза. Воздухозаборную решетку расположить под потолком дворовой входной группы.
Компенсация воздуха через клапан избыточного давления, установленные в нижней части тамбур шлюзов.
Дымоприемные устройства (сетки) расположить под потолком автостоянки.
</t>
  </si>
  <si>
    <t>8.3.3</t>
  </si>
  <si>
    <t>Осевой вентилятор в комплекте с ответными фланцами, гибкими вставками, виброизоляторами и т.д. 
При расположении оборудования снаружи здания учитывать его климатическое исполнение. 
Оборудование разместить в вентиляционной камере.</t>
  </si>
  <si>
    <t>8.3.4</t>
  </si>
  <si>
    <t>Магистраль воздуховодов противодымной вентиляции Паркинг</t>
  </si>
  <si>
    <t xml:space="preserve">Воздуховоды принять из листовой стали, класс герметичности "В" с покрытием комплексной огнезащитной системой. Предел огнестойкости в соответствии с действующими нормативами. При необходимости теплоизолировать.
Толщина стенок прямоугольных воздуховодов и фасонных изделий:
С огнезащитным покрытием
- от 100х100 до 2000х2000 - 1,0 мм.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Приоритет расположения воздуховодов - по периметру автостоянки. 
</t>
  </si>
  <si>
    <t>8.3.5</t>
  </si>
  <si>
    <t>Воздуховоды применить из листовой стали, класс герметичности "В" с покрытием комплексной огнезащитной системой. Предел огнестойкости в соответствии с действующими нормативами.
При необходимости теплоизолировать.
Толщина стенок прямоугольных воздуховодов и фасонных изделий:
С огнезащитным покрытием
- от 100х100 до 1000х1000 включительно - 0,8 мм,
- от 1000х1050 до 2000х2000 - 0,9 мм.
Для системы дымоудаления на типовом этаже принять следующие сечения
Для 28 метров:
- Дымоудаление 1400х350
- Коменсация дымоудаления 600х450
- ПБЗ (на открытую дверь) 1200х300
- ПБЗ (на закрытую дверь) 300х300
Для 50 метров (в квартале):
- Дымоудаление 1400х400
- Коменсация дымоудаления 600х450
- ПБЗ (на открытую дверь) 1200х300
- ПБЗ (на закрытую дверь) 300х300
Для 50 метров (башня):
- Дымоудаление 1400х400
- Коменсация дымоудаления 600х450
- ПБЗ (на открытую дверь) 350х1200
- ПБЗ (на закрытую дверь) 300х300
Для 75 метров:
- Дымоудаление 1400х400
- Коменсация дымоудаления 600х450
- ПБЗ (на открытую дверь) 350х1200
- ПБЗ (на закрытую дверь) 300х300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Транзитные воздуховоды систем проложить в инженерных нишах.</t>
  </si>
  <si>
    <t>8.3.6</t>
  </si>
  <si>
    <t>Принципиальная схема стояков противодымной вентиляции Паркинг</t>
  </si>
  <si>
    <t xml:space="preserve">Воздуховоды принять из листовой стали, класс герметичности "В" с покрытием комплексной огнезащитной системой. Предел огнестойкости в соответствии с действующими нормативами. При необходимости теплоизолировать.
Толщина стенок прямоугольных воздуховодов и фасонных изделий:
С огнезащитным покрытием
- от 100х100 до 2000х2000 - 1,0 мм.
Соотношение сторон воздуховодов и фасонных изделий прямоугольных сечений не должно превышать 1 к 4.
Стороны воздуховода должны быть кратны 50 мм (исключение переходы к оборудованию).
Фасонные изделия воздуховодов применить:
- отводы под углами 15°/45°/90°;
- переходы длиной: 300 мм/500 мм;
- тройники, использовать врезки только при техническом обосновании и отсутствие возможности использования тройника, а также если их применение не влечет значительного увеличения аэродинамического сопротивления.
Транзитные воздуховоды систем проложить в инженерных нишах.
</t>
  </si>
  <si>
    <t>8.3.7</t>
  </si>
  <si>
    <t>Для вытяжных систем противодымной вентиляции принять декоративные регулируемые решетки.
Для приточных систем принять наружные решетки нерегулируемые.
Вытяжные и приточные решетки расположить в обслуживаемом помещении.
Наружные приточные решетки на высоте не менее 2м от уровня земли.</t>
  </si>
  <si>
    <t>8.3.8</t>
  </si>
  <si>
    <t>8.3.9</t>
  </si>
  <si>
    <t>Предусмотреть в соответствии с действующими нормативами.
Принять нормально закрытый клапан с электроприводом напряжением 220В в общепромышленном и морозостойком исполнении.
Клапан расположить в обслуживаемом помещении в общепромышленном исполнении, у вентилятора - морозостойкий.</t>
  </si>
  <si>
    <r>
      <rPr>
        <sz val="8"/>
        <rFont val="Arial"/>
      </rPr>
      <t>Для коммерческой части предусмотреть систему кондиционирования, установка наружных и внутренних блоков предусматривается силами собственника.
Наружный блок разместить в типовой раме кондиционирования над входной группой коммерческого помещения согласно стандарту "</t>
    </r>
    <r>
      <rPr>
        <u/>
        <sz val="8"/>
        <color rgb="FF1155CC"/>
        <rFont val="Arial"/>
      </rPr>
      <t>Кондиционирование коммерческих помещений</t>
    </r>
    <r>
      <rPr>
        <sz val="8"/>
        <rFont val="Arial"/>
      </rPr>
      <t xml:space="preserve"> ".
Также предусмотреть нишу в фасаде с выбросом на улицу через решетку в витраже для размещения конденсатора от ЦХМ и дополнительные наружные блоки для помещений с площадью более 250 м² и назначением:
- супермаркет;
- минимаркет;
- ресторан;
- кафе (с кухней).
Отвод предусмотреть:
- при расположении блока кондиционирования в раме над входной группой - силами застройщиками в утеплителе по фасаду;
- при размещении ЦХМ в нише - силами собственника в систему канализации через "разрыв струи" и установкой гидрозатвора.
Обозначить места установки кондиционеров на планах АР в рабочей документации.</t>
    </r>
  </si>
  <si>
    <t>8.5 Тепломеханическая часть (ИТП)</t>
  </si>
  <si>
    <t>Для всего здания принять один ИТП блочного типа.
Подключение потребителей тепла:
Узел системы горячего водоснабжения:
Горячее водоснабжение - по независимой, закрытой двуступенчатой схеме, через пластинчатый теплообменник без резервирования. 
Температура воды в системе горячего водоснабжения 65°С; 
Теплообменник единый на жилую и коммерческую часть здания.
Узел системы отопления:
Системы отопления - подключается по независимой схеме через пластинчатый теплообменник с резервом 100%. 
Теплоноситель вода с параметрами 80/60 град.С.
Теплообменник единый на жилую и коммерческую часть здания.
Узел теплоснабжения вентиляции:
Присоединение системы вентиляции выполнить подключить к коллектору отопления отдельной веткой с температурным графиком 80/60.
В разделе автоматизация ИТП предусмотреть контроллер с возможностью подключения системы диспетчеризации, управление насосным оборудованием, управлением регулирующими клапанами по температуре, регулирование системы подпитки (включая повысительные насосы).
ИТП состоит:
- Блоки, пластинчатые теплообменники, насосы принят в соответствие со стандартом оборудование ИТП (Ссылка).
- Трубопроводы принят в соответствие со стандартом обвязка ИТП (Ссылка).
Листы подбора оборудования приложить к проекту.
Производители: согласно вендор листу.
ИТП расположить в помещение нижнего этажа у наружной стены здания (в самой высокой секции квартала) ближе к вводу тепловых сетей. 
Полный состав ИТП см. решения "Оборудование ИТП" (ссылка)</t>
  </si>
  <si>
    <t>8.5.2</t>
  </si>
  <si>
    <t>В составе ИТП предусмотреть блоки заводского изготовления.
Блоки:
- блок узла ввода (теплового ввода);
- блок ГВС (1 зона, 2 зона);
- блок отопления (1 зона, 2 зона);
- блок вентиляции;
- блок узла учета тепловой энергии;
- блок узла подпитки;
- блок коллектора отопления;
- блок коллектора ГВС;
- блок автоматизации (шкаф).
Пластинчатый теплообменник:
Разборные пластинчатые теплообменники.
При расчете пластинчатого теплообменника учитывать фактический температурный график в данном районе строительства предусмотреть 20% запас поверхности нагрева. 
На каждом присоединении к пластинчатому теплообменнику после запорной арматуры предусмотреть штуцер с шаровым краном для промывки.
Листы подбора оборудования приложить к проекту.
Насосы:
Для системы отопления предусмотреть насос со 100% резервом и частотным регулированием.
Для системы ГВС предусмотреть насос со 100% резервом.
Оборудование расположить в помещении ИТП.</t>
  </si>
  <si>
    <t>8.5.3</t>
  </si>
  <si>
    <t>Трубопроводы принят из стальной неоцинкованной трубы по ГОСТ 3262-75* и стальной прямошовной трубы по ГОСТ 10704-91.
Диаметр и толщину стенки трубопроводов принять:
- стальных водогазопроводных 15х2,8; 20х2,8; 25х3,2; 32х3,2; 40х3,5 с антикоррозионным покрытием для системы хозяйственно-питьевого водоснабжения;
- стальных прямошовных 57х3,5; 76х3,5; 89х4,0; 108х4,0; 133х4,5; 159х4,5; 219х6,0 с антикоррозионным покрытием для системы хозяйственно-питьевого водоснабжения.
Неоцинкованные без антикоррозионного покрытия для системы отопления.
Трубопроводы в тепловой изоляции - фольгированные цилиндры из минеральной ваты толщиной 30, 40, 50 мм в соответствии с температурным графиком теплоносителя (подтвердить расчетом).
Применять приварные отводы стальных трубопроводов под углами 15°/45°/90°;
Антикоррозийная защита: 
- трубопроводы: краска БТ-177 ГОСТ 5631-79 в два слоя, грунт ГФ-021 ГОСТ 25129-82 в один слой. 
На трубопроводах применить неподвижные и скользящие опоры.
Запорная и регулирующая арматура:
Тип присоединения и материал запорной и регулирующей арматуры: 
- муфтовое соединение - DN15 - DN40 - латунь;
- фланцевое соединение - DN50 и более - чугун.
Обвязку ИТП выполнить в помещении нижнего этажа.</t>
  </si>
  <si>
    <t>8.6 Узел коммерческого учета тепловой энергии (УКУТ)</t>
  </si>
  <si>
    <t>На вводе в индивидуальный тепловой пункт предусмотреть узел ввода с узлом коммерческого учета тепловой энергии и теплоносителя.
В разделе автоматизация ИТП предусмотреть контроллер с возможностью подключения системы диспетчеризации, управление насосным оборудованием, управлением регулирующими клапанами по температуре, регулирование системы подпитки (включая повысительные насосы).
Узел ввода состоит из:
- стальной запорной арматуры;
- грязевиков;
- сетчатых и магнитных фильтр;
Узел коммерческого учета тепловой энергии состоит из:
- электронные теплосчетчики с с возможностью подключения системы диспетчеризации, ультразвуковыми расходомерами;
- электромагнитные расходомеры;
- датчики давления;
- термопреобразователи и тепловычислители.
Производители: согласно вендор листу.
Узел вода и узел коммерческого учета тепловой энергии расположить в помещении индивидуального теплового пункта.
Предусмотреть учет тепловой энергии: 
- на вводе в здании; 
- на линии подпитки системы отопления, подключенной по независимой схеме через пластинчатый теплообменник. 
Расходомеры устанавливаются на подающем и обратном трубопроводах ИТП и подпиточном трубопроводе В1.</t>
  </si>
  <si>
    <t>9 Слаботочные сети</t>
  </si>
  <si>
    <t>9.1 Пожарная сигнализация, система оповещения и управления эвакуацией</t>
  </si>
  <si>
    <t>В соответствии с вендор листом выбрать производителя. Согласовать выбор производителя на объекте с Заказчиком. 
Предусмотреть систему охлаждения (кондиционирования) в помещении Сетей связи для поддержания температурного режима 18-25 градусом с учетом тепловыделений оборудования слаботочных сетей.
Требования к составу раздела:
- общие данные;
- структурные схемы;
- схемы электрического подключения оборудования;
- расчет источников питания; 
- для оповещения предоставить акустический расчет;
- экспликация помещений на планах;
- алгоритм принятия решения о пожаре;
- спецификация.
- маркировка всего оборудования (элементам системы пожарной сигнализации и оповещения присвоить адреса) в соответствии с буквенными обозначениями, принятыми по нормативной документации, а также соответствии с легендой данного проекта;
- все видимые элементы систем разместить по дизайн-проекту / согласовать с Заказчиком.
В зависимости от морфотипа и назначения предусмотреть систему оповещения и управления эвакуацией 1 тип (СОУЭ), 2 тип (СОУЭ), 3 тип (СОУЭ), 4 тип (СОУЭ).
Выполнить построение системы пожарной сигнализации и оповещения в соответствии с действующими нормативными документами.
Систему пожарной сигнализации и систему оповещения и эвакуации выполнить на жилых этажах, технических этажах, коммерческих помещениях, паркинге.</t>
  </si>
  <si>
    <t>9.1.2</t>
  </si>
  <si>
    <r>
      <rPr>
        <sz val="8"/>
        <rFont val="Arial"/>
      </rPr>
      <t xml:space="preserve">Для Жилой части, МОП, Технических этажей зданий до 75 метров предусмотреть проектом адресную систему пожарной сигнализации. Принять 1 тип СОУЭ с установкой световых оповещателей. 
Предусмотеть связь с центральной диспетчерской микрорайона. 
Выполнить деление объекта на ЗКПС. В отдельные ЗКПС должны быть выделены:
- квартиры;
- эвакуационные коридоры (коридоры безопасности), в которые предусмотрен выход из различных пожарных отсеков;
- пространства за фальшпотолками;
- пространства под фальшполами.
ЗКПС должны одновременно удовлетворять следующим условиям:
- площадь одной ЗКПС не должна превышать 2000 м²;
- одна ЗКПС должна контролироваться не более чем 32 ИП;
- одна ЗКПС должна включать в себя не более пяти смежных и изолированных помещений, расположенных на одном этаже объекта и в одном пожарном отсеке, при этом изолированные помещения должны иметь выход в общий коридор, холл, вестибюль и т. п., а их общая площадь не должна превышать 500 м².
Единичная неисправность в линии связи ЗКПС не должна приводить к одновременной потере автоматических и ручных ИП, а также к нарушению работоспособности других ЗКПС.
ПС жилой части, МОП, нижнего и верхнего этажа состоит из:
- </t>
    </r>
    <r>
      <rPr>
        <u/>
        <sz val="8"/>
        <color rgb="FF1155CC"/>
        <rFont val="Arial"/>
      </rPr>
      <t>источника</t>
    </r>
    <r>
      <rPr>
        <sz val="8"/>
        <rFont val="Arial"/>
      </rPr>
      <t xml:space="preserve"> ;
- </t>
    </r>
    <r>
      <rPr>
        <u/>
        <sz val="8"/>
        <color rgb="FF1155CC"/>
        <rFont val="Arial"/>
      </rPr>
      <t>магистрали</t>
    </r>
    <r>
      <rPr>
        <sz val="8"/>
        <rFont val="Arial"/>
      </rPr>
      <t xml:space="preserve"> ;
- </t>
    </r>
    <r>
      <rPr>
        <u/>
        <sz val="8"/>
        <color rgb="FF1155CC"/>
        <rFont val="Arial"/>
      </rPr>
      <t>секционного распределителя</t>
    </r>
    <r>
      <rPr>
        <sz val="8"/>
        <rFont val="Arial"/>
      </rPr>
      <t xml:space="preserve"> ;
- </t>
    </r>
    <r>
      <rPr>
        <u/>
        <sz val="8"/>
        <color rgb="FF1155CC"/>
        <rFont val="Arial"/>
      </rPr>
      <t>вертикальной разводки</t>
    </r>
    <r>
      <rPr>
        <sz val="8"/>
        <rFont val="Arial"/>
      </rPr>
      <t xml:space="preserve"> ;
- </t>
    </r>
    <r>
      <rPr>
        <u/>
        <sz val="8"/>
        <color rgb="FF1155CC"/>
        <rFont val="Arial"/>
      </rPr>
      <t>этажного распределителя</t>
    </r>
    <r>
      <rPr>
        <sz val="8"/>
        <rFont val="Arial"/>
      </rPr>
      <t xml:space="preserve"> ;
- </t>
    </r>
    <r>
      <rPr>
        <u/>
        <sz val="8"/>
        <color rgb="FF1155CC"/>
        <rFont val="Arial"/>
      </rPr>
      <t>горизонтальной разводки</t>
    </r>
    <r>
      <rPr>
        <sz val="8"/>
        <rFont val="Arial"/>
      </rPr>
      <t xml:space="preserve"> ;
- </t>
    </r>
    <r>
      <rPr>
        <u/>
        <sz val="8"/>
        <color rgb="FF1155CC"/>
        <rFont val="Arial"/>
      </rPr>
      <t>потребителя</t>
    </r>
    <r>
      <rPr>
        <sz val="8"/>
        <rFont val="Arial"/>
      </rPr>
      <t xml:space="preserve"> .
Оборудование и устройства выбрать согласно вендор листу. Кабель для системы пожарной сигнализации предусмотреть не распространяющий горение, огнестойкий типа - FRLS, в составе сертифицированной ОКЛ.
Расположить оборудование и кабельные линии в соответсвии с действующими нормативными документами и требованиями технического паспорта и руководства по эксплуатации.
При построении системы использовать типовые планы расстановки оборудования, принципиальные схемы и решения, узлы крепления, Альбом заготовок СС. Дополнительно при необходимости согласовать с Заказчиком.
Точные привязки элементов указаны </t>
    </r>
    <r>
      <rPr>
        <u/>
        <sz val="8"/>
        <color rgb="FF1155CC"/>
        <rFont val="Arial"/>
      </rPr>
      <t>стандартом источника</t>
    </r>
    <r>
      <rPr>
        <sz val="8"/>
        <rFont val="Arial"/>
      </rPr>
      <t xml:space="preserve"> , </t>
    </r>
    <r>
      <rPr>
        <u/>
        <sz val="8"/>
        <color rgb="FF1155CC"/>
        <rFont val="Arial"/>
      </rPr>
      <t>стандартом магистрали</t>
    </r>
    <r>
      <rPr>
        <sz val="8"/>
        <rFont val="Arial"/>
      </rPr>
      <t xml:space="preserve"> , </t>
    </r>
    <r>
      <rPr>
        <u/>
        <sz val="8"/>
        <color rgb="FF1155CC"/>
        <rFont val="Arial"/>
      </rPr>
      <t>стандартом распределителя секционного</t>
    </r>
    <r>
      <rPr>
        <sz val="8"/>
        <rFont val="Arial"/>
      </rPr>
      <t xml:space="preserve"> , </t>
    </r>
    <r>
      <rPr>
        <u/>
        <sz val="8"/>
        <color rgb="FF1155CC"/>
        <rFont val="Arial"/>
      </rPr>
      <t>стандартом разводки вертикальной</t>
    </r>
    <r>
      <rPr>
        <sz val="8"/>
        <rFont val="Arial"/>
      </rPr>
      <t xml:space="preserve"> , </t>
    </r>
    <r>
      <rPr>
        <u/>
        <sz val="8"/>
        <color rgb="FF1155CC"/>
        <rFont val="Arial"/>
      </rPr>
      <t>стандартом распредителя этажного</t>
    </r>
    <r>
      <rPr>
        <sz val="8"/>
        <rFont val="Arial"/>
      </rPr>
      <t xml:space="preserve"> , </t>
    </r>
    <r>
      <rPr>
        <u/>
        <sz val="8"/>
        <color rgb="FF1155CC"/>
        <rFont val="Arial"/>
      </rPr>
      <t>стандартом разводки горизонтальной</t>
    </r>
    <r>
      <rPr>
        <sz val="8"/>
        <rFont val="Arial"/>
      </rPr>
      <t xml:space="preserve"> , </t>
    </r>
    <r>
      <rPr>
        <u/>
        <sz val="8"/>
        <color rgb="FF1155CC"/>
        <rFont val="Arial"/>
      </rPr>
      <t>стандартом потребителя</t>
    </r>
    <r>
      <rPr>
        <sz val="8"/>
        <rFont val="Arial"/>
      </rPr>
      <t xml:space="preserve"> .</t>
    </r>
  </si>
  <si>
    <t>9.1.3</t>
  </si>
  <si>
    <r>
      <rPr>
        <sz val="8"/>
        <rFont val="Arial"/>
      </rPr>
      <t xml:space="preserve">Для Жилой части, МОП, Технических этажей зданий от 75 метров Предусмотреть проектом адресную систему пожарной сигнализации. Принять 4 тип СОУЭ с установкой световых и речевых оповещателей, эвакуационных знаков пожарной безопасности, переговорной связи с диспетчером, обратной связи зон пожарного оповещения с помещением пожарного поста-диспетчерской.
Предусмотеть связь с центральной диспетчерской микрорайона.
ПС жилой части, МОП, нижнего и верхнего этажа состоит из:
- </t>
    </r>
    <r>
      <rPr>
        <u/>
        <sz val="8"/>
        <color rgb="FF1155CC"/>
        <rFont val="Arial"/>
      </rPr>
      <t>источника</t>
    </r>
    <r>
      <rPr>
        <sz val="8"/>
        <rFont val="Arial"/>
      </rPr>
      <t xml:space="preserve"> ;
- </t>
    </r>
    <r>
      <rPr>
        <u/>
        <sz val="8"/>
        <color rgb="FF1155CC"/>
        <rFont val="Arial"/>
      </rPr>
      <t>магистрали</t>
    </r>
    <r>
      <rPr>
        <sz val="8"/>
        <rFont val="Arial"/>
      </rPr>
      <t xml:space="preserve"> ;
- </t>
    </r>
    <r>
      <rPr>
        <u/>
        <sz val="8"/>
        <color rgb="FF1155CC"/>
        <rFont val="Arial"/>
      </rPr>
      <t>секционного распределителя</t>
    </r>
    <r>
      <rPr>
        <sz val="8"/>
        <rFont val="Arial"/>
      </rPr>
      <t xml:space="preserve"> ;
- </t>
    </r>
    <r>
      <rPr>
        <u/>
        <sz val="8"/>
        <color rgb="FF1155CC"/>
        <rFont val="Arial"/>
      </rPr>
      <t>вертикальной разводки</t>
    </r>
    <r>
      <rPr>
        <sz val="8"/>
        <rFont val="Arial"/>
      </rPr>
      <t xml:space="preserve"> ;
- </t>
    </r>
    <r>
      <rPr>
        <u/>
        <sz val="8"/>
        <color rgb="FF1155CC"/>
        <rFont val="Arial"/>
      </rPr>
      <t>этажного распределителя</t>
    </r>
    <r>
      <rPr>
        <sz val="8"/>
        <rFont val="Arial"/>
      </rPr>
      <t xml:space="preserve"> ;
- </t>
    </r>
    <r>
      <rPr>
        <u/>
        <sz val="8"/>
        <color rgb="FF1155CC"/>
        <rFont val="Arial"/>
      </rPr>
      <t>горизонтальной разводки</t>
    </r>
    <r>
      <rPr>
        <sz val="8"/>
        <rFont val="Arial"/>
      </rPr>
      <t xml:space="preserve"> ;
- </t>
    </r>
    <r>
      <rPr>
        <u/>
        <sz val="8"/>
        <color rgb="FF1155CC"/>
        <rFont val="Arial"/>
      </rPr>
      <t>потребителя</t>
    </r>
    <r>
      <rPr>
        <sz val="8"/>
        <rFont val="Arial"/>
      </rPr>
      <t xml:space="preserve"> . 
Выполнить деление объекта на ЗКПС. В отдельные ЗКПС должны быть выделены:
- квартиры;
- эвакуационные коридоры (коридоры безопасности), в которые предусмотрен выход из различных пожарных отсеков;
- пространства за фальшпотолками;
- пространства под фальшполами.
ЗКПС должны одновременно удовлетворять следующим условиям:
- площадь одной ЗКПС не должна превышать 2000 м²;
- одна ЗКПС должна контролироваться не более чем 32 ИП;
- одна ЗКПС должна включать в себя не более пяти смежных и изолированных помещений, расположенных на одном этаже объекта и в одном пожарном отсеке, при этом изолированные помещения должны иметь выход в общий коридор, холл, вестибюль и т. п., а их общая площадь не должна превышать 500 м².
Единичная неисправность в линии связи ЗКПС не должна приводить к одновременной потере автоматических и ручных ИП, а также к нарушению работоспособности других ЗКПС.
Оборудование и устройства выбрать согласно вендор листу. Кабель для системы пожарной сигнализации предусмотреть не распространяющий горение, огнестойкий типа - FRLS, в составе сертифицированной ОКЛ.
Расположить оборудование и кабельные линии в соответсвии с действующими нормативными документами, требованиями технического паспорта и руководства по эксплуатации.</t>
    </r>
  </si>
  <si>
    <t>9.1.4</t>
  </si>
  <si>
    <r>
      <rPr>
        <sz val="8"/>
        <rFont val="Arial"/>
      </rPr>
      <t xml:space="preserve">Для Коммерческих помещений предусмотреть проектом неадресную систему пожарной сигнализации. Принять 2 тип СОУЭ с установкой световых и звуковых оповещателей. 
Предусмотеть связь с ППКУП жилых секций с помощью адресной метки пожарной АМП-4.
Оборудование и устройства выбрать согласно вендор листу. Кабель для системы пожарной сигнализации предусмотреть не распространяющий горение, огнестойкий типа - FRLS, в составе сертифицированной ОКЛ. Прокладку кабельных диний выполнить открыто, в гофрированной трубе ПВХ d=20 мм.
ПС коммерческих помещений состоит из:
- </t>
    </r>
    <r>
      <rPr>
        <u/>
        <sz val="8"/>
        <color rgb="FF1155CC"/>
        <rFont val="Arial"/>
      </rPr>
      <t>источника</t>
    </r>
    <r>
      <rPr>
        <sz val="8"/>
        <rFont val="Arial"/>
      </rPr>
      <t xml:space="preserve"> ;
- </t>
    </r>
    <r>
      <rPr>
        <u/>
        <sz val="8"/>
        <color rgb="FF1155CC"/>
        <rFont val="Arial"/>
      </rPr>
      <t>горизонтальной разводки</t>
    </r>
    <r>
      <rPr>
        <sz val="8"/>
        <rFont val="Arial"/>
      </rPr>
      <t xml:space="preserve"> ;
- </t>
    </r>
    <r>
      <rPr>
        <u/>
        <sz val="8"/>
        <color rgb="FF1155CC"/>
        <rFont val="Arial"/>
      </rPr>
      <t>потребителя</t>
    </r>
    <r>
      <rPr>
        <sz val="8"/>
        <rFont val="Arial"/>
      </rPr>
      <t xml:space="preserve"> .
Расположить оборудование и кабельные линии в соответсвии с действующими нормативными документами и требованиями технического паспорта и руководства по эксплуатации.</t>
    </r>
  </si>
  <si>
    <t>9.1.5</t>
  </si>
  <si>
    <t>Пожарная сигнализация, система оповещения и управления эвакуацией. Паркинг (Рубеж)</t>
  </si>
  <si>
    <t>Для Паркинга предусмотреть проектом адресную систему пожарной сигнализации. Принять 3 тип СОУЭ с установкой световых и речевых оповещателей. 
Предусмотеть связь с ППКУП жилых секций кольцевой (резервной) линией интерфейса.
Оборудование и устройства выбрать согласно вендор листу. Паркинг оборудовать извещателями дымовыми пожарными адресными. Кабель для системы пожарной сигнализации предусмотреть не распространяющий горение, огнестойкий типа - FRLS, в составе сертифицированной ОКЛ. Прокладку кабельных диний выполнить открыто, в гофрированной трубе ПВХ d=20 мм.
ПС паркинга состоит из:
- источника;
- горизонтальной разводки;
- потребителя. 
Расположить оборудование и кабельные линии в соответсвии с действующими нормативными документами и требованиями технического паспорта и руководства по эксплуатации.
При построении системы использовать типовые планы расстановки оборудования, принципиальные схемы и решения, узлы крепления, Альбом заготовок СС. Дополнительно при необходимости согласовать с Заказчиком.
Точные привязки элементов указаны стандартом источника, стандартом разводки горизонтальной, стандартом потребителя.</t>
  </si>
  <si>
    <t>9.1.6</t>
  </si>
  <si>
    <t>Систему пожарной сигнализации и систему оповещения и эвакуации выполнить на верхних, типовых, особых и нижних этажах.
В качестве центрального головного прибора пожарной сигнализации и оповещения выбрать ЦПИУ «Рубеж».
Источник системы пожарной и системы оповещения и эвакуации людей при пожаре расположить в помещении Диспетчерской.
Размещение и количество центральных приборов на микрорайон согласовать с Заказчиком дополнительно.</t>
  </si>
  <si>
    <t>9.1.7</t>
  </si>
  <si>
    <t>Включение коммерческих помещений в общую систему пожарной сигнализации здания выполнить с учетом сохранения работоспособности общей системы в случае неисправности СПС коммерческого помещения. 
Адресную метку АМП-4 включить в адресную линию связи жилого дома.
Систему разместить на стене в коммерческом помещении.
Головное оборудование пожарной сигнализации расположить в соответствии с Типовым размещением оборудования сиситемы пожарной сигнализации в коммерческом помещении.</t>
  </si>
  <si>
    <t>9.1.8</t>
  </si>
  <si>
    <t>В паркинге предусмотреть проектом адресную систему пожарной сигнализации. 
Оборудование:
- прибор приёмно-контрольный и управления пожарный (ППКУП) предусмотреть для паркинга. 
- резервированный источник питания предусмотреть в электрощитовом помещении паркинга. Емкость и количество определить проектом.
- прибор управления оповещением пожарный.
Оборудование расположить в помещении Электрощитовой паркинга.
Размещение и точные привязки выполнить с учетом размещения оборудования ЭЛ. Согласовать со смежным разделом.</t>
  </si>
  <si>
    <t>9.1.9</t>
  </si>
  <si>
    <t>Магистраль выполнена кабелем интерфейса и кольцевой адресной линией. Для одиночных кабелей принять адресную линию связи.
Способы прокладки кабеля:
- прокладку кабелей до конечных извещателей и устройств нижнего этажа выполнить открыто в гофрированной трубе ПВХ d=20 мм;
- магистральную прокладку кабелей выполнить в металлическом неперфорированном лотке (лоток учтен в разделе ККС);
- кольцевую линию интерфейса проложить в гофрированной трубе ПВХ d=20 мм либо в лотке линий СПЗ с установкой перегородки.
Выполнить прокладку кабелей по стенам и потолкам с соблюдением действующих нормативных документов.
Размещение магистрали выполнить в соответствии с типовым размещением магистральных сетей нижнего этажа с учетом прокладки трасс смежных разделов.</t>
  </si>
  <si>
    <t>9.1.10</t>
  </si>
  <si>
    <t>Для каждой секции принять самостоятельный ППКУП и резервированный источник питания. 
Оборудование: 
- прибор приёмно-контрольный и управления пожарный (ППКУП) R3-Рубеж 2ОП; 
- резервированный источник питания. РИП установить в зоне размещения секционного оборудования вблизи инженерной ниши. Емкость и количество определить проектом; 
- для связи с центральной диспетчерской микрорайона предусмотреть установку модуль сопряжения в секции с помещением Сетей связи; 
- блок индикации и управления предусмотреть для квартала в секции с помещением Сетей связи. 
Оборудование установить в зоне размещения секционного оборудования вблизи инженерной ниши. В секции с помещением Сетей связи установить оборудование в данного помещение. 
Данные технические средства следует размещать таким образом, чтобы высота от уровня пола до органов управления и индикации была от 0,75 до 1,8 м. При отсутствии органов управления на устройствах, устанавливаемых вне пожарного поста, высота их установки не регламентируется. При смежном расположении нескольких приборов, функциональных модулей они должны размещаться в соответствии с ТД на них. Если необходимые данные не указаны в ТД, то горизонтальное и вертикальное расстояния между ними должны быть не менее 50 мм.</t>
  </si>
  <si>
    <t>9.1.11</t>
  </si>
  <si>
    <t>Выполнить вертикальную разводку через перекрытия.
Способы прокладки кабеля:
- вертикальную стояковую разводку выполнить открыто в лестничном лотке 100х300 мм, обратную кольцевую адресную линию проложить в гофрированной трубе ПВХ d=20 мм.
Материалы и кабели расположить в этажной нише СПЗ
Расположение выполнить согласно альбому заготовок слаботочных сетей.</t>
  </si>
  <si>
    <t>9.1.11.1</t>
  </si>
  <si>
    <t>Префабрицированные заготовки стояков ПС</t>
  </si>
  <si>
    <t>Системы:
- Пожарной сигнализации,
- Оповещения и управления эвакуацией,
Проектировать, производить и монтировать стояки унифицированными префабрицированными изделиями заводского изготовления (в спецификацию включать количество изделий с маркировкой согласно альбома рабочих чертежей заготовок).</t>
  </si>
  <si>
    <t>9.1.12</t>
  </si>
  <si>
    <t>Оборудование контролирующее жилой этаж расположить в нише СПЗ. Для первого этажа оборудование расположить на нижнем этаже.
Оборудование:
- адресные релейные модули, включенные в общую систему СПС здания, с контролем цепи от каждого реле до исполнительных устройств на обрыв и короткое замыкание во включенном и выключенном состоянии реле. Использовать для подлючения оборудования оповещения;
- блок контроля и управления исполнительным устройством;
- изолирующие устройства. Для первого этажа изолирующие устройства разместить на нижнем этаже в зоне размещения секционного оборудования.
- резервный источник питания.
Выполнить согласно типовой нише до 50 м.
Привязки оборудования в нишах выполнить в соответствии с альбомом заготовок СС.</t>
  </si>
  <si>
    <t>9.1.13</t>
  </si>
  <si>
    <t>Кабель для системы пожарной сигнализации предусмотреть не распространяющий горение, огнестойкий типа - FRLS, в составе сертифицированной ОКЛ.
Способы прокладки кабеля:
- прокладку кабеля от этажной ниши СПЗ до извещателей МОП выполнить в стяжке пола вышележащего этажа в гофрированной трубе ПНД d=25 мм с протяжкой; 
- опуски к ручным извещателям выполнить скрыто, в штрабах стен либо скрыто в отделочном слое стен; 
- исключить применение кабель-каналов в МОП;
- прокладку кабеля на верхнем и нижнем этажах выполнить в гофрированной трубе d=20мм.
Прокладку кабеля выполнить в в стяжке пола вышележащего этажа.
Выполнить прокладку кабеля по типовой раскладке кабелей системы пожарной сигнализации.</t>
  </si>
  <si>
    <t>9.1.14</t>
  </si>
  <si>
    <t>Выполнить разводку шлейфов безадресную от адресной метки АМП-4.
Кабель шлейфа, питания и оповещения - КПСнг(A)-FRLS 1x2x0,5.
Способы прокладки кабеля:
- прокладку кабеля от устройства контроля и управления до извещателей и устройств выполнить открыто, с креплением к стенам и перекрытиям;
- прокладку кабелей до устройства контроля и управления коммерческого помещения с уровня нижнего этажа выполнить скрыто, в штрабах стен, в гофрированной трубе ПВХ d=20 мм, избегая монолитных участков здания.
В зависимости от размерности коммерческого помещения использовать типовую кабельную разводку системы пожарной сигнализации в коммерческом помещении.</t>
  </si>
  <si>
    <t>9.1.15</t>
  </si>
  <si>
    <t>Кабель для системы пожарной сигнализации предусмотреть не распространяющий горение, огнестойкий типа - FRLS, в составе сертифицированной ОКЛ.
Способы прокладки кабеля:
- прокладку кабеля в пространстве паркинга выполнить открыто, в гофрированной трубе ПВХ d=20 мм.
Разместить прокладку кабеля в пространстве паркинга.
Выполнить прокладку кабеля по типовой прокладке кабелей системы пожарной сигнализации паркинга.</t>
  </si>
  <si>
    <t>9.1.16</t>
  </si>
  <si>
    <t>Использовать оборудование согласно вендор листу.
Предусмотреть в квартирах оборудование и устройства:
- в прихожих квартир установить извещатель пожарный тепловой адресный. Извещатель разместить на перекрытие на расстоянии 0,5 м от входной двери;
- во всех жилых помещениях квартир (кроме санузлов, ванных комнат, душевых и постирочных), в коридорах установить извещатель пожарный дымовой автономный. Извещатель разместить на перекрытии на расстоянии не менее 1 м от вентиляционных отверстий и не менее 0,5 м от осветительных приборов. При невозможности установки на перекрытии извещатель разместить на стене на расстоянии 100 мм от перекрытия.
Предусмотреть в МОП оборудование и устройства:
- извещатель пожарный дымовой адресный установить на перекрытии с учетом дизайн-проекта МОП и зоны покрытия извещателя;
- извещатель пожарный ручной адресный установить на путях эвакуации, у выходов из здания и с этажа на высоте 1,5 м от уровня чистого пола;
- устройство дистанционного пуска системы дымоудаления адресное установить в нише пожарного шкафа, при отсутствии шкафа ВПВ УДП установить на путях эвакуации рядом с ИПР; 
- устройство дистанционного пуска системы автоматического пожаротушения адресное установить в нише пожарного шкафа. 
- электромагнитный замок удержания двери (с кнопкой для отмены фиксации двери) на противопожарной двери из лифтового холла в лестничную клетку.
Предусмотреть на технических этажах оборудование и устройства:
- извещатель пожарный дымовой адресный установить на перекрытии на расстоянии не менее 1 м от вентиляционных отверстий, а также с учетом минимально допустимых расстояний от выступающих строительных конструкций и инженерного оборудования. При невозможности установки на перекрытии извещатель установить на стене на расстоянии 100 мм от перекрытия;
- извещатель пожарный ручной адресный установить на путях эвакуации на высоте 1,5 м от уровня чистого пола;
- блок контроля и управления исполнительным устройством (огнезадерживающий клапан (ОЗК)/клапан дымоудаления(КДУ)) установить в непосредственной близости от клапана/дренчерной завесы);
- шкафы управления систем противодымной вентиляции.
Для СОУЭ 1 типа:
- звуковой оповещатель установить на перекрытии. В МОП расположение оповещателей уточнить в соответствие с дизайн-проектом.
- световые указатели "Выход" установить над дверями эвакуационных выходов с этажей здания, ведущих на путь эвакуации, непосредственно наружу или в безопасную зону. Табло расположить на стене, на высоте 100 мм от верхнего края дверного проема.
Для СОУЭ 4 типа:
- речевой пожарный оповещатель, транслирующий специальный речевой сигнал и (или) текст.
- световой пожарный оповещатель с эвакуационным знаком "Выход".
Рсположение оповещателей:
- речевые пожарные оповещатели установить на перекрытии в зависимости от уровня звукового давления с учетом дизайн-проекта;
- световые указатели "Выход" установить над каждым эвакуационным выходом, на высоте 100 мм от верхнего края дверного проема./
Речевое оповещение МОП выполнить самостоятельной линией.
Выполнить расстановку извещателей и оповещателей согласно методикам расстановки оконечного оборудования пожарной сигнализации.</t>
  </si>
  <si>
    <t>9.1.17</t>
  </si>
  <si>
    <t>Подключение оборудования выполнить к адресной метке пожарной АМП-4. В коммерческих помещениях проектом предусмотерть систему оповещения и управления эвакуацией (СОУЭ) 1-ого типа. Алгоритм работы системы при получении СОУЭ управляющего сигнала от системы пожарной сигнализации.
Подключение звуковых и световых пожарных оповещателей выполнить от устройства контроля и управления коммерческого помещения.
Оборудование:
- устройство контроля и управления установить для каждого коммерческого помещения;
- самостоятельный резервированный источник питания установить для каждого коммерческого помещения.
Извещатели и устройства:
- извещатель пожарный дымовой безадресный установить на перекрытии;
- извещатель пожарный ручной безадресный установить на путях эвакуации, у выходов из здания на высоте 1,5 м от уровня чистого пола;
- устройство коммутационное для отключения инженерного оборудования коммерческого помещения по сигналу системы пожарной сигнализации установить в распределительном электрическом щите коммерческого помещения или в непосредственной близости от него.
Способы оповещения людей о пожаре: 
- звуковой оповещатель пожарной тревоги, воспроизводящий специальный звуковой сигнал (сирену).
Способы управления эвакуацией людей:
- световой пожарный оповещатель (световой указатель) с эвакуационным знаком "Выход"
Расположение оповещателей:
- звуковой оповещатель установить на перекрытии;
- световые указатели "Выход" установить над дверями эвакуационных выходов, ведущих на путь эвакуации, непосредственно наружу или в безопасную зону. Табло расположить на высоте 100 мм от верхнего края дверного проема.
Количество звуковых оповещателей определить исходя из требуемого уровня звукового давления.
В зависимости от размерности коммерческого помещения выбрать расстановку оборудования по типовому размещению оборудования сиситемы пожарной сигнализации в коммерческом помещении.</t>
  </si>
  <si>
    <t>9.1.18</t>
  </si>
  <si>
    <t>В паркинге предусмотреть проектом адресную систему пожарной сигнализации. Речевые пожарные оповещатели разместить в соответствии с акустическим расчетом.
Извещатели и устройства:
- извещатель пожарный дымовой адресный установить на перекрытии на расстоянии не менее 1 м от вентиляционных отверстий, а также с учетом минимально допустимых расстояний от выступающих строительных конструкций и инженерного оборудования; 
- извещатель пожарный ручной адресный установить на путях эвакуации на высоте 1,5 м от уровня чистого пола;
- устройство дистанционного пуска системы дымоудаления адресное установить в нише пожарного шкафа; 
- устройство дистанционного пуска системы автоматического пожаротушения адресное установить в нише пожарного шкафа;
- блок контроля и управления исполнительным устройством (огнезадерживающий клапан (ОЗК)/клапан дымоудаления(КДУ)) установить в непосредственной близости от клапана;
- шкафы управления вентиляцией;
- предусмотреть проектом адресные релейные модули, включенные в общую систему СПС здания. Адресные релейные модули с контролем цепи от каждого реле до исполнительных устройств на обрыв и короткое замыкание во включенном и выключенном состоянии реле. Количество уточнить проектом.
Расположение оповещателей:
- речевые пожарные оповещатели установить на стенах и колоннах паркинга на высоте 150 мм от перекрытия;
- световые указатели "Выход" установить над каждым эвакуационным выходом из паркинга, на высоте 100 мм от верхнего края дверного проема.
Размещение оборудования и приборов выполнить в соответствии с методикой расстановки потребителей системы пожарной сигнализации в паркинге.</t>
  </si>
  <si>
    <t>9.2 Структурированная кабельная система</t>
  </si>
  <si>
    <t>9.2.1</t>
  </si>
  <si>
    <r>
      <rPr>
        <sz val="8"/>
        <rFont val="Arial"/>
      </rPr>
      <t xml:space="preserve">Систему структурированной кабельной системы (СКС) выполнить в соответствии с действующими нормативными документами. Структурные схемы обязательны. Структурные схемы, схему расстановки оборудования и марку оборудования дополнительно согласовать с Заказчиком. 
СКС выполнить по технологии FTTH. 
СКС состоит из: 
- </t>
    </r>
    <r>
      <rPr>
        <u/>
        <sz val="8"/>
        <color rgb="FF1155CC"/>
        <rFont val="Arial"/>
      </rPr>
      <t>источника</t>
    </r>
    <r>
      <rPr>
        <sz val="8"/>
        <rFont val="Arial"/>
      </rPr>
      <t xml:space="preserve">  (магистральные оптические кроссы);
- </t>
    </r>
    <r>
      <rPr>
        <u/>
        <sz val="8"/>
        <color rgb="FF1155CC"/>
        <rFont val="Arial"/>
      </rPr>
      <t>магистрали</t>
    </r>
    <r>
      <rPr>
        <sz val="8"/>
        <rFont val="Arial"/>
      </rPr>
      <t xml:space="preserve">  (кабельная продукция);
- </t>
    </r>
    <r>
      <rPr>
        <u/>
        <sz val="8"/>
        <color rgb="FF1155CC"/>
        <rFont val="Arial"/>
      </rPr>
      <t>разводки вертикальной</t>
    </r>
    <r>
      <rPr>
        <sz val="8"/>
        <rFont val="Arial"/>
      </rPr>
      <t xml:space="preserve">  (кабельный лоток, крепления, кабельная продукция);
- </t>
    </r>
    <r>
      <rPr>
        <u/>
        <sz val="8"/>
        <color rgb="FF1155CC"/>
        <rFont val="Arial"/>
      </rPr>
      <t>распределителя этажного</t>
    </r>
    <r>
      <rPr>
        <sz val="8"/>
        <rFont val="Arial"/>
      </rPr>
      <t xml:space="preserve">  (оборудование в этажной нише);
- </t>
    </r>
    <r>
      <rPr>
        <u/>
        <sz val="8"/>
        <color rgb="FF1155CC"/>
        <rFont val="Arial"/>
      </rPr>
      <t>разводки горизонтальной</t>
    </r>
    <r>
      <rPr>
        <sz val="8"/>
        <rFont val="Arial"/>
      </rPr>
      <t xml:space="preserve">  (трубы, материалы, кабельная продукция);
- </t>
    </r>
    <r>
      <rPr>
        <u/>
        <sz val="8"/>
        <color rgb="FF1155CC"/>
        <rFont val="Arial"/>
      </rPr>
      <t>потребителя</t>
    </r>
    <r>
      <rPr>
        <sz val="8"/>
        <rFont val="Arial"/>
      </rPr>
      <t xml:space="preserve">  (оборудование оконечное).
Магистральные оптические кроссы принимаются в соответствии со стандартом источника.
Кабельная продукция принимается в соответствии со стандартом магистрали.
Крепления, кабельная продукция принимается в соответствии со стандартом разводки вертикальной.
Оборудование в этажной нише принимается в соответствии со стандартом распредителя этажного.
Трубы, материалы, кабельная продукция принимается в соответствии со стандартом разводки горизонтальной.
Оборудование оконечное принимается в соответствии со стандартом потребителя.
СКС расположена в подвале, на жилых этажах, в коммерческих помещениях. Прокладку кабельных трасс СКС выполнить в кабельных лотках, гофрированных трубах, открыто.
Точные привязки элементов указаны </t>
    </r>
    <r>
      <rPr>
        <u/>
        <sz val="8"/>
        <color rgb="FF1155CC"/>
        <rFont val="Arial"/>
      </rPr>
      <t>стандартом источника</t>
    </r>
    <r>
      <rPr>
        <sz val="8"/>
        <rFont val="Arial"/>
      </rPr>
      <t xml:space="preserve"> , </t>
    </r>
    <r>
      <rPr>
        <u/>
        <sz val="8"/>
        <color rgb="FF1155CC"/>
        <rFont val="Arial"/>
      </rPr>
      <t>стандартом магистрали</t>
    </r>
    <r>
      <rPr>
        <sz val="8"/>
        <rFont val="Arial"/>
      </rPr>
      <t xml:space="preserve"> , </t>
    </r>
    <r>
      <rPr>
        <u/>
        <sz val="8"/>
        <color rgb="FF1155CC"/>
        <rFont val="Arial"/>
      </rPr>
      <t>стандартом разводки вертикальной</t>
    </r>
    <r>
      <rPr>
        <sz val="8"/>
        <rFont val="Arial"/>
      </rPr>
      <t xml:space="preserve"> , </t>
    </r>
    <r>
      <rPr>
        <u/>
        <sz val="8"/>
        <color rgb="FF1155CC"/>
        <rFont val="Arial"/>
      </rPr>
      <t>стандартом распредителя этажного</t>
    </r>
    <r>
      <rPr>
        <sz val="8"/>
        <rFont val="Arial"/>
      </rPr>
      <t xml:space="preserve"> , </t>
    </r>
    <r>
      <rPr>
        <u/>
        <sz val="8"/>
        <color rgb="FF1155CC"/>
        <rFont val="Arial"/>
      </rPr>
      <t>стандартом разводки горизонтальной</t>
    </r>
    <r>
      <rPr>
        <sz val="8"/>
        <rFont val="Arial"/>
      </rPr>
      <t xml:space="preserve"> , </t>
    </r>
    <r>
      <rPr>
        <u/>
        <sz val="8"/>
        <color rgb="FF1155CC"/>
        <rFont val="Arial"/>
      </rPr>
      <t>стандартом потребителя</t>
    </r>
    <r>
      <rPr>
        <sz val="8"/>
        <rFont val="Arial"/>
      </rPr>
      <t xml:space="preserve"> .</t>
    </r>
  </si>
  <si>
    <t>9.2.2</t>
  </si>
  <si>
    <t>Систему структурированной кабельной системы (СКС) выполнить в соответствии с действующими нормативными документами. СКС выполнить по технологии FTTH.  
Использовать оптические магистральные кроссы и патч-панели. Производитель согласно вендор листу.
Оборудование расположить помещении Сетей связи в шкафу телекоммуникационном СКС.
Расположение оборудования принять согласно типовой расстановке оборудования источника структурированной кабельной системы.</t>
  </si>
  <si>
    <t>9.2.3</t>
  </si>
  <si>
    <t>Ввод НСС выполнить оптическим кабелем ОК-НРС G657.A или иным по ТУ оператора связи количеством оптических волокон не менее 8. 
Магистральные линии до оптических распределительных коробок этажных выполнить кабелем типа ОК-НРС G657.A емкостью не менее количества абонентов в секции. Для каждой секции предусмотреть самостоятельный магистральный кабель.
По нижнему этажу кабели проложить в металлическом листовом неперфорированном лотке совместно с кабелями других слаботочных систем (кроме ПС). Магистральную прокладку кабельных лотков выполнить в соответствии со стандартом магистрали кабеленесущих конструкций слаботочных.
Выбрать магистральные оптические кабели:
- ОК-НРС нг(А)-HF 10Х4ХG657A;
- ОК-НРС нг(А)-HF 24Х4ХG657A.
Производитель согласно вендор листу.
Прокладку выполнить по нижнему этажу в соответствии с расположением смежных инженерных систем.
Выполнить размещение в соответствии с типовым расположением магистральных лотков.</t>
  </si>
  <si>
    <t>9.2.4</t>
  </si>
  <si>
    <t>Выполнить отдельные оптические линии на каждую секцию, завести в стояк.
Вертикальную линию в стояке выполнииь кабелем типа ОК-НРС G657.A емкостью не менее количества абонентов в секции. 
В нише СС выполнить прокладку оптического кабеля до этажных оптических коробок.
Расположение стоякового кабеля СКС выполнить в соответствии с Альбомом Заготовок СС.</t>
  </si>
  <si>
    <t>9.2.5</t>
  </si>
  <si>
    <t>СКС выполнить по технологии FTTH.
В абонентской части предусмотреть оптические распределительные коробки. Установить в этажной нише межквартирного коридора.
В этажной нише межквартирного коридора, совместной для сетей ЭЛ и СС.
Выполнить в соответствии с Альбомом заготовок СС.</t>
  </si>
  <si>
    <t>9.2.6</t>
  </si>
  <si>
    <t>Этажную разводку СКС выполнить в стяжке пола текущего этажа.
Использовать абонентский дроп кабель от оптической распределительной коробки до каждой квартиры или коммерческого помещения. Дроп-кабель типа ОБК-С нг(A)-HF 1 G.657.A1.
Способы прокладки кабеля:
- прокладку кабеля от этажной ниши до оптической розетки квартирной выполнить в гофрированной трубе ПНД d=25 мм;
- прокладку кабеля в пространстве коммерческих помещений выполнить открыто, в гофрированной трубе ПВХ d=20 мм.
Ввод кабеля в квартиру выполнить через дверной проём. Размещение кабеля в зоне дверного проема выполнить согласно типовому расположению сетей СС/ЭЛ в прихожих квартир. Ввод кабеля в коммерцию - подъем с нижнего этажа.</t>
  </si>
  <si>
    <t>9.2.7</t>
  </si>
  <si>
    <t>СКС выполнить по технологии FTTH.
Установить абонентскую розетку в прихожих квартир и в пространстве коммерческих помещений.
В прихожей квартиры:
- розетку оптическую абонентскую установить в торце входного дверного проема для подключения абонентского терминала, устанавливаемого собственником;
- розетку электрическую ~220В. Предусмотреть в разделе ЭОМ.
В коммерции:
- розетку оптическую абонентскую установить на стене, на высоте 2,5 м от уровня чистого пола.
Wi-Fi двор:
- для двора жилого комплекса устанавливаются уличные беспроводные точки доступа с питанием по PoE DAP-3310/RU/B или аналог. Установка точек доступа Wi-Fi, а также прокладка сетей до них проектом не предусматривается. Предоставление абонентам услуг телевизионного вещания/ интернет/ телефония предоставляется после заключения договора между абонентом и оператором связи.
Оптические абонентские розетки разместить в соответствии с типовым расположением сетей СС/ЭЛ в прихожих квартир и в соответствии с Альбомом заготовок СС.</t>
  </si>
  <si>
    <t>9.3 Система контроля и управления доступом</t>
  </si>
  <si>
    <t>9.3.1</t>
  </si>
  <si>
    <r>
      <rPr>
        <sz val="8"/>
        <rFont val="Arial"/>
      </rPr>
      <t xml:space="preserve">Выполнить в проекте систему контроля и управления доступом (СКУД) на базе IP-видеодомофонии. Организацию автомобильного доступа в паркинг учесть в данном разделе.
Организация системы:
Топология построения системы - "дерево".
При пожаре предусмотреть разблокировку электромагнитных замков СКУД по сигналу системы пожарной сигнализации в целях беспрепятственной и безопасной эвакуации.
Схему движения, структурную схему, схему расстановки оборудования и марку оборудования дополнительно согласовать с Заказчиком. Производитель согласно вендор листу.
СКУД состоит из: 
- </t>
    </r>
    <r>
      <rPr>
        <u/>
        <sz val="8"/>
        <color rgb="FF1155CC"/>
        <rFont val="Arial"/>
      </rPr>
      <t xml:space="preserve">разводки вертикальной </t>
    </r>
    <r>
      <rPr>
        <sz val="8"/>
        <rFont val="Arial"/>
      </rPr>
      <t xml:space="preserve"> (кабельная продукция);
- </t>
    </r>
    <r>
      <rPr>
        <u/>
        <sz val="8"/>
        <color rgb="FF1155CC"/>
        <rFont val="Arial"/>
      </rPr>
      <t>распределителя этажного</t>
    </r>
    <r>
      <rPr>
        <sz val="8"/>
        <rFont val="Arial"/>
      </rPr>
      <t xml:space="preserve">  (оборудование в этажной нише);
- </t>
    </r>
    <r>
      <rPr>
        <u/>
        <sz val="8"/>
        <color rgb="FF1155CC"/>
        <rFont val="Arial"/>
      </rPr>
      <t>разводки горизонтальной</t>
    </r>
    <r>
      <rPr>
        <sz val="8"/>
        <rFont val="Arial"/>
      </rPr>
      <t xml:space="preserve">  (трубы, материалы, кабельная продукция);
- </t>
    </r>
    <r>
      <rPr>
        <u/>
        <sz val="8"/>
        <color rgb="FF1155CC"/>
        <rFont val="Arial"/>
      </rPr>
      <t>потребителя</t>
    </r>
    <r>
      <rPr>
        <sz val="8"/>
        <rFont val="Arial"/>
      </rPr>
      <t xml:space="preserve">  (оборудование оконечное).
Коммутаторы магистральные, секционные и магистральные кабели учтены в </t>
    </r>
    <r>
      <rPr>
        <u/>
        <sz val="8"/>
        <color rgb="FF1155CC"/>
        <rFont val="Arial"/>
      </rPr>
      <t>разделе ОДС</t>
    </r>
    <r>
      <rPr>
        <sz val="8"/>
        <rFont val="Arial"/>
      </rPr>
      <t xml:space="preserve"> .
Точки прохода: 
- тамбур входных групп с улицы; 
- тамбур входных групп со двора;
- выходы из паркинга в тамбур-шлюзы жилых секций; 
- калитка рампы паркинга; 
- калитка входа на территорию двора; 
- лестничная клетка в техническое подполье со двора/улицы;
- лестничная клетка с жилых этажей в тамбур входной группы (при наличии);
- помещения колясочных;
- помещения велосипедных;
- ворота паркинга открытие/закрытие осуществляется по индивидуальной вызывной панели от дистанционного пульта, установлено в помещении Диспетчерской.
Точные привязки элементов указаны </t>
    </r>
    <r>
      <rPr>
        <u/>
        <sz val="8"/>
        <color rgb="FF1155CC"/>
        <rFont val="Arial"/>
      </rPr>
      <t>стандартом разводки вертикальной</t>
    </r>
    <r>
      <rPr>
        <sz val="8"/>
        <rFont val="Arial"/>
      </rPr>
      <t xml:space="preserve"> , </t>
    </r>
    <r>
      <rPr>
        <u/>
        <sz val="8"/>
        <color rgb="FF1155CC"/>
        <rFont val="Arial"/>
      </rPr>
      <t>стандартом распредителя этажного</t>
    </r>
    <r>
      <rPr>
        <sz val="8"/>
        <rFont val="Arial"/>
      </rPr>
      <t xml:space="preserve"> , </t>
    </r>
    <r>
      <rPr>
        <u/>
        <sz val="8"/>
        <color rgb="FF1155CC"/>
        <rFont val="Arial"/>
      </rPr>
      <t>стандартом разводки горизонтальной</t>
    </r>
    <r>
      <rPr>
        <sz val="8"/>
        <rFont val="Arial"/>
      </rPr>
      <t xml:space="preserve"> , </t>
    </r>
    <r>
      <rPr>
        <u/>
        <sz val="8"/>
        <color rgb="FF1155CC"/>
        <rFont val="Arial"/>
      </rPr>
      <t>стандартом потребителя</t>
    </r>
    <r>
      <rPr>
        <sz val="8"/>
        <rFont val="Arial"/>
      </rPr>
      <t xml:space="preserve"> .</t>
    </r>
  </si>
  <si>
    <t>9.3.2</t>
  </si>
  <si>
    <t>Выполнить в проекте систему контроля и управления доступом (СКУД) на базе IP-видеодомофонии.
Кабель информационный - F/UTP, 19C-F5-12WT-B305
Выполнить в нише СС и ЭЛ.
Выполнить в соответствии с Альбомом заготовок СС.</t>
  </si>
  <si>
    <t>9.3.3</t>
  </si>
  <si>
    <t>Выполнить в проекте систему контроля и управления доступом (СКУД) на базе IP-видеодомофонии.
Количество портов этажного коммутатора принять по максимальному количеству квартир на этаже - 8, в случае большего количества квартир на этаже установить второй этажный коммутатор. Этажные коммутаторы подключить последовательно по интерфейсу Ethernet кабелем F/UTP, 19C-F5-12WT-B305 от секционного коммутатора (учтено в ОДС), установленного в секционном шкафу.
В этажной нише межквартирного коридора установить этажный PoE-коммутатор.
Размещение выполнить в соответствии с Альбомом заготовок СС.</t>
  </si>
  <si>
    <t>9.3.4</t>
  </si>
  <si>
    <t>Для жилого дома: выполнить горизонтальную разводку в стяжке пола текущего этажа. Для нижнего этажа: выполнить разводку открыто. Для автомобильного доступа: для организации въезда в паркинг установлена петлевая антенна. При наезде автомобиля на петлю светофор, установленный в паркинге, с зеленого свечения переключается на красный. Водитель предъявляет метку (карточка, брелок, распознавание лица, приложение) для открывания ворот. В случае затруднения въезда водитель может передать сообщение в диспетчерскую с помощью индивидуальной вызывной панели, установленной при въезде на высоте 1,4 м. 
От этажного коммутатора в каждую квартиру проложить кабель F/UTP, 19C-F5-12WT-B305 для подключения абонентской аудиотрубки по технологии PoE (интерфейс + питание).
Способы прокладки кабеля:
- по техническому подполью кабели проложить в металлическом листовом неперфорированном лотке (см. раздел ККС) совместно с кабелями других слаботочных систем;
- от этажной ниши до квартиры кабель проложить в гофрированной трубе ПВХ d=25 мм с протяжкой в стяжке текущего этажа по негорючему основанию (отдельно от кабеля СКС);
- к устройствам СКУД, расположенным в МОП первого этажа, кабель проложить открыто, в гофрированной трубе ПВХ d=20 мм, с креплением к стенам и перекрытиям, в пространстве подвесного/подшивного потолка. Опуски выполнить скрыто, в штрабе стены, в гофрированной трубе ПВХ d=20 мм, либо скрыто, в отделочном слое.
- к устройствам СКУД, расположенным в МОП нижнего этажа, кабель проложить открыто в гофрированной трубе ПВХ d=20 мм, с креплением к стенам и перекрытиям. Опуски выполнить скрыто, в штрабе стены в гофрированной ПВХ-трубе 20 мм, либо скрыто в отделочном слое.
Кабельная продукция:
- F/UTP, 19C-F5-12WT-B305;
- ПВ-3 1х1,5 (для индукционных петель);
- КСВВнг(А)-LS 2x2x0,8.
Организацию горизонтальной разводки СКУД выполнить в соответствии с Типовой прокладкой кабелей СКУД.</t>
  </si>
  <si>
    <t>9.3.5</t>
  </si>
  <si>
    <t>Выполнить в проекте систему контроля и управления доступом (СКУД) на базе IP-видеодомофонии.
Устройства:
- многоабонентская вызывная видеопанель с функцией распознавания лиц. Установить в тамбурах входных групп со двора/улицы на высоте 1,4 м от уровня чистого пола;
- считыватель бесконтактных карт. Установить на высоте 1,2 м от уровня чистого пола со стороны дверной ручки снаружи контролируемых помещений;
- кнопка выхода встраиваемая бесконтактная. Установить на высоте 0,9 м от уровня чистого пола со стороны дверной ручки внутри контролируемых помещений;
- электромагнитный замок со встроенным датчиком положения якоря;
- извещатель магнитоконтактный. Устанавливается на малой створке двери, не оборудованной электромагнитным замком;
- абонентская аудиотрубка. Устанавливается в прихожей квартиры на высоте 1,5 м.
Оборудование для организации автомобильного въезда:
- контроллер токовых петель;
- светофор светодиодный двухсекционный 24В;
- индивидуальная вызывная панель;
- пульт консьержа AM-02.
Оборудование разместить для всех контролируемых точек прохода, а также для организации автомобильного въезда в паркинг.
Выполнить в соответствии с Типовыми схемами размещения оборудования СКУД.</t>
  </si>
  <si>
    <t>9.4 Система видеонаблюдения</t>
  </si>
  <si>
    <t>9.4.1</t>
  </si>
  <si>
    <r>
      <rPr>
        <sz val="8"/>
        <rFont val="Arial"/>
      </rPr>
      <t xml:space="preserve">Структурные схемы, планы расположения оборудования и направления камер обязательны. Схемы согласовать с Заказчиком.
Для осуществления круглосуточного контроля, фиксации и хранения видеоданных выполнить на объекте систему видеонаблюдения (СВН). СВН организовать на базе IP-технологии. Для построения системы видеонаблюдения использовать цифровые IP-камеры. Выбор обусловлен преобразованием видеоданных в цифровой поток и отправка на веб-сервер, интеграцией в единую систему безопасности, а также возможностью осуществления видеоаналитики. Для входных групп выбрать видеокамеры с встроенной видеоаналитикой с распознаванием посторонних.
СВН состоит из: 
- </t>
    </r>
    <r>
      <rPr>
        <u/>
        <sz val="8"/>
        <color rgb="FF1155CC"/>
        <rFont val="Arial"/>
      </rPr>
      <t>источника</t>
    </r>
    <r>
      <rPr>
        <sz val="8"/>
        <rFont val="Arial"/>
      </rPr>
      <t xml:space="preserve">  (IP-видеорегистратор);
- </t>
    </r>
    <r>
      <rPr>
        <u/>
        <sz val="8"/>
        <color rgb="FF1155CC"/>
        <rFont val="Arial"/>
      </rPr>
      <t>разводки горизонтальной</t>
    </r>
    <r>
      <rPr>
        <sz val="8"/>
        <rFont val="Arial"/>
      </rPr>
      <t xml:space="preserve">  (трубы, материалы, кабельная продукция);
- </t>
    </r>
    <r>
      <rPr>
        <u/>
        <sz val="8"/>
        <color rgb="FF1155CC"/>
        <rFont val="Arial"/>
      </rPr>
      <t>потребителя</t>
    </r>
    <r>
      <rPr>
        <sz val="8"/>
        <rFont val="Arial"/>
      </rPr>
      <t xml:space="preserve">  (видеокамеры).
Коммутаторы и магистральные кабели учтены в разделе ОДС.
Зоны видеонаблюдения:
- внешний периметр;
- придомовая территория;
- холлы первых этажей;
- колясочные, велосипедные;
- въезд в рампу (при невозможности охватом камер внешнего периметра);
- коридор сетей, зона размещения секционного оборудования;
- лифты.
Точные привязки элементов указаны </t>
    </r>
    <r>
      <rPr>
        <u/>
        <sz val="8"/>
        <color rgb="FF1155CC"/>
        <rFont val="Arial"/>
      </rPr>
      <t>стандартом источника</t>
    </r>
    <r>
      <rPr>
        <sz val="8"/>
        <rFont val="Arial"/>
      </rPr>
      <t xml:space="preserve"> , </t>
    </r>
    <r>
      <rPr>
        <u/>
        <sz val="8"/>
        <color rgb="FF1155CC"/>
        <rFont val="Arial"/>
      </rPr>
      <t>стандартом разводки горизонтальной</t>
    </r>
    <r>
      <rPr>
        <sz val="8"/>
        <rFont val="Arial"/>
      </rPr>
      <t xml:space="preserve"> , </t>
    </r>
    <r>
      <rPr>
        <u/>
        <sz val="8"/>
        <color rgb="FF1155CC"/>
        <rFont val="Arial"/>
      </rPr>
      <t>стандартом потребителя</t>
    </r>
    <r>
      <rPr>
        <sz val="8"/>
        <rFont val="Arial"/>
      </rPr>
      <t xml:space="preserve"> .</t>
    </r>
  </si>
  <si>
    <t>Для осуществления круглосуточного контроля, фиксации и хранения видеоданных выполнить на объекте систему видеонаблюдения (СВН). СВН организовать на базе IP-технологии.
Программное обеспечение:
- круглосуточное наблюдение за охраняемыми зонами из помещения диспетчерской (просмотр), а также с мобильных устройств жильцов;
- запись архива только при детекции движения.
Система хранения:
- регистратор с жестким диском (локальный сервер в помещение сетей связи) с записью и хранением информации до 14 дней.
Коммутаторы и ИБП принимается по стандарту источника объединенной диспетчерской службы. 
Разместить в шкафу телекоммуникационном в помещении Сетей связи.
Разместить согласно типовой расстановке оборудования в помещении Сетей связи.</t>
  </si>
  <si>
    <t>Для осуществления круглосуточного контроля, фиксации и хранения видеоданных выполнить на объекте систему видеонаблюдения (СВН). СВН организовать на базе IP-технологии.
Применить информационный кабель - F/UTP, 19C-F5-12WT-B305.
Способы прокладки кабеля:
- к камерам наружной установки - в гофрированной трубе ПВХ d=20 мм под слоем утеплителя;
- к камерам внутренней установки - открыто, в гофрированной трубе ПВХ d=20 мм, с креплением к стенам и перекрытиям, в пространстве подвесного/подшивного потолка;
- по техническому подполью кабели проложить открыто, в металлическом листовом неперфорированном лотке, совместно с кабелями других слаботочных систем, либо открыто, в гофрированной трубе ПВХ d=20 мм, с креплением к стенам и перекрытиям.
Выполнить разводку согласно типовой прокладке кабелей системы видеонаблюдения.</t>
  </si>
  <si>
    <t>Для осуществления круглосуточного контроля, фиксации и хранения видеоданных выполнить на объекте систему видеонаблюдения (СВН). СВН организовать на базе IP-технологии.
Оборудование и устройства:
- цилиндрическая IP-видеокамера для наружной установки. Установить на фасаде, цвет корпуса и защитного кожуха принять в цвет фасада места установки видеокамеры.
- купольная IP-видеокамера для внутренней установки. Установить на перекрытии, либо на подвесном/подшивном потолке.
Для входных групп выбрать видеокамеры с встроенной видеоаналитикой с распознаванием посторонних.
Зоны видеонаблюдения:
- внешний периметр;
- придомовая территория;
- холлы первых этажей;
- колясочные, велосипедные;
- въезд в рампу (при невозможности охватом камер внешнего периметра);
- коридор сетей, зона размещения секционного оборудования;
- лифты (установка камер предусматривается в комплекте поставки лифтового оборудования).
Выполнить разводку согласно типовой расстановке оборудования системы видеонаблюдения.</t>
  </si>
  <si>
    <t>9.5 Система охранно-тревожной сигнализации</t>
  </si>
  <si>
    <t>9.5.1</t>
  </si>
  <si>
    <t>Для сигнализации о несанкционированном доступе физических лиц в инженерные и технические помещения, проектом выполнить адресную систему охранно-тревожной сигнализации (СОТС).
СОТС должна обеспечивать:
- защиту помещений от несанкционированного проникновения;
- выдачу сигнала тревоги в случае несанкционированного проникновения в помещения, находящиеся под охраной;
- непрерывное протоколирование происходящих событий в памяти станции охранной и тревожной сигнализации, на срок не менее 6 месяцев;
- обнаружение отказов элементов системы и информирование о них оператора;
- дистанционный контроль, проверку работоспособности и выявления установки имитатора в линию связи; 
- контроль-протокол действий оператора;
- информирование оператора по несанкционированному вмешательству в работу системы, выхода из строя составных частей системы, нарушению коммуникационных линий.
Режим работы системы СОТС – круглосуточно.
Структурные схемы обязательны. Структурные схемы, схему расстановки оборудования и марку оборудования дополнительно согласовать с Заказчиком. Производитель: согласно вендор листу. 
СОТС состоит из:
- источника (пульт контроля и управления);
- магистрали (трубы, материалы, кабельная продукция);
- распределителя (контроллер доступа, преобразователь интерфейса);
- вертикальной разводки (кабельная продукция);
- разводки горизонтальной (трубы, материалы, кабельная продукция);
- потребителя (оборудование оконечное).
СОТС обеспечивает защиту технических помещений на нижнем этаже, верхнем этаже, а также выходе на кровлю.
Точные привязки элементов указаны стандартом источника, стандартом магистрали, стандартом распредителя, стандартом вертикальной разводки, стандартом разводки горизонтальной, стандартом потребителя.</t>
  </si>
  <si>
    <t>9.5.2</t>
  </si>
  <si>
    <t>Для сигнализации о несанкционированном доступе физических лиц в инженерные и технические помещения, проектом выполнить адресную систему охранно-тревожной сигнализации (СОТС).
Оборудование и устройства:
- пульт управления СОТС. 
Разместить в помещении Сетей связи.
Выполнить в соответствии с типовой расстановке оборудования в помещении Сетей связи.</t>
  </si>
  <si>
    <t>9.5.3</t>
  </si>
  <si>
    <t>Для сигнализации о несанкционированном доступе физических лиц в инженерные и технические помещения, проектом выполнить систему охранно-тревожной сигнализации (СОТС).
Кабель контрольный - КСВВГнг(А)-LS 1х2х0,75.
Кабель витая пара - F/UTP, 19C-F5-12WT-B305.
Способы прокладки кабеля: 
- по техническому подполью кабели проложить в металлическом листовом неперфорированном лотке совместно с кабелями других слаботочных систем;
- вертикальную стояковую разводку выполнить в этажной нише межквартирного коридора, совместной для прокладки сетей ЭЛ и СС;
- к устройствам СОТС кабель проложить открыто в гофрированной трубе ПВХ d=20 мм, с креплением к стенам и перекрытиям. 
- опуски в МОП выполнить скрыто, в штрабе стены в гофрированной трубе ПВХ d=20 мм, либо скрыто в отделочном слое.
Выполнить согласно типовой прокладке кабелей системы охранно-тревожной сигнализации.</t>
  </si>
  <si>
    <t>9.5.4</t>
  </si>
  <si>
    <t>Для сигнализации о несанкционированном доступе физических лиц в инженерные и технические помещения, проектом выполнить адресную систему охранно-тревожной сигнализации (СОТС).
Оборудование и устройства:
- контроллеры доступа/адресные метки. Разместить в пространстве защищаемых помещений;
- считывающие устройства бесконтактных карт для постановки и снятия с охраны;
- магнитоконтактные извещатели типа ИО 102-20 для блокировки дверных проемов на открывание или смещение. Разместить на каждой дверной створке дверного проема внутри защищаемого помещения;
- источники бесперебойного питания. Ёмкость уточнить проектом. 
Считыватели разместить на высоте 1,2 м от уровня чистого пола со стороны дверной ручки снаружи контролируемого помещения;
Выполнить в соответствии с Альбомом заготовок СС.</t>
  </si>
  <si>
    <t>9.6 Автоматизированная система коммерческого учета энергоресурсов (телеметрия)</t>
  </si>
  <si>
    <t>9.6.1</t>
  </si>
  <si>
    <r>
      <rPr>
        <sz val="8"/>
        <rFont val="Arial"/>
      </rPr>
      <t xml:space="preserve">Обеспечить сбор показаний со всех приборов учета (ХВС, ГВС, теплоснабжение, электроснабжение) в единую сеть учета энергоресурсов. 
Структурные схемы обязательны. Структурные схемы, схему расстановки оборудования и марку оборудования дополнительно согласовать с Заказчиком. 
АСКУЭ состоит из:
- </t>
    </r>
    <r>
      <rPr>
        <u/>
        <sz val="8"/>
        <color rgb="FF1155CC"/>
        <rFont val="Arial"/>
      </rPr>
      <t>распределитель секционный</t>
    </r>
    <r>
      <rPr>
        <sz val="8"/>
        <rFont val="Arial"/>
      </rPr>
      <t xml:space="preserve">  (коробка распределительная);
- </t>
    </r>
    <r>
      <rPr>
        <u/>
        <sz val="8"/>
        <color rgb="FF1155CC"/>
        <rFont val="Arial"/>
      </rPr>
      <t>вертикальная разводка</t>
    </r>
    <r>
      <rPr>
        <sz val="8"/>
        <rFont val="Arial"/>
      </rPr>
      <t xml:space="preserve">  (кабельная продукция);
- </t>
    </r>
    <r>
      <rPr>
        <u/>
        <sz val="8"/>
        <color rgb="FF1155CC"/>
        <rFont val="Arial"/>
      </rPr>
      <t>распределитель этажный</t>
    </r>
    <r>
      <rPr>
        <sz val="8"/>
        <rFont val="Arial"/>
      </rPr>
      <t xml:space="preserve">  (коробки распределительные, разводка кабельная до коробок).
При построении системы использовать </t>
    </r>
    <r>
      <rPr>
        <u/>
        <sz val="8"/>
        <color rgb="FF1155CC"/>
        <rFont val="Arial"/>
      </rPr>
      <t>Альбом заготовок СС</t>
    </r>
    <r>
      <rPr>
        <sz val="8"/>
        <rFont val="Arial"/>
      </rPr>
      <t xml:space="preserve"> .
Точные привязки элементов указаны </t>
    </r>
    <r>
      <rPr>
        <u/>
        <sz val="8"/>
        <color rgb="FF1155CC"/>
        <rFont val="Arial"/>
      </rPr>
      <t>стандартом распределителя секционного</t>
    </r>
    <r>
      <rPr>
        <sz val="8"/>
        <rFont val="Arial"/>
      </rPr>
      <t xml:space="preserve"> , </t>
    </r>
    <r>
      <rPr>
        <u/>
        <sz val="8"/>
        <color rgb="FF1155CC"/>
        <rFont val="Arial"/>
      </rPr>
      <t>стандартом разводки вертикальной</t>
    </r>
    <r>
      <rPr>
        <sz val="8"/>
        <rFont val="Arial"/>
      </rPr>
      <t xml:space="preserve"> , </t>
    </r>
    <r>
      <rPr>
        <u/>
        <sz val="8"/>
        <color rgb="FF1155CC"/>
        <rFont val="Arial"/>
      </rPr>
      <t>стандартом распределителя этажного</t>
    </r>
    <r>
      <rPr>
        <sz val="8"/>
        <rFont val="Arial"/>
      </rPr>
      <t xml:space="preserve"> .</t>
    </r>
  </si>
  <si>
    <t>9.6.2</t>
  </si>
  <si>
    <t>Обеспечить сбор показаний со всех приборов учета (ХВС, ГВС, теплоснабжение, электроснабжение) в единую сеть учета энергоресурсов. 
Оборудование:
- преобразователь интерфейсов RS 485 - Ethernet «Пульсар» 8-портовый;
- устройства сбора и передачи данных.
Разместить в секционном шкафу ОДС.
Выполнить согласно типовой расстановке оборудования секционного сетей связи.</t>
  </si>
  <si>
    <t>9.6.3</t>
  </si>
  <si>
    <t>Обеспечить сбор показаний со всех приборов учета (ХВС, ГВС, теплоснабжение, электроснабжение) в единую сеть учета энергоресурсов. 
Кабель информационный - F/UTP, 19C-F5-12WT-B305
Способы прокладки кабеля:
- вертикальную стояковую разводку счетчиков ХВС/ГВС, теплосчетчиков выполнить в нише межквартирного коридора;
- вертикальную стояковую разводку электросчетчиков выполнить в нише для совместной прокладки сетей ЭЛ и СС в межквартирном коридоре.
Выполнить в соответствии с Альбомом заготовок СС.</t>
  </si>
  <si>
    <t>9.6.4</t>
  </si>
  <si>
    <t>Обеспечить сбор показаний со всех приборов учета (ХВС, ГВС, теплоснабжение, электроснабжение) в единую сеть учета энергоресурсов. 
Приборы учета индивидуальные, расположить в нише межквартирного коридора:
- счётчики ХВС/ГВС с импульсными выходами;
- теплосчетчики с импульсными входами для учёта ГВС и ХВС, с интерфейсным выходом RS485;
- счётчик электроэнергии с интерейсным выходом RS485.
Приборы учета общедомовые:
- счётчики ХВС/ГВС с импульсными выходами располагаются в помещении узла ввода (насосной). Учет тепла от внешних тепловых сетей выполняется в комплектном шкафу учета УКУТЭ (разрабатывается в смежном разделе проекта, передача данных выполняется по интерфейсу Ethernet)
- счетчики электроэнергии с интерфейсными выходами RS485, располагаются в электрощитовом помещении, в составе вводно-распределительных устройств или соответствующих шкафов учета.
Приборы учета коммерческих помещений:
- счетчики ХВС/ГВС с импульсными выходами. Располагаются в зоне с/у в каждом коммерческом помещении;
- теплосчетчики с импульсными входами для учёта ГВС и ХВС, с интерфейсным выходом RS485, располагаются в зоне с/у в каждом коммерческом помещении;
- счетчики электроэнергии с интерфейсным выходом RS485, расположение прибора учета коммерческого помещения принять согласно проекту ЭОМ.
Выполнить в соответствии с Альбомом заготовок СС.</t>
  </si>
  <si>
    <t>9.7 Объединенная диспетчерская служба</t>
  </si>
  <si>
    <t>9.7.1</t>
  </si>
  <si>
    <r>
      <rPr>
        <sz val="8"/>
        <rFont val="Arial"/>
      </rPr>
      <t xml:space="preserve">Предусмотреть многоуровневую систему диспетчеризации и управления работой инженерных систем здания с АРМ диспетчера. АРМ установить в помещении Диспетчерской района. Согласовать размещение дополнительно с Заказчиком. 
Структурные схемы в проекте обязательны. Структурные схемы, схему расстановки оборудования и марку оборудования дополнительно согласовать с Заказчиком.
Производитель: согласно вендор листу.
На АРМ должно быть установлено специализированное ПО, позволяющее: 
 - выводить на экран монитора работу оборудования в виде мнемосхем и графиков;
 - менять уставки и параметры работы оборудования;
 - включать/переключать работу насосов,вентиляторов и т. д.;
 - получать тревожные сообщения о нештатных ситуациях;
 - осуществлять сбор и обработку данных автоматизированной систему учета энергоресурсов;
 - контроль работы систем безопасности.
Контроль работоспособности и управление основными параметрами следующего оборудования:
 - ИТП;
 - насосных станций хозяйственно-питьевого водоснабжения;
 - вентиляционных установок;
Контроль работоспособности:
 - лифтов;
 - уровня воды в дренажных приямках;
 - работы дренажной насосной станции;
 - датчиков СО в парковке;
 - переговорная связь в зонах безопасности.
ОДС состоит из: 
- </t>
    </r>
    <r>
      <rPr>
        <u/>
        <sz val="8"/>
        <color rgb="FF1155CC"/>
        <rFont val="Arial"/>
      </rPr>
      <t>источник</t>
    </r>
    <r>
      <rPr>
        <sz val="8"/>
        <rFont val="Arial"/>
      </rPr>
      <t xml:space="preserve">  (шкафы магистральные);
- </t>
    </r>
    <r>
      <rPr>
        <u/>
        <sz val="8"/>
        <color rgb="FF1155CC"/>
        <rFont val="Arial"/>
      </rPr>
      <t>магистраль</t>
    </r>
    <r>
      <rPr>
        <sz val="8"/>
        <rFont val="Arial"/>
      </rPr>
      <t xml:space="preserve">  (кабельная продукция);
- </t>
    </r>
    <r>
      <rPr>
        <u/>
        <sz val="8"/>
        <color rgb="FF1155CC"/>
        <rFont val="Arial"/>
      </rPr>
      <t xml:space="preserve">секционный распределитель </t>
    </r>
    <r>
      <rPr>
        <sz val="8"/>
        <rFont val="Arial"/>
      </rPr>
      <t xml:space="preserve"> (шкаф секционный);
- </t>
    </r>
    <r>
      <rPr>
        <u/>
        <sz val="8"/>
        <color rgb="FF1155CC"/>
        <rFont val="Arial"/>
      </rPr>
      <t>разводка</t>
    </r>
    <r>
      <rPr>
        <sz val="8"/>
        <rFont val="Arial"/>
      </rPr>
      <t xml:space="preserve">  (кабельная продукция подсистем);
- </t>
    </r>
    <r>
      <rPr>
        <u/>
        <sz val="8"/>
        <color rgb="FF1155CC"/>
        <rFont val="Arial"/>
      </rPr>
      <t>потребитель</t>
    </r>
    <r>
      <rPr>
        <sz val="8"/>
        <rFont val="Arial"/>
      </rPr>
      <t xml:space="preserve">  (оконечное оборудование).</t>
    </r>
  </si>
  <si>
    <t>9.7.2</t>
  </si>
  <si>
    <t>Для диспетчеризации лифтов в помещении Сетей связи предусматривается устройство связи квартальной группы лифтов с диспетчерским пунктом по каналам связи Ethernet.
Диспетчеризация лифтов предусматривается по выделенной линии со статическим IP адресом. Точка подключения - пульт диспетчерской связи согласно техническим условиям на подключение.Объединить лифты здания в систему диспетчеризации «ОБЬ».
В лифтовых шахтах каждой секции устанавливается лифтовой блок, который обеспечивает:
 - двухстороннюю переговорную связь; 
 - звуковую сигнализацию о вызове диспетчера на связь;
 - сигнализацию об открытии дверей шахты при отсутствии кабины на этаже;
 - сигнализацию об открытии шкафов управления;
 - сигнализацию о срабатывании цепи безопасности лифта;
 - идентификацию поступающей сигнализации;
 - обеспечение связи для лифтов, предназначенных для перевозки пожарных подразделений.
Щиты управления:
 - лифтовой блок
Оборудование (в составе СКС): оптический кросс, коммутаторы секционные.
Оборудование: 
- устройство связи удаленной группы с диспетчерским пунктом по каналу связи Ethernet.</t>
  </si>
  <si>
    <t>9.7.3</t>
  </si>
  <si>
    <t>ОДС должен включать в себя в себя:
- кабельные линии оптические;
- кабельные линии диспетчеризации до шкафов автоматики ОВ;
- кабельные линии диспетчеризации до шкафов автоматики ИТП;
- кабельные линии диспетчеризации лифтов;
- кабельные линии переговорной связи с зонами безопасности;
- кабельные линии системы загазованности.
Прокладка кабеля для диспетчеризации лифтов:
- вертикальную стояковую разводку выполнить в шахте лифта открыто по стальной проволоке;
- кабель по подвалу и паркингу проложить под потолком в общем лотке, совместно с кабелями других систем.
Кабель для контроля СО:
- кабель диспетчеризации: витая пара F/UTP, 19C-F5-12WT-B305;
- кабель до газоанализаторов: КСВВнг(A)-LS 2x2х1,5.
Прокладка кабеля:
- кабель в пространстве паркинга проложить в гофрированной трубе ПВХ d=20 мм с креплением к стенам и перекрытиям.
Разводку выполнить в соответствии с размещением оборудования систем смежных разделов.</t>
  </si>
  <si>
    <t>9.7.4</t>
  </si>
  <si>
    <t>Секционные распределители установить в каждой секции для обеспечения автономности работы.
Распределитель секционный включает в себя:
- шкаф телекоммуникационный настенный 15U;
- концентратор 7.2;
- коммутатор;
- ИБП;
- кросс оптический;
- коммутационные панели;
- кабельные органайзеры.
Распределители секционные устанавливается на нижнем этаже в коридоре сетей.
Точные привязки установки оборудования указаны в типовой расстановке секционных распределителей СС.</t>
  </si>
  <si>
    <t>9.7.5</t>
  </si>
  <si>
    <t>Этажные распределители установить на верхнем этаже/чердаке секции для подключения оборудования.
Распределитель этажный включает в себя:
- коммутатор;
- ИБП;
- коммутационные панели.
Распределители этажные устанавливается в пространстве верхнего этажа.
Точные привязки установки оборудования указаны в типовой расстановке этажных распределителей ОДС.</t>
  </si>
  <si>
    <t>9.7.6</t>
  </si>
  <si>
    <t>Предусмотреть многоуровневую систему диспетчеризации и управления работой инженерных систем здания с АРМ диспетчера. 
Оборудование:
- переговорное устройства этажные (система МГН);
- переговорные устройства лифтов (система ДЛ);
- сигнализаторы загазованности (система загазованности паркинга)
Сигнализаторы загазованности устанавливаются равномерно по площади паркинга.
Переговорные устройства этажные установить в пожаробезопасной зоне.
Устройства переговорные для диспетчеризации лифтов установить в приямках, переговорные устройства для пожарных подразделений установить на первом этаже.
Сигнализаторы загазованности установить из расчёта 1 датчик на 200м², высота установки h=1,5м от пола. Блок контроля газоанализаторов для мониторинга и релейный блок располагается в Электрощитовой паркинга. По сигналу "Загазованность 1" обеспечить тревожный сигнал диспетчеру; "Загазованность 2" - запуск общеобменной вентиляции в паркинге.
Переговорные устройства этажные установить в пожаробезопасной зоне в соответствии с действующими нормативные документами.
Переговорные устройства для пожарных подразделений установить на первом этаже на высоте 1,5 м.</t>
  </si>
  <si>
    <t>9.8 Кабельные конструкции слаботочные</t>
  </si>
  <si>
    <t>9.8.1</t>
  </si>
  <si>
    <r>
      <rPr>
        <sz val="8"/>
        <rFont val="Arial"/>
      </rPr>
      <t xml:space="preserve">Система предназначена для прокладки магистральных кабельных линий слаботочных систем. Кабельные конструкции слаботочные выполнить в соответствии с действующими нормативными документами. 
В качестве строительных конструкций выбрать лотки металлические неперфорированные с соединительными деталями и крепежными материалами . Сети пожарной сигнализации и сети связи выполнить в разных лотках.
ККС состоит из:
горизонтальная разводка (лотки и крепления).
Магистральные кабели слаботочных систем выполнить в кабельных лотках в простанстве нижнего этажа.
Точные привязки элементов указаны </t>
    </r>
    <r>
      <rPr>
        <u/>
        <sz val="8"/>
        <color rgb="FF1155CC"/>
        <rFont val="Arial"/>
      </rPr>
      <t>стандартом горизонтальной разводки</t>
    </r>
    <r>
      <rPr>
        <sz val="8"/>
        <rFont val="Arial"/>
      </rPr>
      <t xml:space="preserve"> .</t>
    </r>
  </si>
  <si>
    <t>9.8.2</t>
  </si>
  <si>
    <t>Система предназначена для прокладки магистральных кабельных линий слаботочных систем.
В качестве строительных конструкций выбрать лотки металлические неперфорированные с соединительными деталями и крепежными материалами в соответствии с расположением кабельной трассы. Для систем сетей связи принять неперфорированные лотки размеров 50x50, 100x50, 150х50, 200х50, 300х50 длинной 3000 мм. Сети пожарной сигнализации и сети связи выполнить в разных лотках.
Магистральные кабели слаботочных систем выполнить в кабельных лотках в простанстве нижнего этажа.
Расположить систему кабельных конструкций слаботочных сетей учитывая размещения оборудования и материалов смежных разделов. Узлы крепления кабельных лотков см. Альбом узлов СС.</t>
  </si>
  <si>
    <t>Для зданий до 100 м предусмотреть лифтовую шахту с габаритами 2,4х2,5м.
Шахту раположить в зону ЛЛУ в соответствии с зонированием этажей.
Расположение и конкретные привязки зон см. графические материалы.</t>
  </si>
  <si>
    <t>11 Технология строительства и производства</t>
  </si>
  <si>
    <t>11.1 Общее</t>
  </si>
  <si>
    <t>Требования к проектной документации раздела "Проект организации строительства"</t>
  </si>
  <si>
    <t xml:space="preserve">I. ТЕКСТОВАЯ ЧАСТЬ:
Пояснительная записка (п.23 раздела 6 ППРФ №87):
II. ГРАФИЧЕСКАЯ ЧАСТЬ:
Строительные генеральные планы по этапам:
1. Котлован, обустройство стройплощадки и конструкции ниже отм. 0.000;
2. Конструкции выше отм. 0.000 после засыпки котлована;
3. Фасад и Кровля;
4. Устройство и подключение наружных сетей и благоустройство.
III. ГРАФИКИ:
Календарный план строительства (18-24 мес.), включая подготовительный период (сроки и последовательность строительства основных и вспомогательных зданий и сооружений, выделение этапов строительства).
</t>
  </si>
  <si>
    <t>11.1.2</t>
  </si>
  <si>
    <t>Разработка строительных генеральных планов подразделяется на 4 этапа в соответствии с циклами возведения зданий, сооружений, наружных сетей и благоустройства
Этап 1. Котлован, обустройство стройплощадки и конструкции ниже отм. 0.000
Этап 2. Конструкции выше отм. 0.000 после засыпки котлована
Этап 3. Фасад и Кровля
Этап 4. Устройство и подключение наружных сетей и благоустройство</t>
  </si>
  <si>
    <t>11.1.3</t>
  </si>
  <si>
    <t>Факторы или ограничения, влияющие на размещение ограждений:
1.Подземные/надземные сооружения или коммуникации (существующие и перспективные) включая охранные зоны;
2.Существующие дороги и тротуары;
3.Наличие невыкупленных участков (временный или постоянный фактор);
4.Наличие растительности.
Типы ограждений и требования к их установке:
1.Рекламное ограждение строительной площадки  с пешеходной галереей и без нее - следует устанавливается в местах высокого пешеходного и автомобильного трафика;
2.Ограждение строительной площадки без рекламных банеров с пешеходной галереей и без нее - следует устанавливается в местах низкого пешеходного и автомобильного трафика;
3.Ограждение строительной площадки с навесом, не предназначенном для защиты людей - следует устанавливать при необходимости защиты имущества (в т.ч. автотранспорт, уличная мебель)
Основные технические характеристики необходимо принять в соответствии с гл. 5 ГОСТ Р 58967-2020
Строительную площадку необходимо располагать в границах отведенного землеотвода (земельного участка) в соответствии с ПЗУ, в случае выхода за границы-требуется подтверждение от Группы подготовки и оформления исходно-разрешительной документации ООО «Брусника. Специализированный застройщик» на аренду/выкуп дополнительного участка. В местах перекрытия тротуаров и/или в случае изменения их траектории должны быть устроены пешеходные галереи шириной не менее 1,8 м
2. В случае если граница опасной зоны крана выходит на существующий тротуар в местах прохода пешеходов необходимо устройство пешеходной галереи. На территории строительства должно быть не менее двух въездов с противоположных сторон площадки. Основные (активные) ворота для въезда должны быть шириной не менее 6 м, дополнительные (пожарные) - не менее 4 м.</t>
  </si>
  <si>
    <t>11.1.4</t>
  </si>
  <si>
    <t>Устройство временных дорог необходимо проектировать с учетом обеспечения кругового движения по периметру строящегося объекта. В случае невозможности требуется устройство разворотной площадки. 
Устройство временных дорог предусмотрено из дорожных плит ПДН 6х2м.
Ширина проезда (L) для однополосной дороги - 4 м; для двухполосной - 6 м. 
Однополосные дороги необходимо устраивать с односторонним движением, в случае невозможности - добавлять разъезд шириной 4 м и длиной не менее 18 м.
Размер разворотной площадки определяться минимальным радиусом поворота транспортного средства, но не менее 12х12 м.
Основанием является подушка из щебня/песка толщиной 200 мм, выполненная по местному уплотненному грунту.</t>
  </si>
  <si>
    <t>11.1.5</t>
  </si>
  <si>
    <t>Оснащение принимается исходя из кол-ва работающих в соответствии с «Модульной структурой стройгородка». 
Количество работающих принимается в зависимости от площади строительства (20, 40, 60, 80 тыс. м²) и от технологии возведения “Монолит” и Префаб”.
Бытовой городок размещается с учетом перспективных очередей/этапов строительства так, чтобы исключить его перемещение в ходе реализации объекта, посадку на перспективную застройку (строящееся здание и проектируемые сети).
В приоритете - размещение бытового городка с Мокапом, без него - в случае отсутствия требуемых площадей.</t>
  </si>
  <si>
    <t>11.1.6</t>
  </si>
  <si>
    <t>Основные позиции определяется на основании реестра оснащения строительной площадки.
Наименование позиций принимается исходя из типового реестра оснащения стройплощадки.
Типовое оснащение включается в себя следующие основные элементы:
1.Плиты железобетонные
2.Временные помещения и благоустройство
3.Складирование
4.Сбор отходов
5.Инфраструктурные сооружения
6.Ограждение площадки и навигация
7.Охрана и освещение площадки
8.Безопасное производство работ</t>
  </si>
  <si>
    <t>11.1.7</t>
  </si>
  <si>
    <t>Расстановка башенных кранов производится в соответствии с «Типовыми схемами расстановки башенных кранов». 
Места размещения башенных кранов (далее БК) выбираются исходя из грузовысотных характеристик, расположения существующих и проектируемых сетей, и др. факторов с учетом следующих требований:
1. БК установлен за пределами закрытого квартала;
2. БК установлен за пределами вводов наружных сетей в здание; 
3. БК установлен рядом с башней (при наличии башни в квартале или отдельностоящей) для возможности установки пристежек;
4. БК низких секций радиусом стрелы не перекрывают башню;
5. Рабочая зона покрытия БК перекрывает полностью строящееся здание.</t>
  </si>
  <si>
    <t>11.1.8</t>
  </si>
  <si>
    <t>Возможность и точки подключения к существующим сетям определяются в соответствии с Техническими условиями на подключение. 
Точки подключения должны находиться на территории стройплощадки или в непосредственной близости к ней.</t>
  </si>
  <si>
    <t>11.1.9</t>
  </si>
  <si>
    <t>В соответствии с «Техническим заданием на поставку и монтаж системы видеонаблюдения и СКУД».
Места размещения камер видеонаблюдения выполняется исходя из типового назначения и функционала.</t>
  </si>
  <si>
    <t>11.1.10</t>
  </si>
  <si>
    <t>Установка светильников производится на стационарных и инвентарных мачтах и опорах, переносных стойках, ограждении периметра и строительных конструкциях.
Расстановка светильников по периметру ограждения производится с шагом не более 15 м. Дополнительно устанавливаются: на въезде/выезде на стройплощадку, на проходах в бытовом городке между бытовками, на площадках складирования.</t>
  </si>
  <si>
    <t>11.1.11</t>
  </si>
  <si>
    <t>Технологическая последовательность работ при возведении объектов капитального строительства и их отдельных элементов</t>
  </si>
  <si>
    <t>Описание производить с учетом решений и требований, указанных в Типовых технологических картах (ТТК) и Стандартных операционных картах (СОК).
Выбор документа производится в зависимости от выполняемых работ и от технологии возведения здания (“Монолит” и “Префаб”).</t>
  </si>
  <si>
    <t>11.1.12</t>
  </si>
  <si>
    <t>Указывать с учетом Модельных графиков.
В соответствии с Производственной программой определяются даты начала строительства: март или июль. Срок строительства со стартом в марте составляет 18 месяцев, в июле - 24 месяца.</t>
  </si>
  <si>
    <t>11.1.13</t>
  </si>
  <si>
    <t>Указывать с учетом Типовых площадок складирования.
Выбор площадок производится в зависимости от выполняемых работ и от технологии возведения здания (“Монолит” и “Префаб”).</t>
  </si>
  <si>
    <r>
      <rPr>
        <b/>
        <sz val="10"/>
        <color theme="1"/>
        <rFont val="Arial"/>
      </rPr>
      <t>Приложение № 2.1</t>
    </r>
    <r>
      <rPr>
        <sz val="10"/>
        <color theme="1"/>
        <rFont val="Arial"/>
      </rPr>
      <t xml:space="preserve">
к Договору подряда на выполнение проектных работ 
№ ________ от __.__.202_г.</t>
    </r>
  </si>
  <si>
    <t>ВЕНДОР ЛИСТ</t>
  </si>
  <si>
    <t>Водоснабжение</t>
  </si>
  <si>
    <t>№ п/п</t>
  </si>
  <si>
    <t>Наименование</t>
  </si>
  <si>
    <t>Класс</t>
  </si>
  <si>
    <t>Основной бренд</t>
  </si>
  <si>
    <t>Альтернативный бренд</t>
  </si>
  <si>
    <t>Ссылка</t>
  </si>
  <si>
    <t>Примечание</t>
  </si>
  <si>
    <t>1</t>
  </si>
  <si>
    <t>Насосная станция питьевого водоснабжения, насосы</t>
  </si>
  <si>
    <t>Antarus, Ридан</t>
  </si>
  <si>
    <t>2</t>
  </si>
  <si>
    <t>Арматура:</t>
  </si>
  <si>
    <t>2.1</t>
  </si>
  <si>
    <t>Кран шаровой, фильтр сетчатый, воздухоотводчик</t>
  </si>
  <si>
    <t>LD</t>
  </si>
  <si>
    <r>
      <rPr>
        <sz val="12"/>
        <color rgb="FF000000"/>
        <rFont val="Calibri, sans-serif"/>
      </rPr>
      <t xml:space="preserve">Ридан, Naval, Broen Ballomax, </t>
    </r>
    <r>
      <rPr>
        <sz val="12"/>
        <color rgb="FF000000"/>
        <rFont val="Calibri, sans-serif"/>
      </rPr>
      <t>Valtec</t>
    </r>
  </si>
  <si>
    <t>2.2</t>
  </si>
  <si>
    <t>Клапан, регулятор давления,</t>
  </si>
  <si>
    <t>Valtec</t>
  </si>
  <si>
    <t xml:space="preserve">Ридан, Naval, Broen Ballomax, </t>
  </si>
  <si>
    <t>2.3</t>
  </si>
  <si>
    <t>Фильтр магнитно-механический</t>
  </si>
  <si>
    <t>ADL</t>
  </si>
  <si>
    <t>Naval, Broen Ballomax</t>
  </si>
  <si>
    <t>2.4</t>
  </si>
  <si>
    <t>Затвор, задвижка</t>
  </si>
  <si>
    <r>
      <rPr>
        <sz val="12"/>
        <color rgb="FF000000"/>
        <rFont val="Calibri, sans-serif"/>
      </rPr>
      <t xml:space="preserve">Naval, Broen Ballomax, </t>
    </r>
    <r>
      <rPr>
        <sz val="12"/>
        <color rgb="FF000000"/>
        <rFont val="Calibri, sans-serif"/>
      </rPr>
      <t>LD</t>
    </r>
  </si>
  <si>
    <t>2.5</t>
  </si>
  <si>
    <t>Компенсатор сильфонный</t>
  </si>
  <si>
    <t>Компенсаторы Энергия</t>
  </si>
  <si>
    <t>3</t>
  </si>
  <si>
    <t>Труба и фитинги:</t>
  </si>
  <si>
    <t>3.1</t>
  </si>
  <si>
    <t>Труба из полипропилена (PP)</t>
  </si>
  <si>
    <t>РосТурПласт</t>
  </si>
  <si>
    <t>3.2</t>
  </si>
  <si>
    <t>Труба из металлопластика (PE-Xc/AL/PE)</t>
  </si>
  <si>
    <t>3.3</t>
  </si>
  <si>
    <t>Труба из сшитого полиэтилена (PEX)</t>
  </si>
  <si>
    <t>3.4</t>
  </si>
  <si>
    <t>Труба из нержавеющей стали (магистраль, обвязка насосной) - сварная, (стояк - башня свыше 75 метров) обжимная пресс-фитинги</t>
  </si>
  <si>
    <t>ГОСТ 9941</t>
  </si>
  <si>
    <t>4</t>
  </si>
  <si>
    <t>Теплоизоляция:</t>
  </si>
  <si>
    <t>4.1</t>
  </si>
  <si>
    <t>Трубка из вспененного полиэтилена</t>
  </si>
  <si>
    <t>Energoflex</t>
  </si>
  <si>
    <t>4.2</t>
  </si>
  <si>
    <t>Трубка из вспененного каучука</t>
  </si>
  <si>
    <t>K-Flex</t>
  </si>
  <si>
    <t>Armacell</t>
  </si>
  <si>
    <t>4.3</t>
  </si>
  <si>
    <t>Трубка из полиэтилена гофрированная</t>
  </si>
  <si>
    <t>Контур, Uponor, Frankische, Rehau</t>
  </si>
  <si>
    <t>4.4</t>
  </si>
  <si>
    <t>Рулон из вспененного каучука</t>
  </si>
  <si>
    <t>5</t>
  </si>
  <si>
    <t>Коллектор водоснабжения</t>
  </si>
  <si>
    <t>Аквасмарт</t>
  </si>
  <si>
    <t>6</t>
  </si>
  <si>
    <t>Счетчики</t>
  </si>
  <si>
    <t>Пульсар</t>
  </si>
  <si>
    <t>7</t>
  </si>
  <si>
    <t>Система водоочистки</t>
  </si>
  <si>
    <t>Национальный центр водных технологий</t>
  </si>
  <si>
    <t>Канализация</t>
  </si>
  <si>
    <t>Насосы:</t>
  </si>
  <si>
    <t>1.1</t>
  </si>
  <si>
    <t>Wilo</t>
  </si>
  <si>
    <t>Труба из полипропилена (PP) раструбная</t>
  </si>
  <si>
    <t>Трубы из безраструбного чугуна</t>
  </si>
  <si>
    <t>SML</t>
  </si>
  <si>
    <t>Труба из непластифицированного поливинилхлорида (НПВХ) раструбная - выпуск</t>
  </si>
  <si>
    <t>ГОСТ 54475-2011</t>
  </si>
  <si>
    <t>Труба из полипропилена (PP) - разводка КУИ (подключение к Sololift), дренаж кондиц.</t>
  </si>
  <si>
    <t>Труба из полиэтилена (ПЭ)</t>
  </si>
  <si>
    <t>ГОСТ 18599-2001
SDR17 (для зданий до 75 метров)
SDR11 (для зданий свыше 75 метров)</t>
  </si>
  <si>
    <t>2.6</t>
  </si>
  <si>
    <t>Труба стальная неоцинкованная водогазопроводная</t>
  </si>
  <si>
    <t>ГОСТ 3262-75</t>
  </si>
  <si>
    <t>2.7</t>
  </si>
  <si>
    <t>Труба стальная неоцинкованная электросварная</t>
  </si>
  <si>
    <t>ГОСТ 10704-91</t>
  </si>
  <si>
    <t>Сантехническое оборудование:</t>
  </si>
  <si>
    <t>Раковина (со смесителем подводкой и сифоном)</t>
  </si>
  <si>
    <t>Унитаз прямой/ косой выпуск (с гофрированной трубой)</t>
  </si>
  <si>
    <t>Душевой поддон (со смесителем подводкой и сифоном)</t>
  </si>
  <si>
    <t>Российского производства ГОСТ 23695-2016</t>
  </si>
  <si>
    <t>Дополнительно оборудование:</t>
  </si>
  <si>
    <t>5.1</t>
  </si>
  <si>
    <t>Противопожарные муфты</t>
  </si>
  <si>
    <t>Огракс</t>
  </si>
  <si>
    <t>Rehau, Огнеза</t>
  </si>
  <si>
    <t>5.2</t>
  </si>
  <si>
    <t>Воронки жилой части</t>
  </si>
  <si>
    <t>Hutter &amp; Lechner</t>
  </si>
  <si>
    <t>5.3</t>
  </si>
  <si>
    <t>Воронки паркинга</t>
  </si>
  <si>
    <t>Sita</t>
  </si>
  <si>
    <t>5.4</t>
  </si>
  <si>
    <t>Трапы</t>
  </si>
  <si>
    <t>Сололифт</t>
  </si>
  <si>
    <t>Пожаротушение</t>
  </si>
  <si>
    <t>Antarus, Wilo</t>
  </si>
  <si>
    <t>Кран шаровой</t>
  </si>
  <si>
    <r>
      <rPr>
        <sz val="12"/>
        <color rgb="FF000000"/>
        <rFont val="Calibri, sans-serif"/>
      </rPr>
      <t xml:space="preserve">Ридан, Naval, Broen Ballomax, </t>
    </r>
    <r>
      <rPr>
        <sz val="12"/>
        <color rgb="FF000000"/>
        <rFont val="Calibri, sans-serif"/>
      </rPr>
      <t>Valtec</t>
    </r>
  </si>
  <si>
    <t>Клапан</t>
  </si>
  <si>
    <t>Ридан, Naval, Broen Ballomax</t>
  </si>
  <si>
    <t>Пожарные шкафы</t>
  </si>
  <si>
    <t>АО "НПО Пульс"</t>
  </si>
  <si>
    <t>Оросители:</t>
  </si>
  <si>
    <t>Сплинкерный</t>
  </si>
  <si>
    <t>ПО "Спецавтоматика"</t>
  </si>
  <si>
    <t>Дренчерный</t>
  </si>
  <si>
    <t>Отопление</t>
  </si>
  <si>
    <r>
      <rPr>
        <sz val="12"/>
        <color rgb="FF000000"/>
        <rFont val="Calibri, sans-serif"/>
      </rPr>
      <t xml:space="preserve">Ридан, Naval, Broen Ballomax, </t>
    </r>
    <r>
      <rPr>
        <sz val="12"/>
        <color rgb="FF000000"/>
        <rFont val="Calibri, sans-serif"/>
      </rPr>
      <t>Valtec</t>
    </r>
  </si>
  <si>
    <t>Фильтр сетчатый, воздухоотводчик</t>
  </si>
  <si>
    <t>Ридан, Naval, Broen Ballomax, Valtec</t>
  </si>
  <si>
    <t>Регулирующая арматура (клапаны)</t>
  </si>
  <si>
    <t>Ридан</t>
  </si>
  <si>
    <t>Аква-Смарт, Naval, Broen Ballomax</t>
  </si>
  <si>
    <t>Затвор, Задвижка</t>
  </si>
  <si>
    <t>Цилиндр из минеральной ваты с покрытием</t>
  </si>
  <si>
    <t>Rockwool</t>
  </si>
  <si>
    <t>Экоролл</t>
  </si>
  <si>
    <t>3.5</t>
  </si>
  <si>
    <t>Приборы отопления</t>
  </si>
  <si>
    <t>7.1</t>
  </si>
  <si>
    <t>Радиатор стальной</t>
  </si>
  <si>
    <t>EVRA</t>
  </si>
  <si>
    <t>7.2</t>
  </si>
  <si>
    <t>Радиатор дизайн</t>
  </si>
  <si>
    <t>KZTO - Гармония А40</t>
  </si>
  <si>
    <t>7.3</t>
  </si>
  <si>
    <t>Ballu</t>
  </si>
  <si>
    <t>7.4</t>
  </si>
  <si>
    <t>Термоголовка и запорный клапан</t>
  </si>
  <si>
    <t>Вентиляция общеобменная</t>
  </si>
  <si>
    <t>Вентиляционное оборудование</t>
  </si>
  <si>
    <t>Бытовой канальный вентилятор</t>
  </si>
  <si>
    <t>Ventz</t>
  </si>
  <si>
    <t>Арктика, Неватом</t>
  </si>
  <si>
    <t>Приточно - вытяжная установка</t>
  </si>
  <si>
    <t>Веза</t>
  </si>
  <si>
    <t>Komfovent</t>
  </si>
  <si>
    <t>Осевой вентилятор (паркинг)</t>
  </si>
  <si>
    <t>VKT, Wheel, Korf</t>
  </si>
  <si>
    <t>Канальный вентилятор</t>
  </si>
  <si>
    <t>Клапаны (противопожарные)</t>
  </si>
  <si>
    <t>VKT, Веза, Неватом</t>
  </si>
  <si>
    <t>Воздухораспределители (решетки)</t>
  </si>
  <si>
    <t>Внутренние</t>
  </si>
  <si>
    <t>Арктика</t>
  </si>
  <si>
    <t>Лиссант, Веза, Ventart, ERA</t>
  </si>
  <si>
    <t>Наружные</t>
  </si>
  <si>
    <t>Индивид. изготовления из оцинкованной стали</t>
  </si>
  <si>
    <t>Закладывается в альбоме АР</t>
  </si>
  <si>
    <t>Паркинга</t>
  </si>
  <si>
    <t>Для стенового клапана</t>
  </si>
  <si>
    <t>Era модель 620РСФ</t>
  </si>
  <si>
    <t>Приточный клапан</t>
  </si>
  <si>
    <t>Стеновой угловой</t>
  </si>
  <si>
    <t>КИВ</t>
  </si>
  <si>
    <t>AERECO модель ЕНТ 5-40</t>
  </si>
  <si>
    <t>Подоконный</t>
  </si>
  <si>
    <t>Модель СВК В-75М</t>
  </si>
  <si>
    <t>Огнезащитное покрытие</t>
  </si>
  <si>
    <t>ET Vent Тизол</t>
  </si>
  <si>
    <t>Теплоогнезащита</t>
  </si>
  <si>
    <t>Rockwool alu wired mat 105</t>
  </si>
  <si>
    <t xml:space="preserve">Вентиляция противодымная </t>
  </si>
  <si>
    <t>Осевой вентилятор</t>
  </si>
  <si>
    <t>Клапаны (противопожарные, дымовые, избыточного давления)</t>
  </si>
  <si>
    <t>Лиссант, Веза, Ventart</t>
  </si>
  <si>
    <t>Закладывается в альбоме АИ</t>
  </si>
  <si>
    <t>Теплотехнические решения</t>
  </si>
  <si>
    <t>Блок ИТП (заводского изготовления)</t>
  </si>
  <si>
    <t>Ридан, Элита</t>
  </si>
  <si>
    <t>Расширительные баки</t>
  </si>
  <si>
    <t>ADL, Wester</t>
  </si>
  <si>
    <t>Труба из нержавеющей стали (магистраль, обвязка насосной)</t>
  </si>
  <si>
    <r>
      <rPr>
        <sz val="12"/>
        <color rgb="FF000000"/>
        <rFont val="Calibri, sans-serif"/>
      </rPr>
      <t xml:space="preserve">Ридан, Naval, Broen Ballomax, </t>
    </r>
    <r>
      <rPr>
        <sz val="12"/>
        <color rgb="FF000000"/>
        <rFont val="Calibri, sans-serif"/>
      </rPr>
      <t>Valtec</t>
    </r>
  </si>
  <si>
    <t>Клапан, Фильтр сетчатый, Воздухоотводчик</t>
  </si>
  <si>
    <r>
      <rPr>
        <sz val="12"/>
        <color rgb="FF000000"/>
        <rFont val="Calibri, sans-serif"/>
      </rPr>
      <t xml:space="preserve">Ридан, Naval, Broen Ballomax, </t>
    </r>
    <r>
      <rPr>
        <sz val="12"/>
        <color rgb="FF000000"/>
        <rFont val="Calibri, sans-serif"/>
      </rPr>
      <t>Valtec</t>
    </r>
  </si>
  <si>
    <t>Узел коммерческого учета тепловой энергии (УКУТ)</t>
  </si>
  <si>
    <t>Контрольно-измерительные приборы:</t>
  </si>
  <si>
    <t>Взлет</t>
  </si>
  <si>
    <t>Логика</t>
  </si>
  <si>
    <t>Взлет (ЭРСВЭ-440Л В)</t>
  </si>
  <si>
    <t>Теплоком (ПРЭМ, класс D)</t>
  </si>
  <si>
    <t>Взлет (ТПС)</t>
  </si>
  <si>
    <t>ЗАО "Термико" (КТПТР)</t>
  </si>
  <si>
    <t>Датчик давления</t>
  </si>
  <si>
    <t>Взлет (СДВ-И)</t>
  </si>
  <si>
    <t>Электроснабжение</t>
  </si>
  <si>
    <t>Кабельная продукция</t>
  </si>
  <si>
    <t>Медные жилы</t>
  </si>
  <si>
    <t>ГОСТ 31996-2012</t>
  </si>
  <si>
    <t>Алюминиевый сплав марок 8030, 8176</t>
  </si>
  <si>
    <t>ГОСТ З 58019</t>
  </si>
  <si>
    <t>СИБАР</t>
  </si>
  <si>
    <t>DKC, ЕАЕ</t>
  </si>
  <si>
    <t>Лотки</t>
  </si>
  <si>
    <t>Система металлических листовых лотков "S5 Combitech" Цинкование по методу Сендзимира</t>
  </si>
  <si>
    <t>DKC</t>
  </si>
  <si>
    <t>IEK, EKF</t>
  </si>
  <si>
    <t>Щиты</t>
  </si>
  <si>
    <t>Квартирный</t>
  </si>
  <si>
    <t xml:space="preserve">IEK ЩРВ-П-12 серии PRIME </t>
  </si>
  <si>
    <t>EKF, Schneider Electric (Systeme Electric)</t>
  </si>
  <si>
    <t>https://clck.ru/39ZC8o</t>
  </si>
  <si>
    <t>Распределительный</t>
  </si>
  <si>
    <t>IEK</t>
  </si>
  <si>
    <t>Этажный щит</t>
  </si>
  <si>
    <t>Щит механизации коммерции ЩМ-К</t>
  </si>
  <si>
    <t>4.5</t>
  </si>
  <si>
    <t>Вводно-распределительно устройство ВРУ</t>
  </si>
  <si>
    <t>https://clck.ru/39ZCPL</t>
  </si>
  <si>
    <t>Автоматы</t>
  </si>
  <si>
    <t>Автоматические выключатели ВА47-100</t>
  </si>
  <si>
    <t>Schneider Electric (Systeme Electric)</t>
  </si>
  <si>
    <t>https://clck.ru/39a8yC</t>
  </si>
  <si>
    <t>Автоматические выключатели ВА47-60</t>
  </si>
  <si>
    <t>https://clck.ru/39a92H</t>
  </si>
  <si>
    <t>Автоматические выключатели ВА47-29</t>
  </si>
  <si>
    <t>https://clck.ru/39a98Z</t>
  </si>
  <si>
    <t>Автоматические выключатели дифференциального тока АВДТ32</t>
  </si>
  <si>
    <t>https://clck.ru/39a9D5</t>
  </si>
  <si>
    <t>5.5</t>
  </si>
  <si>
    <t>Автоматические выключатели дифференциального тока (ARMAT) только в ЩК</t>
  </si>
  <si>
    <t>https://clck.ru/39aAVa</t>
  </si>
  <si>
    <t>6.1</t>
  </si>
  <si>
    <t>Общедомовой</t>
  </si>
  <si>
    <t>АО "Энергомера" модели 
CE307 R34.749.OA.QUVLFZ SPds (прямого включения)
CE307 R34.543.OAA.SUVLFZ SPds -3Ф (трансформаторного включения</t>
  </si>
  <si>
    <t>6.2</t>
  </si>
  <si>
    <t>Квартирный, коммерческое помещение</t>
  </si>
  <si>
    <t>АО "Энергомера" модель
CE207 R7.849.2.OA.QUVLF SPDS</t>
  </si>
  <si>
    <t>Оконечное оборудование</t>
  </si>
  <si>
    <t>Розетка на DIN-рейку с заземлением контактов РАр 10-3-ОП MRD10-16 IEK</t>
  </si>
  <si>
    <t>https://clck.ru/38kJL9</t>
  </si>
  <si>
    <t>в ЩЭ/ЩМ-КВ</t>
  </si>
  <si>
    <t>Розетка с заземлением с защитными шторками 16А в сборе РСР14-1-0-БрБ белый BR-R14-16-K01-F IEK BRITE</t>
  </si>
  <si>
    <t>https://clck.ru/38kJg7</t>
  </si>
  <si>
    <t>квартиры</t>
  </si>
  <si>
    <t>Розетка одноместная РСбш10-3-КБ-44 с заземляющим контактом с защитными шторками и крышкой 16А IP44 белый KV-R16-16-44-K01 IEK КВАРТА</t>
  </si>
  <si>
    <t>https://clck.ru/38kKWH</t>
  </si>
  <si>
    <t>Розетка двойная с заземлением с защитными шторками и крышкой 16А в сборе IP44 РСбш12-3-44-БрБ белый BR-R26-16-44-K01-F IEK BRITE</t>
  </si>
  <si>
    <t>https://clck.ru/38kKCL</t>
  </si>
  <si>
    <t>7.5</t>
  </si>
  <si>
    <t>Розетка наружная с заземлением с крышкой IP54 ERS12-K03-16-54-DC IEK ФОРС</t>
  </si>
  <si>
    <t>https://clck.ru/38kLHN</t>
  </si>
  <si>
    <t>тех. пом. / улица</t>
  </si>
  <si>
    <t>7.6</t>
  </si>
  <si>
    <t>Розетка двойная наружная с заземлением белая ERO21-K01-16-DC IEK ОКТАВА</t>
  </si>
  <si>
    <t>https://clck.ru/38kLjB</t>
  </si>
  <si>
    <t xml:space="preserve">тех. пом. </t>
  </si>
  <si>
    <t>7.7</t>
  </si>
  <si>
    <t>Выключатель 1-клавишный 10А в сборе ВСР10-1-0-БрЖ жемчуг IEK BR-V10-0-10-K36-F IEK BRITE</t>
  </si>
  <si>
    <t>https://clck.ru/38kLz9</t>
  </si>
  <si>
    <t>7.8</t>
  </si>
  <si>
    <t>Выключатель 2-клавишный 10А в сборе ВСР10-2-0-БрЖ жемчуг IEK BR-V20-0-10-K36-F IEK BRITE</t>
  </si>
  <si>
    <t>https://clck.ru/38kM3S</t>
  </si>
  <si>
    <t>7.9</t>
  </si>
  <si>
    <t>Выключатель одноклавишный наружный белый EVO10-K01-10-DC IEK ОКТАВА</t>
  </si>
  <si>
    <t>https://clck.ru/38kMLX</t>
  </si>
  <si>
    <t>7.10</t>
  </si>
  <si>
    <t xml:space="preserve">Выключатель одноклавишный наружный IP54 EVS10-K03-10-54-DC IEK ФОРС </t>
  </si>
  <si>
    <t>https://clck.ru/36vCoZ</t>
  </si>
  <si>
    <t>7.11</t>
  </si>
  <si>
    <t>Светильники</t>
  </si>
  <si>
    <t>Белый свет, Световые технологии</t>
  </si>
  <si>
    <t>7.12</t>
  </si>
  <si>
    <t>Патрон подвесной Е27 с проводом и клемной колодкой пластик черный EPP14-04-01-K02 IEK</t>
  </si>
  <si>
    <t>https://clck.ru/38kNNg</t>
  </si>
  <si>
    <t>7.13</t>
  </si>
  <si>
    <t>Светильник светодиодный ДБП-12w 4000K 960Лм IP65 круглый пластиковый белый LDPO0-5030-12-4000-K01 IEK</t>
  </si>
  <si>
    <t>https://clck.ru/38y6Zs</t>
  </si>
  <si>
    <t>кладовки</t>
  </si>
  <si>
    <t>7.14</t>
  </si>
  <si>
    <t>Светодиодный светильник IEK ДСП 1306, 36вт, 4000К, IP65, 1200мм, серый, пластик LDSP0-1306-36-4000-K01</t>
  </si>
  <si>
    <t>https://clck.ru/38y6LA</t>
  </si>
  <si>
    <t>коридоры кладовых, тех. пом.</t>
  </si>
  <si>
    <t>7.15</t>
  </si>
  <si>
    <t>Лампа светодиодная LED 7вт Е27 дневной шар ECO LLE-G45-7-230-65-E27 IEK</t>
  </si>
  <si>
    <t>https://clck.ru/38pmRi</t>
  </si>
  <si>
    <t>8</t>
  </si>
  <si>
    <t>Трубы и коробки</t>
  </si>
  <si>
    <t>8.1</t>
  </si>
  <si>
    <t>Труба гофрированная ПНД 20 мм с протяжкой легкая черная</t>
  </si>
  <si>
    <t>IEK, Экопласт</t>
  </si>
  <si>
    <t>https://clck.ru/38kXHX</t>
  </si>
  <si>
    <t xml:space="preserve">(закладные в каркасе/заливке пола) </t>
  </si>
  <si>
    <t>8.2</t>
  </si>
  <si>
    <t xml:space="preserve">Труба гофрированная ПНД 25 мм с протяжкой черная </t>
  </si>
  <si>
    <t>https://clck.ru/38Q2gP</t>
  </si>
  <si>
    <t>8.3</t>
  </si>
  <si>
    <t>Труба гофрированная ПНД 32мм с протяжкой легкая черная</t>
  </si>
  <si>
    <t>https://clck.ru/38Q2rH</t>
  </si>
  <si>
    <t>8.4</t>
  </si>
  <si>
    <t>Труба гофрированная ПНД 40мм с протяжкой легкая черная</t>
  </si>
  <si>
    <t>https://clck.ru/38Q33e</t>
  </si>
  <si>
    <t>8.5</t>
  </si>
  <si>
    <t xml:space="preserve">Труба ПВХ гибкая гофрированная д.20мм легкая с протяжкой серая </t>
  </si>
  <si>
    <t>https://clck.ru/38kXzZ</t>
  </si>
  <si>
    <t>(в ГКЛ/наружная прокладка)</t>
  </si>
  <si>
    <t>8.6</t>
  </si>
  <si>
    <t xml:space="preserve">Труба гофрированная ПВХ 25 мм с протяжкой легкая серая </t>
  </si>
  <si>
    <t>https://clck.ru/38kY8a</t>
  </si>
  <si>
    <t>8.7</t>
  </si>
  <si>
    <t>Труба гофрированная ПВХ 32 мм с протяжкой легкая серая</t>
  </si>
  <si>
    <t>https://clck.ru/38Q2PW</t>
  </si>
  <si>
    <t>8.8</t>
  </si>
  <si>
    <t>Труба гофрированная ПВХ 40 мм с протяжкой легкая серая</t>
  </si>
  <si>
    <t>https://clck.ru/38PzzP</t>
  </si>
  <si>
    <t>8.9</t>
  </si>
  <si>
    <t>Труба гофрированная ПВХ 50 мм с протяжкой легкая серая</t>
  </si>
  <si>
    <t>https://clck.ru/38Q2Xa</t>
  </si>
  <si>
    <t>8.10</t>
  </si>
  <si>
    <t>Труба гофрированная ПНД 25 мм с протяжкой тяжелая оранжевая (50м) 71525 DKC</t>
  </si>
  <si>
    <t>8.11</t>
  </si>
  <si>
    <t>Труба гофрированная стальная в изоляции гибкая (разводка к ЗОМ)</t>
  </si>
  <si>
    <t>8.12</t>
  </si>
  <si>
    <t>Труба стальная электросварная прямошовная Ду 50 (Дн 57,0х3,5)</t>
  </si>
  <si>
    <t>https://clck.ru/39486m</t>
  </si>
  <si>
    <t>8.13</t>
  </si>
  <si>
    <t>Труба стальная электросварная прямошовная Ду 80 (Дн 89,0х3,0)</t>
  </si>
  <si>
    <t>https://clck.ru/3947zM</t>
  </si>
  <si>
    <t>8.14</t>
  </si>
  <si>
    <t>Труба стальная электросварная прямошовная оцинкованная Ду 80 (Дн 89,0х3,5)</t>
  </si>
  <si>
    <t>https://clck.ru/3947iu</t>
  </si>
  <si>
    <t>8.15</t>
  </si>
  <si>
    <t xml:space="preserve">Труба стальная электросварная прямошовная оцинкованная Ду 200 (Дн 219,0х6,0) </t>
  </si>
  <si>
    <t>https://clck.ru/3947cj</t>
  </si>
  <si>
    <t>8.16</t>
  </si>
  <si>
    <t>Коробка уравнивания потенциалов 100х100х50мм КУП КМ41361 с защелкивающейся крышкой IP44 6 гермовводов UKO21-100-100-050-K41-55U IEK</t>
  </si>
  <si>
    <t xml:space="preserve"> Hegel</t>
  </si>
  <si>
    <t>https://clck.ru/393rvM</t>
  </si>
  <si>
    <t>8.17</t>
  </si>
  <si>
    <t>Коробка клеммная 100х100х29 белая IP20 КМ41219 для электроплиты</t>
  </si>
  <si>
    <t xml:space="preserve"> Schneider Electric (Systeme Electric)</t>
  </si>
  <si>
    <t>https://clck.ru/38kdFC</t>
  </si>
  <si>
    <t>8.18</t>
  </si>
  <si>
    <t>Коробка установочная СЗ блочная для твердых стен D=68х45мм</t>
  </si>
  <si>
    <t>https://clck.ru/38kdLs</t>
  </si>
  <si>
    <t>8.19</t>
  </si>
  <si>
    <t>Коробка установочная СЗ для полых стен D=68х45мм</t>
  </si>
  <si>
    <t>https://clck.ru/38kdQx</t>
  </si>
  <si>
    <t>8.20</t>
  </si>
  <si>
    <t>Коробка распределительная 92х92х45 скрытая КМ41001 (для сплошных стен)</t>
  </si>
  <si>
    <t>https://clck.ru/38kdgz</t>
  </si>
  <si>
    <t>8.21</t>
  </si>
  <si>
    <t>Коробка распределительная 92х92х45 скрытая КМ41022 (для полых стен)</t>
  </si>
  <si>
    <t>https://clck.ru/38kdob</t>
  </si>
  <si>
    <t>8.22</t>
  </si>
  <si>
    <t xml:space="preserve">Коробка распаячная 118х76х60мм для монолитного строительства черная </t>
  </si>
  <si>
    <t>https://clck.ru/38r2HR</t>
  </si>
  <si>
    <t>8.23</t>
  </si>
  <si>
    <t>Коробка потолочная с крюком Л253М У3 43Б20Л253У ПЭМИ</t>
  </si>
  <si>
    <t>https://clck.ru/38pp9L</t>
  </si>
  <si>
    <t>8.24</t>
  </si>
  <si>
    <t xml:space="preserve">Коробка установочная d=70х72мм  для монолитного строительства черная </t>
  </si>
  <si>
    <t>https://clck.ru/38r3Pv</t>
  </si>
  <si>
    <t>8.25</t>
  </si>
  <si>
    <t xml:space="preserve">Коробка распаячная для твердых стен D=70х30мм с крышкой </t>
  </si>
  <si>
    <t>https://clck.ru/38r3aT</t>
  </si>
  <si>
    <t>9</t>
  </si>
  <si>
    <t>Система молниезащиты</t>
  </si>
  <si>
    <t>9.1</t>
  </si>
  <si>
    <t>Полоса 4х25мм, (бухта 64м) горячеоцинкованная PROxima gc-0425-64-hz EKF</t>
  </si>
  <si>
    <t>EKF</t>
  </si>
  <si>
    <t>https://clck.ru/393sGS</t>
  </si>
  <si>
    <t>9.2</t>
  </si>
  <si>
    <t>Полоса 4х40мм, (бухта 40м) горячеоцинкованная PROxima gc-0440-40-hz EKF</t>
  </si>
  <si>
    <t>https://clck.ru/393sMo</t>
  </si>
  <si>
    <t>9.3</t>
  </si>
  <si>
    <t>Пруток d 8мм, (бухта 110м) горячеоцикованный Basic lpb-08-110-hz EKF</t>
  </si>
  <si>
    <t>https://clck.ru/393sT4</t>
  </si>
  <si>
    <t>9.4</t>
  </si>
  <si>
    <t>Держатель для полосы горячеоцинкованный PROxima lp-31540 EKF</t>
  </si>
  <si>
    <t>https://clck.ru/393sdK</t>
  </si>
  <si>
    <t>9.5</t>
  </si>
  <si>
    <t>Держатель фасадный для полосы 50 мм, L=100мм, HZ PROxima lp-31508 EKF</t>
  </si>
  <si>
    <t>https://clck.ru/393stK</t>
  </si>
  <si>
    <t>9.6</t>
  </si>
  <si>
    <t>Держатель фасадный, L=100мм HZ PROxima lp-d2307 EKF</t>
  </si>
  <si>
    <t>https://clck.ru/393t3d</t>
  </si>
  <si>
    <t>9.7</t>
  </si>
  <si>
    <t>Строительно-монтажная клемма СМК 773-102, 2 отверстия 1,0–2,5 мм² EKF PROxima</t>
  </si>
  <si>
    <t>https://clck.ru/3945ey</t>
  </si>
  <si>
    <t>9.8</t>
  </si>
  <si>
    <t>Строительно-монтажная клемма СМК 773-104, 4 отверстия 1,0–2,5 мм² EKF PROxima</t>
  </si>
  <si>
    <t>https://clck.ru/3945jD</t>
  </si>
  <si>
    <t>9.9</t>
  </si>
  <si>
    <t>Строительно-монтажная клемма СМК 773-106, 6 отверстий 1,0–2,5 мм² EKF PROxima</t>
  </si>
  <si>
    <t>https://clck.ru/3945nd</t>
  </si>
  <si>
    <t>Слаботочные системы</t>
  </si>
  <si>
    <t>Пожарная сигнализация</t>
  </si>
  <si>
    <t>Прибор приемно-контрольный (база)</t>
  </si>
  <si>
    <t>Рубеж</t>
  </si>
  <si>
    <t>НВП Болид</t>
  </si>
  <si>
    <t>Дымовые извещатели</t>
  </si>
  <si>
    <t>Тепловые извещатели</t>
  </si>
  <si>
    <t>Ручные извещатели</t>
  </si>
  <si>
    <t>Автономные дымовые извещатели</t>
  </si>
  <si>
    <t>Световой оповещатель</t>
  </si>
  <si>
    <t>LUIS+</t>
  </si>
  <si>
    <t>Молния</t>
  </si>
  <si>
    <t>Звуковой извещатель</t>
  </si>
  <si>
    <t>Маяк</t>
  </si>
  <si>
    <t>Речевой оповещатель</t>
  </si>
  <si>
    <t>Sonar</t>
  </si>
  <si>
    <t>НВП Болид, Комтид</t>
  </si>
  <si>
    <t>ОКЛ</t>
  </si>
  <si>
    <t>ИЕК, ДКС</t>
  </si>
  <si>
    <t>Промрукав</t>
  </si>
  <si>
    <t>Система домофонии</t>
  </si>
  <si>
    <t>Вызывная панель</t>
  </si>
  <si>
    <t>Bas-IP</t>
  </si>
  <si>
    <t xml:space="preserve">Оборудование в квартире </t>
  </si>
  <si>
    <t>Вызывная панель - калитка</t>
  </si>
  <si>
    <t>СКУД - вход с улицы в паркинг</t>
  </si>
  <si>
    <t>Организация автомобильного проезда в паркинг</t>
  </si>
  <si>
    <t>Bas-IP, Came</t>
  </si>
  <si>
    <t xml:space="preserve">Электромагнитные замки, датчики </t>
  </si>
  <si>
    <t>ООО "Экскон"</t>
  </si>
  <si>
    <t>Smartec</t>
  </si>
  <si>
    <t>Блоки питания</t>
  </si>
  <si>
    <t>Бастион</t>
  </si>
  <si>
    <t>2.8</t>
  </si>
  <si>
    <t>Кабели СКС</t>
  </si>
  <si>
    <t>Eurolan</t>
  </si>
  <si>
    <t>Nikomax, Рексант</t>
  </si>
  <si>
    <t>2.9</t>
  </si>
  <si>
    <t>Кабели</t>
  </si>
  <si>
    <t>Паритет</t>
  </si>
  <si>
    <t>Технокабель-НН</t>
  </si>
  <si>
    <t>IP-видеорегистратор</t>
  </si>
  <si>
    <t>RVI</t>
  </si>
  <si>
    <t>Trassir</t>
  </si>
  <si>
    <t>Жесткий диск</t>
  </si>
  <si>
    <t>WD</t>
  </si>
  <si>
    <t>Seagate</t>
  </si>
  <si>
    <t>Камера наружная</t>
  </si>
  <si>
    <t>LTV, Hikvision</t>
  </si>
  <si>
    <t>Камера внутренняя</t>
  </si>
  <si>
    <t>3.6</t>
  </si>
  <si>
    <t>Камера внутренняя лифтовая</t>
  </si>
  <si>
    <t>Система телеметрии</t>
  </si>
  <si>
    <t>Программное обеспечение</t>
  </si>
  <si>
    <t>ЛЭРС</t>
  </si>
  <si>
    <t>Оборудование</t>
  </si>
  <si>
    <t xml:space="preserve">Кабели </t>
  </si>
  <si>
    <t>Система объединенной диспетчерской службы</t>
  </si>
  <si>
    <t>Система диспетчеризации лифтов</t>
  </si>
  <si>
    <t>ОБЬ</t>
  </si>
  <si>
    <t>ТЕКОН-АВТОМАТИКА</t>
  </si>
  <si>
    <t>Система переговорной связи</t>
  </si>
  <si>
    <t>Коммутаторы PoЕ</t>
  </si>
  <si>
    <t>TP-Link, Netgear</t>
  </si>
  <si>
    <t>Система контроля загазованности</t>
  </si>
  <si>
    <t>Seitron</t>
  </si>
  <si>
    <t>ИБП</t>
  </si>
  <si>
    <t>SNR</t>
  </si>
  <si>
    <t>Ippon, SKAT</t>
  </si>
  <si>
    <t>5.6</t>
  </si>
  <si>
    <t>Блок вентиляторов</t>
  </si>
  <si>
    <t>ЦМО</t>
  </si>
  <si>
    <t>5.7</t>
  </si>
  <si>
    <t>Блок розеток</t>
  </si>
  <si>
    <t>5.8</t>
  </si>
  <si>
    <t>Патч панель RJ-45</t>
  </si>
  <si>
    <t>Nikolan</t>
  </si>
  <si>
    <t>5.9</t>
  </si>
  <si>
    <t>Комплект проводов для заземления</t>
  </si>
  <si>
    <t>5.10</t>
  </si>
  <si>
    <t>Шкаф телекоммуникационный</t>
  </si>
  <si>
    <t>5.11</t>
  </si>
  <si>
    <t>Оптический кросс 19U в сборе</t>
  </si>
  <si>
    <t>5.12</t>
  </si>
  <si>
    <t>Кабельные органайзеры</t>
  </si>
  <si>
    <t>5.13</t>
  </si>
  <si>
    <t>Кабели оптические</t>
  </si>
  <si>
    <t xml:space="preserve"> ССД</t>
  </si>
  <si>
    <t>Инкаб</t>
  </si>
  <si>
    <t>6.3</t>
  </si>
  <si>
    <t>6.4</t>
  </si>
  <si>
    <t>6.5</t>
  </si>
  <si>
    <t xml:space="preserve">Оптический этажный кросс в сборе </t>
  </si>
  <si>
    <t>6.6</t>
  </si>
  <si>
    <t>Розетка абонентская</t>
  </si>
  <si>
    <t>Система охранной сигнализации</t>
  </si>
  <si>
    <t xml:space="preserve">Оборудование </t>
  </si>
  <si>
    <t>* - оборудование к применению в г. Екатеринбург</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</si>
</sst>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d\.m"/>
  </numFmts>
  <fonts count="72">
    <font>
      <sz val="10"/>
      <color rgb="FF000000"/>
      <name val="Arial"/>
      <scheme val="minor"/>
    </font>
    <font>
      <sz val="10"/>
      <color theme="1"/>
      <name val="Arial"/>
      <scheme val="minor"/>
    </font>
    <font>
      <b/>
      <sz val="10"/>
      <color theme="1"/>
      <name val="Arial"/>
      <scheme val="minor"/>
    </font>
    <font>
      <sz val="10"/>
      <color theme="1"/>
      <name val="Arial"/>
      <scheme val="minor"/>
    </font>
    <font>
      <sz val="8"/>
      <color theme="1"/>
      <name val="Arial"/>
      <scheme val="minor"/>
    </font>
    <font>
      <b/>
      <sz val="8"/>
      <color theme="1"/>
      <name val="Arial"/>
      <scheme val="minor"/>
    </font>
    <font>
      <sz val="10"/>
      <name val="Arial"/>
    </font>
    <font>
      <b/>
      <sz val="10"/>
      <color theme="1"/>
      <name val="Arial"/>
      <scheme val="minor"/>
    </font>
    <font>
      <u/>
      <sz val="8"/>
      <color rgb="FF0000FF"/>
      <name val="Arial"/>
    </font>
    <font>
      <u/>
      <sz val="8"/>
      <color rgb="FF0000FF"/>
      <name val="Arial"/>
    </font>
    <font>
      <sz val="8"/>
      <color theme="1"/>
      <name val="Arial"/>
    </font>
    <font>
      <u/>
      <sz val="8"/>
      <color rgb="FF0000FF"/>
      <name val="Arial"/>
    </font>
    <font>
      <u/>
      <sz val="8"/>
      <color rgb="FF0000FF"/>
      <name val="Arial"/>
    </font>
    <font>
      <u/>
      <sz val="8"/>
      <color rgb="FF0000FF"/>
      <name val="Arial"/>
    </font>
    <font>
      <sz val="8"/>
      <color rgb="FF000000"/>
      <name val="Arial"/>
    </font>
    <font>
      <sz val="10"/>
      <color theme="1"/>
      <name val="Arial"/>
    </font>
    <font>
      <sz val="8"/>
      <color rgb="FFFF0000"/>
      <name val="Arial"/>
    </font>
    <font>
      <b/>
      <sz val="8"/>
      <color rgb="FF000000"/>
      <name val="Arial"/>
    </font>
    <font>
      <b/>
      <sz val="8"/>
      <color theme="1"/>
      <name val="Arial"/>
    </font>
    <font>
      <b/>
      <sz val="10"/>
      <color theme="1"/>
      <name val="Arial"/>
    </font>
    <font>
      <sz val="10"/>
      <color theme="1"/>
      <name val="Arial"/>
    </font>
    <font>
      <b/>
      <sz val="10"/>
      <color rgb="FF000000"/>
      <name val="Arial"/>
    </font>
    <font>
      <sz val="8"/>
      <color rgb="FF0000FF"/>
      <name val="Arial"/>
    </font>
    <font>
      <b/>
      <sz val="9"/>
      <color rgb="FF000000"/>
      <name val="Arial"/>
    </font>
    <font>
      <b/>
      <sz val="9"/>
      <color rgb="FF0000FF"/>
      <name val="Arial"/>
    </font>
    <font>
      <b/>
      <sz val="9"/>
      <color theme="1"/>
      <name val="Arial"/>
    </font>
    <font>
      <sz val="10"/>
      <color rgb="FF000000"/>
      <name val="Arial"/>
    </font>
    <font>
      <b/>
      <sz val="9"/>
      <color rgb="FF1155CC"/>
      <name val="Arial"/>
    </font>
    <font>
      <sz val="8"/>
      <color rgb="FF1155CC"/>
      <name val="Arial"/>
    </font>
    <font>
      <b/>
      <sz val="10"/>
      <color theme="1"/>
      <name val="Arial"/>
    </font>
    <font>
      <b/>
      <sz val="8"/>
      <color rgb="FF1155CC"/>
      <name val="Arial"/>
    </font>
    <font>
      <sz val="8"/>
      <color theme="1"/>
      <name val="&quot;Helvetica Neue&quot;"/>
    </font>
    <font>
      <b/>
      <sz val="8"/>
      <color rgb="FF0000FF"/>
      <name val="Arial"/>
    </font>
    <font>
      <sz val="8"/>
      <color theme="1"/>
      <name val="Helvetica Neue"/>
    </font>
    <font>
      <sz val="8"/>
      <color rgb="FF93C47D"/>
      <name val="Arial"/>
    </font>
    <font>
      <sz val="8"/>
      <color rgb="FFFF0000"/>
      <name val="Arial"/>
      <scheme val="minor"/>
    </font>
    <font>
      <i/>
      <sz val="8"/>
      <color theme="1"/>
      <name val="Arial"/>
      <scheme val="minor"/>
    </font>
    <font>
      <u/>
      <sz val="8"/>
      <color rgb="FF0000FF"/>
      <name val="Arial"/>
    </font>
    <font>
      <u/>
      <sz val="8"/>
      <color rgb="FF1155CC"/>
      <name val="Arial"/>
    </font>
    <font>
      <u/>
      <sz val="8"/>
      <color rgb="FF1155CC"/>
      <name val="Arial"/>
    </font>
    <font>
      <b/>
      <sz val="12"/>
      <color theme="1"/>
      <name val="Calibri"/>
    </font>
    <font>
      <sz val="12"/>
      <color rgb="FF000000"/>
      <name val="Calibri"/>
    </font>
    <font>
      <sz val="12"/>
      <color theme="1"/>
      <name val="Calibri"/>
    </font>
    <font>
      <strike/>
      <sz val="10"/>
      <color rgb="FF000000"/>
      <name val="Calibri"/>
    </font>
    <font>
      <b/>
      <sz val="10"/>
      <color theme="1"/>
      <name val="Calibri"/>
    </font>
    <font>
      <sz val="10"/>
      <color theme="1"/>
      <name val="Calibri"/>
    </font>
    <font>
      <sz val="10"/>
      <color rgb="FF000000"/>
      <name val="Calibri"/>
    </font>
    <font>
      <sz val="12"/>
      <color rgb="FF000000"/>
      <name val="Docs-Calibri"/>
    </font>
    <font>
      <sz val="10"/>
      <color theme="1"/>
      <name val="Calibri"/>
    </font>
    <font>
      <u/>
      <sz val="10"/>
      <color rgb="FF1155CC"/>
      <name val="Calibri"/>
    </font>
    <font>
      <u/>
      <sz val="10"/>
      <color rgb="FF1155CC"/>
      <name val="Calibri"/>
    </font>
    <font>
      <u/>
      <sz val="10"/>
      <color rgb="FF1155CC"/>
      <name val="Calibri"/>
    </font>
    <font>
      <u/>
      <sz val="10"/>
      <color rgb="FF1155CC"/>
      <name val="Calibri"/>
    </font>
    <font>
      <sz val="10"/>
      <color rgb="FF4B4F58"/>
      <name val="Docs-Tahoma"/>
    </font>
    <font>
      <b/>
      <sz val="10"/>
      <color theme="1"/>
      <name val="&quot;Helvetica Neue&quot;"/>
    </font>
    <font>
      <b/>
      <sz val="12"/>
      <color rgb="FF000000"/>
      <name val="Calibri"/>
    </font>
    <font>
      <sz val="8"/>
      <name val="Arial"/>
    </font>
    <font>
      <sz val="10"/>
      <color rgb="FFFF0000"/>
      <name val="Arial"/>
    </font>
    <font>
      <i/>
      <sz val="8"/>
      <color rgb="FF000000"/>
      <name val="Arial"/>
    </font>
    <font>
      <i/>
      <sz val="8"/>
      <color theme="1"/>
      <name val="Arial"/>
    </font>
    <font>
      <sz val="8"/>
      <color rgb="FFB6D7A8"/>
      <name val="Arial"/>
    </font>
    <font>
      <b/>
      <sz val="8"/>
      <color rgb="FFFF0000"/>
      <name val="Arial"/>
    </font>
    <font>
      <b/>
      <sz val="9"/>
      <name val="Arial"/>
    </font>
    <font>
      <b/>
      <i/>
      <sz val="8"/>
      <color theme="1"/>
      <name val="Arial"/>
    </font>
    <font>
      <strike/>
      <sz val="8"/>
      <color rgb="FF000000"/>
      <name val="Arial"/>
    </font>
    <font>
      <b/>
      <i/>
      <sz val="8"/>
      <color rgb="FF000000"/>
      <name val="Arial"/>
    </font>
    <font>
      <strike/>
      <sz val="8"/>
      <color theme="1"/>
      <name val="Arial"/>
    </font>
    <font>
      <sz val="8"/>
      <color rgb="FF434343"/>
      <name val="Arial"/>
    </font>
    <font>
      <b/>
      <sz val="10"/>
      <color rgb="FFFF0000"/>
      <name val="Arial"/>
    </font>
    <font>
      <sz val="8"/>
      <color rgb="FF34A853"/>
      <name val="Arial"/>
    </font>
    <font>
      <sz val="8"/>
      <color rgb="FF6AA84F"/>
      <name val="Arial"/>
    </font>
    <font>
      <sz val="12"/>
      <color rgb="FF000000"/>
      <name val="Calibri, sans-serif"/>
    </font>
  </fonts>
  <fills count="10">
    <fill>
      <patternFill patternType="none"/>
    </fill>
    <fill>
      <patternFill patternType="gray125"/>
    </fill>
    <fill>
      <patternFill patternType="solid">
        <fgColor rgb="FFFFFFFF"/>
        <bgColor rgb="FFFFFFFF"/>
      </patternFill>
    </fill>
    <fill>
      <patternFill patternType="solid">
        <fgColor theme="0"/>
        <bgColor theme="0"/>
      </patternFill>
    </fill>
    <fill>
      <patternFill patternType="solid">
        <fgColor rgb="FFFFF2CC"/>
        <bgColor rgb="FFFFF2CC"/>
      </patternFill>
    </fill>
    <fill>
      <patternFill patternType="solid">
        <fgColor rgb="FFD9EAD3"/>
        <bgColor rgb="FFD9EAD3"/>
      </patternFill>
    </fill>
    <fill>
      <patternFill patternType="solid">
        <fgColor rgb="FFD9D2E9"/>
        <bgColor rgb="FFD9D2E9"/>
      </patternFill>
    </fill>
    <fill>
      <patternFill patternType="solid">
        <fgColor rgb="FF9FC5E8"/>
        <bgColor rgb="FF9FC5E8"/>
      </patternFill>
    </fill>
    <fill>
      <patternFill patternType="solid">
        <fgColor rgb="FFCFE2F3"/>
        <bgColor rgb="FFCFE2F3"/>
      </patternFill>
    </fill>
    <fill>
      <patternFill patternType="solid">
        <fgColor rgb="FFFCE5CD"/>
        <bgColor rgb="FFFCE5CD"/>
      </patternFill>
    </fill>
  </fills>
  <borders count="39">
    <border>
      <left/>
      <right/>
      <top/>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style="thin">
        <color rgb="FF000000"/>
      </top>
      <bottom/>
      <diagonal/>
    </border>
    <border>
      <left style="thin">
        <color rgb="FFD9D9D9"/>
      </left>
      <right/>
      <top style="thin">
        <color rgb="FFD9D9D9"/>
      </top>
      <bottom style="thin">
        <color rgb="FFD9D9D9"/>
      </bottom>
      <diagonal/>
    </border>
    <border>
      <left/>
      <right/>
      <top style="thin">
        <color rgb="FFD9D9D9"/>
      </top>
      <bottom style="thin">
        <color rgb="FFD9D9D9"/>
      </bottom>
      <diagonal/>
    </border>
    <border>
      <left/>
      <right style="thin">
        <color rgb="FFD9D9D9"/>
      </right>
      <top style="thin">
        <color rgb="FFD9D9D9"/>
      </top>
      <bottom style="thin">
        <color rgb="FFD9D9D9"/>
      </bottom>
      <diagonal/>
    </border>
    <border>
      <left style="thin">
        <color rgb="FFD9D9D9"/>
      </left>
      <right style="thin">
        <color rgb="FFD9D9D9"/>
      </right>
      <top style="thin">
        <color rgb="FFD9D9D9"/>
      </top>
      <bottom style="thin">
        <color rgb="FFD9D9D9"/>
      </bottom>
      <diagonal/>
    </border>
    <border>
      <left style="thin">
        <color rgb="FFD9D9D9"/>
      </left>
      <right/>
      <top style="thin">
        <color rgb="FFD9D9D9"/>
      </top>
      <bottom/>
      <diagonal/>
    </border>
    <border>
      <left/>
      <right style="thin">
        <color rgb="FFD9D9D9"/>
      </right>
      <top style="thin">
        <color rgb="FFD9D9D9"/>
      </top>
      <bottom/>
      <diagonal/>
    </border>
    <border>
      <left style="thin">
        <color rgb="FFD9D9D9"/>
      </left>
      <right style="thin">
        <color rgb="FFD9D9D9"/>
      </right>
      <top style="thin">
        <color rgb="FFD9D9D9"/>
      </top>
      <bottom/>
      <diagonal/>
    </border>
    <border>
      <left style="thin">
        <color rgb="FFD9D9D9"/>
      </left>
      <right/>
      <top/>
      <bottom/>
      <diagonal/>
    </border>
    <border>
      <left/>
      <right style="thin">
        <color rgb="FFD9D9D9"/>
      </right>
      <top/>
      <bottom/>
      <diagonal/>
    </border>
    <border>
      <left style="thin">
        <color rgb="FFD9D9D9"/>
      </left>
      <right style="thin">
        <color rgb="FFD9D9D9"/>
      </right>
      <top/>
      <bottom/>
      <diagonal/>
    </border>
    <border>
      <left style="thin">
        <color rgb="FFD9D9D9"/>
      </left>
      <right/>
      <top/>
      <bottom style="thin">
        <color rgb="FFD9D9D9"/>
      </bottom>
      <diagonal/>
    </border>
    <border>
      <left/>
      <right style="thin">
        <color rgb="FFD9D9D9"/>
      </right>
      <top/>
      <bottom style="thin">
        <color rgb="FFD9D9D9"/>
      </bottom>
      <diagonal/>
    </border>
    <border>
      <left style="thin">
        <color rgb="FFD9D9D9"/>
      </left>
      <right style="thin">
        <color rgb="FFD9D9D9"/>
      </right>
      <top/>
      <bottom style="thin">
        <color rgb="FFD9D9D9"/>
      </bottom>
      <diagonal/>
    </border>
    <border>
      <left/>
      <right/>
      <top style="thin">
        <color rgb="FFD9D9D9"/>
      </top>
      <bottom/>
      <diagonal/>
    </border>
    <border>
      <left style="thin">
        <color rgb="FFFFFFFF"/>
      </left>
      <right/>
      <top style="thin">
        <color rgb="FFFFFFFF"/>
      </top>
      <bottom style="thin">
        <color rgb="FFFFFFFF"/>
      </bottom>
      <diagonal/>
    </border>
    <border>
      <left/>
      <right/>
      <top style="thin">
        <color rgb="FFFFFFFF"/>
      </top>
      <bottom style="thin">
        <color rgb="FFFFFFFF"/>
      </bottom>
      <diagonal/>
    </border>
    <border>
      <left/>
      <right style="thin">
        <color rgb="FFFFFFFF"/>
      </right>
      <top style="thin">
        <color rgb="FFFFFFFF"/>
      </top>
      <bottom style="thin">
        <color rgb="FFFFFFFF"/>
      </bottom>
      <diagonal/>
    </border>
    <border>
      <left style="thin">
        <color rgb="FFFFFFFF"/>
      </left>
      <right style="thin">
        <color rgb="FFFFFFFF"/>
      </right>
      <top style="thin">
        <color rgb="FFFFFFFF"/>
      </top>
      <bottom style="thin">
        <color rgb="FFFFFFFF"/>
      </bottom>
      <diagonal/>
    </border>
    <border>
      <left style="thin">
        <color rgb="FFFFFFFF"/>
      </left>
      <right style="thin">
        <color rgb="FFFFFFFF"/>
      </right>
      <top style="thin">
        <color rgb="FFFFFFFF"/>
      </top>
      <bottom/>
      <diagonal/>
    </border>
    <border>
      <left style="thin">
        <color rgb="FFFFFFFF"/>
      </left>
      <right/>
      <top style="thin">
        <color rgb="FFFFFFFF"/>
      </top>
      <bottom/>
      <diagonal/>
    </border>
    <border>
      <left style="thin">
        <color rgb="FF999999"/>
      </left>
      <right style="thin">
        <color rgb="FF000000"/>
      </right>
      <top style="thin">
        <color rgb="FF999999"/>
      </top>
      <bottom/>
      <diagonal/>
    </border>
    <border>
      <left/>
      <right style="thin">
        <color rgb="FF000000"/>
      </right>
      <top style="thin">
        <color rgb="FF999999"/>
      </top>
      <bottom/>
      <diagonal/>
    </border>
    <border>
      <left/>
      <right/>
      <top style="thin">
        <color rgb="FF999999"/>
      </top>
      <bottom style="thin">
        <color rgb="FF000000"/>
      </bottom>
      <diagonal/>
    </border>
    <border>
      <left/>
      <right style="thin">
        <color rgb="FF000000"/>
      </right>
      <top style="thin">
        <color rgb="FF999999"/>
      </top>
      <bottom style="thin">
        <color rgb="FF000000"/>
      </bottom>
      <diagonal/>
    </border>
    <border>
      <left style="thin">
        <color rgb="FF999999"/>
      </left>
      <right style="thin">
        <color rgb="FF000000"/>
      </right>
      <top/>
      <bottom style="thin">
        <color rgb="FF000000"/>
      </bottom>
      <diagonal/>
    </border>
    <border>
      <left/>
      <right style="thin">
        <color rgb="FF999999"/>
      </right>
      <top/>
      <bottom style="thin">
        <color rgb="FF999999"/>
      </bottom>
      <diagonal/>
    </border>
    <border>
      <left style="thin">
        <color rgb="FFFFFFFF"/>
      </left>
      <right style="thin">
        <color rgb="FFFFFFFF"/>
      </right>
      <top/>
      <bottom style="thin">
        <color rgb="FFFFFFFF"/>
      </bottom>
      <diagonal/>
    </border>
    <border>
      <left style="thin">
        <color rgb="FFFFFFFF"/>
      </left>
      <right/>
      <top/>
      <bottom style="thin">
        <color rgb="FFFFFFFF"/>
      </bottom>
      <diagonal/>
    </border>
  </borders>
  <cellStyleXfs count="1">
    <xf numFmtId="0" fontId="0" fillId="0" borderId="0"/>
  </cellStyleXfs>
  <cellXfs count="480">
    <xf numFmtId="0" fontId="0" fillId="0" borderId="0" xfId="0" applyFont="1" applyAlignment="1"/>
    <xf numFmtId="0" fontId="4" fillId="0" borderId="0" xfId="0" applyFont="1" applyAlignment="1">
      <alignment vertical="top" wrapText="1"/>
    </xf>
    <xf numFmtId="0" fontId="1" fillId="0" borderId="0" xfId="0" applyFont="1" applyAlignment="1">
      <alignment vertical="top" wrapText="1"/>
    </xf>
    <xf numFmtId="0" fontId="5" fillId="0" borderId="1" xfId="0" applyFont="1" applyBorder="1" applyAlignment="1">
      <alignment horizontal="center" vertical="top" wrapText="1"/>
    </xf>
    <xf numFmtId="0" fontId="4" fillId="0" borderId="1" xfId="0" applyFont="1" applyBorder="1" applyAlignment="1">
      <alignment horizontal="center" vertical="center" wrapText="1"/>
    </xf>
    <xf numFmtId="0" fontId="8" fillId="0" borderId="1" xfId="0" applyFont="1" applyBorder="1" applyAlignment="1">
      <alignment vertical="top" wrapText="1"/>
    </xf>
    <xf numFmtId="0" fontId="9" fillId="0" borderId="1" xfId="0" applyFont="1" applyBorder="1" applyAlignment="1">
      <alignment vertical="top" wrapText="1"/>
    </xf>
    <xf numFmtId="0" fontId="4" fillId="0" borderId="1" xfId="0" applyFont="1" applyBorder="1" applyAlignment="1">
      <alignment vertical="top" wrapText="1"/>
    </xf>
    <xf numFmtId="0" fontId="11" fillId="0" borderId="1" xfId="0" applyFont="1" applyBorder="1" applyAlignment="1">
      <alignment vertical="top" wrapText="1"/>
    </xf>
    <xf numFmtId="0" fontId="4" fillId="0" borderId="0" xfId="0" applyFont="1" applyAlignment="1">
      <alignment vertical="top" wrapText="1"/>
    </xf>
    <xf numFmtId="0" fontId="17" fillId="0" borderId="0" xfId="0" applyFont="1" applyAlignment="1">
      <alignment horizontal="center"/>
    </xf>
    <xf numFmtId="0" fontId="17" fillId="2" borderId="0" xfId="0" applyFont="1" applyFill="1" applyAlignment="1">
      <alignment horizontal="center"/>
    </xf>
    <xf numFmtId="0" fontId="17" fillId="2" borderId="0" xfId="0" applyFont="1" applyFill="1" applyAlignment="1">
      <alignment horizontal="center" vertical="center"/>
    </xf>
    <xf numFmtId="0" fontId="17" fillId="0" borderId="1" xfId="0" applyFont="1" applyBorder="1" applyAlignment="1">
      <alignment horizontal="center" vertical="center" wrapText="1"/>
    </xf>
    <xf numFmtId="0" fontId="17" fillId="2" borderId="1" xfId="0" applyFont="1" applyFill="1" applyBorder="1" applyAlignment="1">
      <alignment horizontal="center" vertical="center" wrapText="1"/>
    </xf>
    <xf numFmtId="0" fontId="10" fillId="0" borderId="1" xfId="0" applyFont="1" applyBorder="1" applyAlignment="1">
      <alignment horizontal="center" vertical="center" wrapText="1"/>
    </xf>
    <xf numFmtId="0" fontId="14" fillId="0" borderId="1" xfId="0" applyFont="1" applyBorder="1" applyAlignment="1">
      <alignment horizontal="left" vertical="center" wrapText="1"/>
    </xf>
    <xf numFmtId="0" fontId="14" fillId="2" borderId="1" xfId="0" applyFont="1" applyFill="1" applyBorder="1" applyAlignment="1">
      <alignment horizontal="left" vertical="center" wrapText="1"/>
    </xf>
    <xf numFmtId="0" fontId="16" fillId="2" borderId="1" xfId="0" applyFont="1" applyFill="1" applyBorder="1" applyAlignment="1">
      <alignment vertical="center" wrapText="1"/>
    </xf>
    <xf numFmtId="0" fontId="14" fillId="2" borderId="0" xfId="0" applyFont="1" applyFill="1" applyAlignment="1">
      <alignment vertical="center" wrapText="1"/>
    </xf>
    <xf numFmtId="0" fontId="14" fillId="2" borderId="1" xfId="0" applyFont="1" applyFill="1" applyBorder="1" applyAlignment="1">
      <alignment vertical="center" wrapText="1"/>
    </xf>
    <xf numFmtId="0" fontId="14" fillId="2" borderId="0" xfId="0" applyFont="1" applyFill="1" applyAlignment="1">
      <alignment vertical="center" wrapText="1"/>
    </xf>
    <xf numFmtId="0" fontId="14" fillId="2" borderId="1" xfId="0" applyFont="1" applyFill="1" applyBorder="1" applyAlignment="1">
      <alignment vertical="center" wrapText="1"/>
    </xf>
    <xf numFmtId="0" fontId="10" fillId="2" borderId="1" xfId="0" applyFont="1" applyFill="1" applyBorder="1" applyAlignment="1">
      <alignment vertical="top" wrapText="1"/>
    </xf>
    <xf numFmtId="0" fontId="14" fillId="2" borderId="1" xfId="0" applyFont="1" applyFill="1" applyBorder="1" applyAlignment="1">
      <alignment vertical="top" wrapText="1"/>
    </xf>
    <xf numFmtId="0" fontId="10" fillId="3" borderId="1" xfId="0" applyFont="1" applyFill="1" applyBorder="1" applyAlignment="1">
      <alignment vertical="center" wrapText="1"/>
    </xf>
    <xf numFmtId="0" fontId="10" fillId="2" borderId="1" xfId="0" applyFont="1" applyFill="1" applyBorder="1" applyAlignment="1">
      <alignment wrapText="1"/>
    </xf>
    <xf numFmtId="164" fontId="10" fillId="0" borderId="1" xfId="0" applyNumberFormat="1" applyFont="1" applyBorder="1" applyAlignment="1">
      <alignment horizontal="center" vertical="center" wrapText="1"/>
    </xf>
    <xf numFmtId="0" fontId="10" fillId="0" borderId="8" xfId="0" applyFont="1" applyBorder="1" applyAlignment="1">
      <alignment horizontal="left" vertical="top" wrapText="1"/>
    </xf>
    <xf numFmtId="0" fontId="10" fillId="0" borderId="8" xfId="0" applyFont="1" applyBorder="1" applyAlignment="1">
      <alignment horizontal="left" vertical="center" wrapText="1"/>
    </xf>
    <xf numFmtId="0" fontId="14" fillId="2" borderId="8" xfId="0" applyFont="1" applyFill="1" applyBorder="1" applyAlignment="1">
      <alignment vertical="center" wrapText="1"/>
    </xf>
    <xf numFmtId="164" fontId="10" fillId="0" borderId="8" xfId="0" applyNumberFormat="1" applyFont="1" applyBorder="1" applyAlignment="1">
      <alignment horizontal="center" vertical="center" wrapText="1"/>
    </xf>
    <xf numFmtId="0" fontId="10" fillId="3" borderId="8" xfId="0" applyFont="1" applyFill="1" applyBorder="1" applyAlignment="1">
      <alignment vertical="top" wrapText="1"/>
    </xf>
    <xf numFmtId="164" fontId="10" fillId="0" borderId="8" xfId="0" applyNumberFormat="1" applyFont="1" applyBorder="1" applyAlignment="1">
      <alignment horizontal="center" vertical="center"/>
    </xf>
    <xf numFmtId="0" fontId="10" fillId="0" borderId="8" xfId="0" applyFont="1" applyBorder="1" applyAlignment="1">
      <alignment vertical="center" wrapText="1"/>
    </xf>
    <xf numFmtId="0" fontId="10" fillId="0" borderId="1" xfId="0" applyFont="1" applyBorder="1" applyAlignment="1">
      <alignment vertical="center" wrapText="1"/>
    </xf>
    <xf numFmtId="0" fontId="10" fillId="2" borderId="8" xfId="0" applyFont="1" applyFill="1" applyBorder="1" applyAlignment="1">
      <alignment vertical="center" wrapText="1"/>
    </xf>
    <xf numFmtId="49" fontId="10" fillId="0" borderId="8" xfId="0" applyNumberFormat="1" applyFont="1" applyBorder="1" applyAlignment="1">
      <alignment horizontal="center" vertical="center"/>
    </xf>
    <xf numFmtId="0" fontId="10" fillId="2" borderId="7" xfId="0" applyFont="1" applyFill="1" applyBorder="1" applyAlignment="1">
      <alignment vertical="top" wrapText="1"/>
    </xf>
    <xf numFmtId="0" fontId="10" fillId="0" borderId="1" xfId="0" applyFont="1" applyBorder="1" applyAlignment="1">
      <alignment vertical="center" wrapText="1"/>
    </xf>
    <xf numFmtId="0" fontId="10" fillId="0" borderId="1" xfId="0" applyFont="1" applyBorder="1" applyAlignment="1">
      <alignment wrapText="1"/>
    </xf>
    <xf numFmtId="0" fontId="10" fillId="0" borderId="0" xfId="0" applyFont="1" applyAlignment="1">
      <alignment wrapText="1"/>
    </xf>
    <xf numFmtId="0" fontId="10" fillId="2" borderId="0" xfId="0" applyFont="1" applyFill="1" applyAlignment="1">
      <alignment vertical="center" wrapText="1"/>
    </xf>
    <xf numFmtId="0" fontId="18" fillId="0" borderId="0" xfId="0" applyFont="1" applyAlignment="1">
      <alignment horizontal="center" wrapText="1"/>
    </xf>
    <xf numFmtId="0" fontId="18" fillId="2" borderId="0" xfId="0" applyFont="1" applyFill="1" applyAlignment="1">
      <alignment horizontal="right" wrapText="1"/>
    </xf>
    <xf numFmtId="0" fontId="16" fillId="2" borderId="0" xfId="0" applyFont="1" applyFill="1" applyAlignment="1">
      <alignment horizontal="right" vertical="center" wrapText="1"/>
    </xf>
    <xf numFmtId="0" fontId="16" fillId="0" borderId="0" xfId="0" applyFont="1" applyAlignment="1">
      <alignment wrapText="1"/>
    </xf>
    <xf numFmtId="0" fontId="16" fillId="2" borderId="0" xfId="0" applyFont="1" applyFill="1" applyAlignment="1">
      <alignment horizontal="right" wrapText="1"/>
    </xf>
    <xf numFmtId="0" fontId="10" fillId="2" borderId="0" xfId="0" applyFont="1" applyFill="1" applyAlignment="1">
      <alignment wrapText="1"/>
    </xf>
    <xf numFmtId="0" fontId="10" fillId="0" borderId="0" xfId="0" applyFont="1" applyAlignment="1">
      <alignment horizontal="right" wrapText="1"/>
    </xf>
    <xf numFmtId="0" fontId="10" fillId="2" borderId="0" xfId="0" applyFont="1" applyFill="1" applyAlignment="1">
      <alignment horizontal="right" wrapText="1"/>
    </xf>
    <xf numFmtId="0" fontId="4" fillId="0" borderId="0" xfId="0" applyFont="1"/>
    <xf numFmtId="0" fontId="10" fillId="2" borderId="0" xfId="0" applyFont="1" applyFill="1" applyAlignment="1">
      <alignment horizontal="right" wrapText="1"/>
    </xf>
    <xf numFmtId="0" fontId="20" fillId="0" borderId="14" xfId="0" applyFont="1" applyBorder="1" applyAlignment="1">
      <alignment horizontal="right" vertical="center" wrapText="1"/>
    </xf>
    <xf numFmtId="0" fontId="18" fillId="0" borderId="14" xfId="0" applyFont="1" applyBorder="1" applyAlignment="1"/>
    <xf numFmtId="0" fontId="20" fillId="0" borderId="14" xfId="0" applyFont="1" applyBorder="1" applyAlignment="1"/>
    <xf numFmtId="0" fontId="20" fillId="0" borderId="14" xfId="0" applyFont="1" applyBorder="1" applyAlignment="1">
      <alignment vertical="top"/>
    </xf>
    <xf numFmtId="0" fontId="10" fillId="0" borderId="14" xfId="0" applyFont="1" applyBorder="1" applyAlignment="1">
      <alignment vertical="top" wrapText="1"/>
    </xf>
    <xf numFmtId="0" fontId="16" fillId="0" borderId="14" xfId="0" applyFont="1" applyBorder="1" applyAlignment="1">
      <alignment vertical="top" wrapText="1"/>
    </xf>
    <xf numFmtId="0" fontId="10" fillId="0" borderId="14" xfId="0" applyFont="1" applyBorder="1" applyAlignment="1">
      <alignment vertical="top" wrapText="1"/>
    </xf>
    <xf numFmtId="0" fontId="17" fillId="0" borderId="1" xfId="0" applyFont="1" applyBorder="1" applyAlignment="1">
      <alignment horizontal="center" vertical="top" wrapText="1"/>
    </xf>
    <xf numFmtId="49" fontId="14" fillId="0" borderId="1" xfId="0" applyNumberFormat="1" applyFont="1" applyBorder="1" applyAlignment="1">
      <alignment horizontal="center" vertical="center"/>
    </xf>
    <xf numFmtId="0" fontId="10" fillId="0" borderId="1" xfId="0" applyFont="1" applyBorder="1" applyAlignment="1">
      <alignment vertical="top" wrapText="1"/>
    </xf>
    <xf numFmtId="0" fontId="22" fillId="0" borderId="1" xfId="0" applyFont="1" applyBorder="1" applyAlignment="1">
      <alignment vertical="top" wrapText="1"/>
    </xf>
    <xf numFmtId="0" fontId="10" fillId="0" borderId="1" xfId="0" applyFont="1" applyBorder="1" applyAlignment="1">
      <alignment vertical="top" wrapText="1"/>
    </xf>
    <xf numFmtId="0" fontId="14" fillId="0" borderId="1" xfId="0" applyFont="1" applyBorder="1" applyAlignment="1">
      <alignment vertical="top" wrapText="1"/>
    </xf>
    <xf numFmtId="0" fontId="10" fillId="0" borderId="1" xfId="0" applyFont="1" applyBorder="1" applyAlignment="1">
      <alignment vertical="top" wrapText="1"/>
    </xf>
    <xf numFmtId="0" fontId="25" fillId="0" borderId="1" xfId="0" applyFont="1" applyBorder="1" applyAlignment="1">
      <alignment vertical="center"/>
    </xf>
    <xf numFmtId="49" fontId="10" fillId="0" borderId="1" xfId="0" applyNumberFormat="1" applyFont="1" applyBorder="1" applyAlignment="1">
      <alignment horizontal="center" vertical="center"/>
    </xf>
    <xf numFmtId="0" fontId="14" fillId="0" borderId="1" xfId="0" applyFont="1" applyBorder="1" applyAlignment="1">
      <alignment vertical="top" wrapText="1"/>
    </xf>
    <xf numFmtId="0" fontId="10" fillId="0" borderId="1" xfId="0" applyFont="1" applyBorder="1" applyAlignment="1">
      <alignment vertical="top"/>
    </xf>
    <xf numFmtId="0" fontId="20" fillId="0" borderId="1" xfId="0" applyFont="1" applyBorder="1" applyAlignment="1">
      <alignment vertical="top"/>
    </xf>
    <xf numFmtId="0" fontId="23" fillId="0" borderId="1" xfId="0" applyFont="1" applyBorder="1" applyAlignment="1">
      <alignment vertical="center"/>
    </xf>
    <xf numFmtId="49" fontId="14" fillId="0" borderId="1" xfId="0" applyNumberFormat="1" applyFont="1" applyBorder="1" applyAlignment="1">
      <alignment horizontal="center" vertical="center"/>
    </xf>
    <xf numFmtId="0" fontId="26" fillId="0" borderId="1" xfId="0" applyFont="1" applyBorder="1"/>
    <xf numFmtId="0" fontId="20" fillId="0" borderId="1" xfId="0" applyFont="1" applyBorder="1"/>
    <xf numFmtId="49" fontId="10" fillId="0" borderId="1" xfId="0" applyNumberFormat="1" applyFont="1" applyBorder="1" applyAlignment="1">
      <alignment horizontal="center" vertical="center"/>
    </xf>
    <xf numFmtId="0" fontId="26" fillId="0" borderId="1" xfId="0" applyFont="1" applyBorder="1"/>
    <xf numFmtId="0" fontId="17" fillId="0" borderId="1" xfId="0" applyFont="1" applyBorder="1" applyAlignment="1"/>
    <xf numFmtId="0" fontId="28" fillId="0" borderId="1" xfId="0" applyFont="1" applyBorder="1" applyAlignment="1">
      <alignment vertical="top" wrapText="1"/>
    </xf>
    <xf numFmtId="0" fontId="14" fillId="0" borderId="1" xfId="0" applyFont="1" applyBorder="1" applyAlignment="1">
      <alignment vertical="top" wrapText="1"/>
    </xf>
    <xf numFmtId="0" fontId="25" fillId="0" borderId="1" xfId="0" applyFont="1" applyBorder="1" applyAlignment="1">
      <alignment vertical="center"/>
    </xf>
    <xf numFmtId="0" fontId="14" fillId="0" borderId="1" xfId="0" applyFont="1" applyBorder="1" applyAlignment="1">
      <alignment vertical="top" wrapText="1"/>
    </xf>
    <xf numFmtId="0" fontId="28" fillId="0" borderId="1" xfId="0" applyFont="1" applyBorder="1" applyAlignment="1">
      <alignment vertical="top" wrapText="1"/>
    </xf>
    <xf numFmtId="49" fontId="14" fillId="0" borderId="1" xfId="0" applyNumberFormat="1" applyFont="1" applyBorder="1" applyAlignment="1">
      <alignment horizontal="center"/>
    </xf>
    <xf numFmtId="0" fontId="20" fillId="0" borderId="1" xfId="0" applyFont="1" applyBorder="1" applyAlignment="1"/>
    <xf numFmtId="0" fontId="23" fillId="0" borderId="1" xfId="0" applyFont="1" applyBorder="1" applyAlignment="1"/>
    <xf numFmtId="0" fontId="10" fillId="0" borderId="1" xfId="0" applyFont="1" applyBorder="1" applyAlignment="1">
      <alignment vertical="top" wrapText="1"/>
    </xf>
    <xf numFmtId="0" fontId="25" fillId="0" borderId="1" xfId="0" applyFont="1" applyBorder="1" applyAlignment="1">
      <alignment horizontal="left" vertical="center"/>
    </xf>
    <xf numFmtId="0" fontId="23" fillId="0" borderId="1" xfId="0" applyFont="1" applyBorder="1" applyAlignment="1">
      <alignment horizontal="left"/>
    </xf>
    <xf numFmtId="0" fontId="10" fillId="0" borderId="1" xfId="0" applyFont="1" applyBorder="1" applyAlignment="1">
      <alignment vertical="top" wrapText="1"/>
    </xf>
    <xf numFmtId="0" fontId="14" fillId="0" borderId="1" xfId="0" applyFont="1" applyBorder="1" applyAlignment="1">
      <alignment vertical="top" wrapText="1"/>
    </xf>
    <xf numFmtId="0" fontId="21" fillId="0" borderId="1" xfId="0" applyFont="1" applyBorder="1" applyAlignment="1"/>
    <xf numFmtId="0" fontId="14" fillId="0" borderId="1" xfId="0" applyFont="1" applyBorder="1" applyAlignment="1">
      <alignment vertical="top" wrapText="1"/>
    </xf>
    <xf numFmtId="0" fontId="14" fillId="0" borderId="1" xfId="0" applyFont="1" applyBorder="1" applyAlignment="1">
      <alignment vertical="top" wrapText="1"/>
    </xf>
    <xf numFmtId="0" fontId="10" fillId="0" borderId="1" xfId="0" applyFont="1" applyBorder="1" applyAlignment="1">
      <alignment horizontal="left" vertical="center" wrapText="1"/>
    </xf>
    <xf numFmtId="0" fontId="10" fillId="0" borderId="1" xfId="0" applyFont="1" applyBorder="1" applyAlignment="1">
      <alignment vertical="top" wrapText="1"/>
    </xf>
    <xf numFmtId="49" fontId="10" fillId="0" borderId="1" xfId="0" applyNumberFormat="1" applyFont="1" applyBorder="1" applyAlignment="1">
      <alignment vertical="top" wrapText="1"/>
    </xf>
    <xf numFmtId="49" fontId="10" fillId="0" borderId="1" xfId="0" applyNumberFormat="1" applyFont="1" applyBorder="1" applyAlignment="1">
      <alignment vertical="top" wrapText="1"/>
    </xf>
    <xf numFmtId="49" fontId="14" fillId="0" borderId="1" xfId="0" applyNumberFormat="1" applyFont="1" applyBorder="1" applyAlignment="1">
      <alignment vertical="top" wrapText="1"/>
    </xf>
    <xf numFmtId="49" fontId="14" fillId="0" borderId="1" xfId="0" applyNumberFormat="1" applyFont="1" applyBorder="1" applyAlignment="1">
      <alignment vertical="top" wrapText="1"/>
    </xf>
    <xf numFmtId="49" fontId="28" fillId="0" borderId="1" xfId="0" applyNumberFormat="1" applyFont="1" applyBorder="1" applyAlignment="1">
      <alignment vertical="top" wrapText="1"/>
    </xf>
    <xf numFmtId="49" fontId="22" fillId="0" borderId="1" xfId="0" applyNumberFormat="1" applyFont="1" applyBorder="1" applyAlignment="1">
      <alignment vertical="top" wrapText="1"/>
    </xf>
    <xf numFmtId="49" fontId="17" fillId="0" borderId="1" xfId="0" applyNumberFormat="1" applyFont="1" applyBorder="1" applyAlignment="1">
      <alignment horizontal="left" vertical="center"/>
    </xf>
    <xf numFmtId="0" fontId="17" fillId="0" borderId="1" xfId="0" applyFont="1" applyBorder="1" applyAlignment="1">
      <alignment vertical="center"/>
    </xf>
    <xf numFmtId="0" fontId="10" fillId="0" borderId="1" xfId="0" applyFont="1" applyBorder="1" applyAlignment="1">
      <alignment vertical="top" wrapText="1"/>
    </xf>
    <xf numFmtId="0" fontId="31" fillId="0" borderId="1" xfId="0" applyFont="1" applyBorder="1" applyAlignment="1">
      <alignment vertical="top" wrapText="1"/>
    </xf>
    <xf numFmtId="0" fontId="33" fillId="0" borderId="1" xfId="0" applyFont="1" applyBorder="1" applyAlignment="1">
      <alignment vertical="top" wrapText="1"/>
    </xf>
    <xf numFmtId="0" fontId="33" fillId="0" borderId="1" xfId="0" applyFont="1" applyBorder="1" applyAlignment="1">
      <alignment vertical="top" wrapText="1"/>
    </xf>
    <xf numFmtId="0" fontId="10" fillId="0" borderId="1" xfId="0" applyFont="1" applyBorder="1" applyAlignment="1">
      <alignment wrapText="1"/>
    </xf>
    <xf numFmtId="0" fontId="10" fillId="0" borderId="23" xfId="0" applyFont="1" applyBorder="1" applyAlignment="1">
      <alignment wrapText="1"/>
    </xf>
    <xf numFmtId="0" fontId="10" fillId="0" borderId="14" xfId="0" applyFont="1" applyBorder="1" applyAlignment="1">
      <alignment wrapText="1"/>
    </xf>
    <xf numFmtId="0" fontId="10" fillId="0" borderId="11" xfId="0" applyFont="1" applyBorder="1" applyAlignment="1">
      <alignment wrapText="1"/>
    </xf>
    <xf numFmtId="0" fontId="4" fillId="0" borderId="14" xfId="0" applyFont="1" applyBorder="1"/>
    <xf numFmtId="0" fontId="10" fillId="0" borderId="14" xfId="0" applyFont="1" applyBorder="1" applyAlignment="1">
      <alignment horizontal="right" wrapText="1"/>
    </xf>
    <xf numFmtId="0" fontId="16" fillId="0" borderId="14" xfId="0" applyFont="1" applyBorder="1" applyAlignment="1">
      <alignment horizontal="right" wrapText="1"/>
    </xf>
    <xf numFmtId="0" fontId="10" fillId="0" borderId="14" xfId="0" applyFont="1" applyBorder="1" applyAlignment="1">
      <alignment horizontal="right" vertical="center" wrapText="1"/>
    </xf>
    <xf numFmtId="0" fontId="10" fillId="0" borderId="14" xfId="0" applyFont="1" applyBorder="1" applyAlignment="1">
      <alignment wrapText="1"/>
    </xf>
    <xf numFmtId="0" fontId="21" fillId="0" borderId="14" xfId="0" applyFont="1" applyBorder="1" applyAlignment="1">
      <alignment horizontal="center"/>
    </xf>
    <xf numFmtId="0" fontId="19" fillId="0" borderId="14" xfId="0" applyFont="1" applyBorder="1" applyAlignment="1">
      <alignment horizontal="center"/>
    </xf>
    <xf numFmtId="0" fontId="14" fillId="0" borderId="14" xfId="0" applyFont="1" applyBorder="1" applyAlignment="1">
      <alignment vertical="center" wrapText="1"/>
    </xf>
    <xf numFmtId="0" fontId="16" fillId="0" borderId="14" xfId="0" applyFont="1" applyBorder="1" applyAlignment="1">
      <alignment vertical="center" wrapText="1"/>
    </xf>
    <xf numFmtId="0" fontId="10" fillId="0" borderId="14" xfId="0" applyFont="1" applyBorder="1" applyAlignment="1">
      <alignment vertical="center" wrapText="1"/>
    </xf>
    <xf numFmtId="0" fontId="14" fillId="0" borderId="14" xfId="0" applyFont="1" applyBorder="1" applyAlignment="1">
      <alignment vertical="top" wrapText="1"/>
    </xf>
    <xf numFmtId="0" fontId="10" fillId="0" borderId="14" xfId="0" applyFont="1" applyBorder="1" applyAlignment="1">
      <alignment wrapText="1"/>
    </xf>
    <xf numFmtId="0" fontId="10" fillId="2" borderId="14" xfId="0" applyFont="1" applyFill="1" applyBorder="1" applyAlignment="1">
      <alignment vertical="center" wrapText="1"/>
    </xf>
    <xf numFmtId="0" fontId="20" fillId="0" borderId="14" xfId="0" applyFont="1" applyBorder="1" applyAlignment="1">
      <alignment vertical="top" wrapText="1"/>
    </xf>
    <xf numFmtId="0" fontId="10" fillId="4" borderId="14" xfId="0" applyFont="1" applyFill="1" applyBorder="1" applyAlignment="1">
      <alignment vertical="top" wrapText="1"/>
    </xf>
    <xf numFmtId="0" fontId="10" fillId="5" borderId="14" xfId="0" applyFont="1" applyFill="1" applyBorder="1" applyAlignment="1">
      <alignment vertical="top" wrapText="1"/>
    </xf>
    <xf numFmtId="0" fontId="10" fillId="6" borderId="14" xfId="0" applyFont="1" applyFill="1" applyBorder="1" applyAlignment="1">
      <alignment vertical="top" wrapText="1"/>
    </xf>
    <xf numFmtId="0" fontId="10" fillId="7" borderId="0" xfId="0" applyFont="1" applyFill="1" applyAlignment="1">
      <alignment horizontal="left" vertical="top" wrapText="1"/>
    </xf>
    <xf numFmtId="0" fontId="10" fillId="0" borderId="0" xfId="0" applyFont="1" applyAlignment="1">
      <alignment horizontal="left" vertical="top" wrapText="1"/>
    </xf>
    <xf numFmtId="0" fontId="10" fillId="2" borderId="14" xfId="0" applyFont="1" applyFill="1" applyBorder="1" applyAlignment="1">
      <alignment horizontal="left" vertical="top" wrapText="1"/>
    </xf>
    <xf numFmtId="0" fontId="10" fillId="0" borderId="14" xfId="0" applyFont="1" applyBorder="1" applyAlignment="1">
      <alignment horizontal="left" vertical="top" wrapText="1"/>
    </xf>
    <xf numFmtId="0" fontId="15" fillId="0" borderId="14" xfId="0" applyFont="1" applyBorder="1" applyAlignment="1">
      <alignment horizontal="left" vertical="top" wrapText="1"/>
    </xf>
    <xf numFmtId="0" fontId="10" fillId="4" borderId="14" xfId="0" applyFont="1" applyFill="1" applyBorder="1" applyAlignment="1">
      <alignment horizontal="left" vertical="top" wrapText="1"/>
    </xf>
    <xf numFmtId="0" fontId="10" fillId="0" borderId="8" xfId="0" applyFont="1" applyBorder="1" applyAlignment="1">
      <alignment vertical="top" wrapText="1"/>
    </xf>
    <xf numFmtId="0" fontId="14" fillId="2" borderId="14" xfId="0" applyFont="1" applyFill="1" applyBorder="1" applyAlignment="1">
      <alignment vertical="top" wrapText="1"/>
    </xf>
    <xf numFmtId="0" fontId="21" fillId="0" borderId="14" xfId="0" applyFont="1" applyBorder="1" applyAlignment="1">
      <alignment vertical="top"/>
    </xf>
    <xf numFmtId="0" fontId="23" fillId="0" borderId="14" xfId="0" applyFont="1" applyBorder="1" applyAlignment="1">
      <alignment vertical="top"/>
    </xf>
    <xf numFmtId="0" fontId="14" fillId="2" borderId="14" xfId="0" applyFont="1" applyFill="1" applyBorder="1" applyAlignment="1">
      <alignment vertical="top" wrapText="1"/>
    </xf>
    <xf numFmtId="0" fontId="18" fillId="2" borderId="14" xfId="0" applyFont="1" applyFill="1" applyBorder="1" applyAlignment="1">
      <alignment horizontal="left" vertical="top" wrapText="1"/>
    </xf>
    <xf numFmtId="0" fontId="18" fillId="4" borderId="14" xfId="0" applyFont="1" applyFill="1" applyBorder="1" applyAlignment="1">
      <alignment horizontal="left" vertical="top" wrapText="1"/>
    </xf>
    <xf numFmtId="0" fontId="25" fillId="2" borderId="14" xfId="0" applyFont="1" applyFill="1" applyBorder="1" applyAlignment="1">
      <alignment vertical="top"/>
    </xf>
    <xf numFmtId="0" fontId="10" fillId="2" borderId="14" xfId="0" applyFont="1" applyFill="1" applyBorder="1" applyAlignment="1">
      <alignment vertical="top" wrapText="1"/>
    </xf>
    <xf numFmtId="0" fontId="10" fillId="2" borderId="14" xfId="0" applyFont="1" applyFill="1" applyBorder="1" applyAlignment="1">
      <alignment vertical="top" wrapText="1"/>
    </xf>
    <xf numFmtId="0" fontId="14" fillId="4" borderId="14" xfId="0" applyFont="1" applyFill="1" applyBorder="1" applyAlignment="1">
      <alignment vertical="top" wrapText="1"/>
    </xf>
    <xf numFmtId="0" fontId="25" fillId="2" borderId="14" xfId="0" applyFont="1" applyFill="1" applyBorder="1" applyAlignment="1">
      <alignment vertical="top"/>
    </xf>
    <xf numFmtId="0" fontId="14" fillId="2" borderId="14" xfId="0" applyFont="1" applyFill="1" applyBorder="1" applyAlignment="1">
      <alignment vertical="top" wrapText="1"/>
    </xf>
    <xf numFmtId="0" fontId="14" fillId="2" borderId="14" xfId="0" applyFont="1" applyFill="1" applyBorder="1" applyAlignment="1">
      <alignment vertical="top" wrapText="1"/>
    </xf>
    <xf numFmtId="0" fontId="23" fillId="2" borderId="14" xfId="0" applyFont="1" applyFill="1" applyBorder="1" applyAlignment="1">
      <alignment vertical="top"/>
    </xf>
    <xf numFmtId="0" fontId="10" fillId="2" borderId="14" xfId="0" applyFont="1" applyFill="1" applyBorder="1" applyAlignment="1">
      <alignment vertical="top" wrapText="1"/>
    </xf>
    <xf numFmtId="0" fontId="25" fillId="2" borderId="14" xfId="0" applyFont="1" applyFill="1" applyBorder="1" applyAlignment="1">
      <alignment vertical="top"/>
    </xf>
    <xf numFmtId="0" fontId="23" fillId="2" borderId="14" xfId="0" applyFont="1" applyFill="1" applyBorder="1" applyAlignment="1">
      <alignment vertical="top"/>
    </xf>
    <xf numFmtId="0" fontId="10" fillId="2" borderId="14" xfId="0" applyFont="1" applyFill="1" applyBorder="1" applyAlignment="1">
      <alignment vertical="top" wrapText="1"/>
    </xf>
    <xf numFmtId="0" fontId="23" fillId="2" borderId="14" xfId="0" applyFont="1" applyFill="1" applyBorder="1" applyAlignment="1">
      <alignment vertical="top"/>
    </xf>
    <xf numFmtId="0" fontId="23" fillId="2" borderId="13" xfId="0" applyFont="1" applyFill="1" applyBorder="1" applyAlignment="1">
      <alignment vertical="top"/>
    </xf>
    <xf numFmtId="0" fontId="18" fillId="2" borderId="14" xfId="0" applyFont="1" applyFill="1" applyBorder="1" applyAlignment="1">
      <alignment vertical="top" wrapText="1"/>
    </xf>
    <xf numFmtId="0" fontId="18" fillId="2" borderId="14" xfId="0" applyFont="1" applyFill="1" applyBorder="1" applyAlignment="1">
      <alignment vertical="top" wrapText="1"/>
    </xf>
    <xf numFmtId="0" fontId="17" fillId="2" borderId="14" xfId="0" applyFont="1" applyFill="1" applyBorder="1" applyAlignment="1">
      <alignment vertical="top"/>
    </xf>
    <xf numFmtId="0" fontId="25" fillId="0" borderId="14" xfId="0" applyFont="1" applyBorder="1" applyAlignment="1">
      <alignment vertical="top"/>
    </xf>
    <xf numFmtId="0" fontId="25" fillId="0" borderId="14" xfId="0" applyFont="1" applyBorder="1" applyAlignment="1">
      <alignment horizontal="left" vertical="top"/>
    </xf>
    <xf numFmtId="0" fontId="23" fillId="0" borderId="14" xfId="0" applyFont="1" applyBorder="1" applyAlignment="1">
      <alignment horizontal="left" vertical="top"/>
    </xf>
    <xf numFmtId="0" fontId="15" fillId="4" borderId="14" xfId="0" applyFont="1" applyFill="1" applyBorder="1" applyAlignment="1">
      <alignment horizontal="left" vertical="top" wrapText="1"/>
    </xf>
    <xf numFmtId="0" fontId="23" fillId="0" borderId="14" xfId="0" applyFont="1" applyBorder="1" applyAlignment="1">
      <alignment horizontal="left" vertical="top"/>
    </xf>
    <xf numFmtId="0" fontId="23" fillId="2" borderId="14" xfId="0" applyFont="1" applyFill="1" applyBorder="1" applyAlignment="1">
      <alignment horizontal="left" vertical="top"/>
    </xf>
    <xf numFmtId="0" fontId="23" fillId="0" borderId="14" xfId="0" applyFont="1" applyBorder="1" applyAlignment="1">
      <alignment horizontal="left" vertical="top"/>
    </xf>
    <xf numFmtId="0" fontId="10" fillId="0" borderId="14" xfId="0" applyFont="1" applyBorder="1" applyAlignment="1">
      <alignment vertical="top" wrapText="1"/>
    </xf>
    <xf numFmtId="0" fontId="25" fillId="0" borderId="14" xfId="0" applyFont="1" applyBorder="1" applyAlignment="1">
      <alignment vertical="top"/>
    </xf>
    <xf numFmtId="0" fontId="10" fillId="0" borderId="4" xfId="0" applyFont="1" applyBorder="1" applyAlignment="1">
      <alignment vertical="top" wrapText="1"/>
    </xf>
    <xf numFmtId="0" fontId="18" fillId="0" borderId="14" xfId="0" applyFont="1" applyBorder="1" applyAlignment="1">
      <alignment vertical="top" wrapText="1"/>
    </xf>
    <xf numFmtId="0" fontId="10" fillId="2" borderId="0" xfId="0" applyFont="1" applyFill="1" applyAlignment="1">
      <alignment horizontal="left" vertical="top" wrapText="1"/>
    </xf>
    <xf numFmtId="0" fontId="29" fillId="0" borderId="14" xfId="0" applyFont="1" applyBorder="1" applyAlignment="1">
      <alignment vertical="top"/>
    </xf>
    <xf numFmtId="0" fontId="25" fillId="0" borderId="14" xfId="0" applyFont="1" applyBorder="1" applyAlignment="1">
      <alignment vertical="top"/>
    </xf>
    <xf numFmtId="0" fontId="18" fillId="0" borderId="1" xfId="0" applyFont="1" applyBorder="1" applyAlignment="1">
      <alignment vertical="center"/>
    </xf>
    <xf numFmtId="0" fontId="18" fillId="0" borderId="14" xfId="0" applyFont="1" applyBorder="1" applyAlignment="1">
      <alignment vertical="top"/>
    </xf>
    <xf numFmtId="0" fontId="17" fillId="0" borderId="14" xfId="0" applyFont="1" applyBorder="1" applyAlignment="1">
      <alignment vertical="top"/>
    </xf>
    <xf numFmtId="0" fontId="21" fillId="2" borderId="14" xfId="0" applyFont="1" applyFill="1" applyBorder="1" applyAlignment="1">
      <alignment vertical="top"/>
    </xf>
    <xf numFmtId="0" fontId="18" fillId="0" borderId="1" xfId="0" applyFont="1" applyBorder="1" applyAlignment="1">
      <alignment vertical="center"/>
    </xf>
    <xf numFmtId="0" fontId="18" fillId="0" borderId="14" xfId="0" applyFont="1" applyBorder="1" applyAlignment="1">
      <alignment vertical="top"/>
    </xf>
    <xf numFmtId="49" fontId="14" fillId="0" borderId="14" xfId="0" applyNumberFormat="1" applyFont="1" applyBorder="1" applyAlignment="1">
      <alignment vertical="top" wrapText="1"/>
    </xf>
    <xf numFmtId="49" fontId="10" fillId="0" borderId="14" xfId="0" applyNumberFormat="1" applyFont="1" applyBorder="1" applyAlignment="1">
      <alignment vertical="top" wrapText="1"/>
    </xf>
    <xf numFmtId="49" fontId="14" fillId="2" borderId="14" xfId="0" applyNumberFormat="1" applyFont="1" applyFill="1" applyBorder="1" applyAlignment="1">
      <alignment vertical="top" wrapText="1"/>
    </xf>
    <xf numFmtId="49" fontId="17" fillId="0" borderId="14" xfId="0" applyNumberFormat="1" applyFont="1" applyBorder="1" applyAlignment="1">
      <alignment horizontal="left" vertical="top"/>
    </xf>
    <xf numFmtId="49" fontId="10" fillId="0" borderId="14" xfId="0" applyNumberFormat="1" applyFont="1" applyBorder="1" applyAlignment="1">
      <alignment vertical="top" wrapText="1"/>
    </xf>
    <xf numFmtId="49" fontId="18" fillId="2" borderId="14" xfId="0" applyNumberFormat="1" applyFont="1" applyFill="1" applyBorder="1" applyAlignment="1">
      <alignment horizontal="left" vertical="top"/>
    </xf>
    <xf numFmtId="49" fontId="10" fillId="2" borderId="14" xfId="0" applyNumberFormat="1" applyFont="1" applyFill="1" applyBorder="1" applyAlignment="1">
      <alignment vertical="top" wrapText="1"/>
    </xf>
    <xf numFmtId="49" fontId="18" fillId="0" borderId="14" xfId="0" applyNumberFormat="1" applyFont="1" applyBorder="1" applyAlignment="1">
      <alignment horizontal="left" vertical="top"/>
    </xf>
    <xf numFmtId="49" fontId="10" fillId="0" borderId="14" xfId="0" applyNumberFormat="1" applyFont="1" applyBorder="1" applyAlignment="1">
      <alignment vertical="top"/>
    </xf>
    <xf numFmtId="0" fontId="17" fillId="0" borderId="14" xfId="0" applyFont="1" applyBorder="1" applyAlignment="1">
      <alignment vertical="top"/>
    </xf>
    <xf numFmtId="0" fontId="26" fillId="0" borderId="1" xfId="0" applyFont="1" applyBorder="1" applyAlignment="1">
      <alignment vertical="top"/>
    </xf>
    <xf numFmtId="49" fontId="14" fillId="0" borderId="14" xfId="0" applyNumberFormat="1" applyFont="1" applyBorder="1" applyAlignment="1">
      <alignment vertical="top" wrapText="1"/>
    </xf>
    <xf numFmtId="49" fontId="17" fillId="2" borderId="14" xfId="0" applyNumberFormat="1" applyFont="1" applyFill="1" applyBorder="1" applyAlignment="1">
      <alignment horizontal="left" vertical="top"/>
    </xf>
    <xf numFmtId="0" fontId="14" fillId="0" borderId="14" xfId="0" applyFont="1" applyBorder="1" applyAlignment="1">
      <alignment vertical="top" wrapText="1"/>
    </xf>
    <xf numFmtId="49" fontId="18" fillId="0" borderId="14" xfId="0" applyNumberFormat="1" applyFont="1" applyBorder="1" applyAlignment="1">
      <alignment horizontal="left" vertical="top"/>
    </xf>
    <xf numFmtId="0" fontId="17" fillId="2" borderId="14" xfId="0" applyFont="1" applyFill="1" applyBorder="1" applyAlignment="1">
      <alignment vertical="top"/>
    </xf>
    <xf numFmtId="49" fontId="10" fillId="0" borderId="14" xfId="0" applyNumberFormat="1" applyFont="1" applyBorder="1" applyAlignment="1">
      <alignment vertical="top"/>
    </xf>
    <xf numFmtId="49" fontId="14" fillId="0" borderId="14" xfId="0" applyNumberFormat="1" applyFont="1" applyBorder="1" applyAlignment="1">
      <alignment horizontal="left" vertical="top" wrapText="1"/>
    </xf>
    <xf numFmtId="49" fontId="14" fillId="0" borderId="14" xfId="0" applyNumberFormat="1" applyFont="1" applyBorder="1" applyAlignment="1">
      <alignment vertical="top"/>
    </xf>
    <xf numFmtId="0" fontId="17" fillId="0" borderId="14" xfId="0" applyFont="1" applyBorder="1" applyAlignment="1">
      <alignment vertical="top" wrapText="1"/>
    </xf>
    <xf numFmtId="0" fontId="18" fillId="0" borderId="14" xfId="0" applyFont="1" applyBorder="1" applyAlignment="1">
      <alignment vertical="top"/>
    </xf>
    <xf numFmtId="0" fontId="18" fillId="0" borderId="1" xfId="0" applyFont="1" applyBorder="1" applyAlignment="1">
      <alignment vertical="center" wrapText="1"/>
    </xf>
    <xf numFmtId="0" fontId="18" fillId="0" borderId="14" xfId="0" applyFont="1" applyBorder="1" applyAlignment="1">
      <alignment vertical="top" wrapText="1"/>
    </xf>
    <xf numFmtId="0" fontId="18" fillId="0" borderId="14" xfId="0" applyFont="1" applyBorder="1" applyAlignment="1">
      <alignment vertical="top"/>
    </xf>
    <xf numFmtId="0" fontId="34" fillId="0" borderId="14" xfId="0" applyFont="1" applyBorder="1" applyAlignment="1">
      <alignment vertical="top" wrapText="1"/>
    </xf>
    <xf numFmtId="0" fontId="10" fillId="0" borderId="13" xfId="0" applyFont="1" applyBorder="1" applyAlignment="1">
      <alignment horizontal="left" vertical="top" wrapText="1"/>
    </xf>
    <xf numFmtId="0" fontId="10" fillId="2" borderId="14" xfId="0" applyFont="1" applyFill="1" applyBorder="1" applyAlignment="1">
      <alignment vertical="top"/>
    </xf>
    <xf numFmtId="0" fontId="10" fillId="0" borderId="10" xfId="0" applyFont="1" applyBorder="1" applyAlignment="1">
      <alignment vertical="top" wrapText="1"/>
    </xf>
    <xf numFmtId="0" fontId="34" fillId="0" borderId="14" xfId="0" applyFont="1" applyBorder="1" applyAlignment="1">
      <alignment horizontal="left" vertical="top"/>
    </xf>
    <xf numFmtId="0" fontId="10" fillId="0" borderId="14" xfId="0" applyFont="1" applyBorder="1" applyAlignment="1">
      <alignment vertical="top"/>
    </xf>
    <xf numFmtId="0" fontId="34" fillId="0" borderId="14" xfId="0" applyFont="1" applyBorder="1" applyAlignment="1">
      <alignment vertical="top"/>
    </xf>
    <xf numFmtId="0" fontId="10" fillId="0" borderId="14" xfId="0" applyFont="1" applyBorder="1" applyAlignment="1">
      <alignment vertical="top" wrapText="1"/>
    </xf>
    <xf numFmtId="0" fontId="18" fillId="0" borderId="14" xfId="0" applyFont="1" applyBorder="1" applyAlignment="1">
      <alignment horizontal="right" vertical="top" wrapText="1"/>
    </xf>
    <xf numFmtId="0" fontId="16" fillId="0" borderId="14" xfId="0" applyFont="1" applyBorder="1" applyAlignment="1">
      <alignment horizontal="right" vertical="top" wrapText="1"/>
    </xf>
    <xf numFmtId="0" fontId="10" fillId="0" borderId="14" xfId="0" applyFont="1" applyBorder="1" applyAlignment="1">
      <alignment horizontal="right" vertical="top" wrapText="1"/>
    </xf>
    <xf numFmtId="0" fontId="2" fillId="0" borderId="0" xfId="0" applyFont="1" applyAlignment="1">
      <alignment horizontal="right" vertical="top" wrapText="1"/>
    </xf>
    <xf numFmtId="49" fontId="4" fillId="0" borderId="1" xfId="0" applyNumberFormat="1" applyFont="1" applyBorder="1" applyAlignment="1">
      <alignment horizontal="center" vertical="center" wrapText="1"/>
    </xf>
    <xf numFmtId="0" fontId="38" fillId="0" borderId="1" xfId="0" applyFont="1" applyBorder="1" applyAlignment="1">
      <alignment vertical="top" wrapText="1"/>
    </xf>
    <xf numFmtId="0" fontId="39" fillId="0" borderId="1" xfId="0" applyFont="1" applyBorder="1" applyAlignment="1">
      <alignment vertical="top" wrapText="1"/>
    </xf>
    <xf numFmtId="0" fontId="4" fillId="0" borderId="1" xfId="0" applyFont="1" applyBorder="1" applyAlignment="1">
      <alignment vertical="top" wrapText="1"/>
    </xf>
    <xf numFmtId="49" fontId="20" fillId="0" borderId="28" xfId="0" applyNumberFormat="1" applyFont="1" applyBorder="1" applyAlignment="1">
      <alignment horizontal="right"/>
    </xf>
    <xf numFmtId="49" fontId="20" fillId="0" borderId="28" xfId="0" applyNumberFormat="1" applyFont="1" applyBorder="1" applyAlignment="1">
      <alignment horizontal="right" wrapText="1"/>
    </xf>
    <xf numFmtId="49" fontId="1" fillId="0" borderId="28" xfId="0" applyNumberFormat="1" applyFont="1" applyBorder="1" applyAlignment="1">
      <alignment horizontal="center" vertical="center"/>
    </xf>
    <xf numFmtId="0" fontId="1" fillId="0" borderId="28" xfId="0" applyFont="1" applyBorder="1" applyAlignment="1">
      <alignment horizontal="center" vertical="center"/>
    </xf>
    <xf numFmtId="0" fontId="1" fillId="0" borderId="25" xfId="0" applyFont="1" applyBorder="1" applyAlignment="1">
      <alignment horizontal="center" vertical="center"/>
    </xf>
    <xf numFmtId="0" fontId="1" fillId="0" borderId="28" xfId="0" applyFont="1" applyBorder="1" applyAlignment="1">
      <alignment horizontal="center" vertical="center"/>
    </xf>
    <xf numFmtId="49" fontId="1" fillId="0" borderId="28" xfId="0" applyNumberFormat="1" applyFont="1" applyBorder="1" applyAlignment="1">
      <alignment horizontal="center" vertical="center"/>
    </xf>
    <xf numFmtId="49" fontId="40" fillId="2" borderId="29" xfId="0" applyNumberFormat="1" applyFont="1" applyFill="1" applyBorder="1" applyAlignment="1">
      <alignment horizontal="center" vertical="center"/>
    </xf>
    <xf numFmtId="0" fontId="40" fillId="2" borderId="29" xfId="0" applyFont="1" applyFill="1" applyBorder="1" applyAlignment="1">
      <alignment horizontal="center" vertical="center"/>
    </xf>
    <xf numFmtId="0" fontId="40" fillId="2" borderId="30" xfId="0" applyFont="1" applyFill="1" applyBorder="1" applyAlignment="1">
      <alignment horizontal="center" vertical="center"/>
    </xf>
    <xf numFmtId="0" fontId="40" fillId="2" borderId="29" xfId="0" applyFont="1" applyFill="1" applyBorder="1" applyAlignment="1">
      <alignment horizontal="center" vertical="center"/>
    </xf>
    <xf numFmtId="49" fontId="40" fillId="4" borderId="1" xfId="0" applyNumberFormat="1" applyFont="1" applyFill="1" applyBorder="1" applyAlignment="1">
      <alignment horizontal="center" vertical="center"/>
    </xf>
    <xf numFmtId="49" fontId="40" fillId="4" borderId="1" xfId="0" applyNumberFormat="1" applyFont="1" applyFill="1" applyBorder="1" applyAlignment="1">
      <alignment horizontal="center" vertical="center"/>
    </xf>
    <xf numFmtId="0" fontId="40" fillId="8" borderId="1" xfId="0" applyFont="1" applyFill="1" applyBorder="1" applyAlignment="1">
      <alignment horizontal="center" vertical="center"/>
    </xf>
    <xf numFmtId="0" fontId="40" fillId="8" borderId="1" xfId="0" applyFont="1" applyFill="1" applyBorder="1" applyAlignment="1">
      <alignment horizontal="center" vertical="center" wrapText="1"/>
    </xf>
    <xf numFmtId="0" fontId="40" fillId="9" borderId="1" xfId="0" applyFont="1" applyFill="1" applyBorder="1" applyAlignment="1">
      <alignment horizontal="center" vertical="center" wrapText="1"/>
    </xf>
    <xf numFmtId="0" fontId="40" fillId="9" borderId="1" xfId="0" applyFont="1" applyFill="1" applyBorder="1" applyAlignment="1">
      <alignment horizontal="center" vertical="center"/>
    </xf>
    <xf numFmtId="49" fontId="40" fillId="0" borderId="1" xfId="0" applyNumberFormat="1" applyFont="1" applyBorder="1" applyAlignment="1">
      <alignment horizontal="center" vertical="center"/>
    </xf>
    <xf numFmtId="0" fontId="40" fillId="0" borderId="1" xfId="0" applyFont="1" applyBorder="1" applyAlignment="1">
      <alignment horizontal="left" vertical="center"/>
    </xf>
    <xf numFmtId="0" fontId="41" fillId="2" borderId="1" xfId="0" applyFont="1" applyFill="1" applyBorder="1" applyAlignment="1">
      <alignment horizontal="center" vertical="center" wrapText="1"/>
    </xf>
    <xf numFmtId="0" fontId="42" fillId="2" borderId="1" xfId="0" applyFont="1" applyFill="1" applyBorder="1" applyAlignment="1">
      <alignment horizontal="center" vertical="center" wrapText="1"/>
    </xf>
    <xf numFmtId="0" fontId="43" fillId="2" borderId="1" xfId="0" applyFont="1" applyFill="1" applyBorder="1" applyAlignment="1">
      <alignment horizontal="center" vertical="center"/>
    </xf>
    <xf numFmtId="0" fontId="44" fillId="0" borderId="1" xfId="0" applyFont="1" applyBorder="1" applyAlignment="1">
      <alignment horizontal="left" vertical="center"/>
    </xf>
    <xf numFmtId="49" fontId="45" fillId="0" borderId="1" xfId="0" applyNumberFormat="1" applyFont="1" applyBorder="1" applyAlignment="1">
      <alignment horizontal="center" vertical="center"/>
    </xf>
    <xf numFmtId="0" fontId="46" fillId="0" borderId="1" xfId="0" applyFont="1" applyBorder="1" applyAlignment="1">
      <alignment horizontal="left" vertical="center"/>
    </xf>
    <xf numFmtId="0" fontId="46" fillId="2" borderId="1" xfId="0" applyFont="1" applyFill="1" applyBorder="1" applyAlignment="1">
      <alignment horizontal="center" vertical="center"/>
    </xf>
    <xf numFmtId="0" fontId="45" fillId="0" borderId="1" xfId="0" applyFont="1" applyBorder="1" applyAlignment="1">
      <alignment horizontal="left" vertical="center"/>
    </xf>
    <xf numFmtId="0" fontId="45" fillId="2" borderId="1" xfId="0" applyFont="1" applyFill="1" applyBorder="1" applyAlignment="1">
      <alignment horizontal="center" vertical="center"/>
    </xf>
    <xf numFmtId="0" fontId="44" fillId="0" borderId="1" xfId="0" applyFont="1" applyBorder="1" applyAlignment="1">
      <alignment horizontal="left" vertical="center"/>
    </xf>
    <xf numFmtId="0" fontId="45" fillId="0" borderId="1" xfId="0" applyFont="1" applyBorder="1" applyAlignment="1">
      <alignment horizontal="left" vertical="center" wrapText="1"/>
    </xf>
    <xf numFmtId="0" fontId="47" fillId="2" borderId="1" xfId="0" applyFont="1" applyFill="1" applyBorder="1" applyAlignment="1">
      <alignment horizontal="center"/>
    </xf>
    <xf numFmtId="0" fontId="40" fillId="0" borderId="1" xfId="0" applyFont="1" applyBorder="1" applyAlignment="1">
      <alignment horizontal="left" vertical="center"/>
    </xf>
    <xf numFmtId="49" fontId="40" fillId="2" borderId="1" xfId="0" applyNumberFormat="1" applyFont="1" applyFill="1" applyBorder="1" applyAlignment="1">
      <alignment horizontal="center" vertical="center"/>
    </xf>
    <xf numFmtId="0" fontId="40" fillId="2" borderId="1" xfId="0" applyFont="1" applyFill="1" applyBorder="1" applyAlignment="1">
      <alignment horizontal="center" vertical="center"/>
    </xf>
    <xf numFmtId="0" fontId="40" fillId="2" borderId="1" xfId="0" applyFont="1" applyFill="1" applyBorder="1" applyAlignment="1">
      <alignment horizontal="center" vertical="center" wrapText="1"/>
    </xf>
    <xf numFmtId="0" fontId="44" fillId="2" borderId="1" xfId="0" applyFont="1" applyFill="1" applyBorder="1" applyAlignment="1">
      <alignment horizontal="center" vertical="center"/>
    </xf>
    <xf numFmtId="49" fontId="44" fillId="4" borderId="1" xfId="0" applyNumberFormat="1" applyFont="1" applyFill="1" applyBorder="1" applyAlignment="1">
      <alignment horizontal="center" vertical="center"/>
    </xf>
    <xf numFmtId="0" fontId="44" fillId="8" borderId="1" xfId="0" applyFont="1" applyFill="1" applyBorder="1" applyAlignment="1">
      <alignment horizontal="center" vertical="center"/>
    </xf>
    <xf numFmtId="0" fontId="44" fillId="9" borderId="1" xfId="0" applyFont="1" applyFill="1" applyBorder="1" applyAlignment="1">
      <alignment horizontal="center" vertical="center"/>
    </xf>
    <xf numFmtId="0" fontId="42" fillId="0" borderId="1" xfId="0" applyFont="1" applyBorder="1" applyAlignment="1">
      <alignment horizontal="center" vertical="center" wrapText="1"/>
    </xf>
    <xf numFmtId="49" fontId="42" fillId="0" borderId="1" xfId="0" applyNumberFormat="1" applyFont="1" applyBorder="1" applyAlignment="1">
      <alignment horizontal="center" vertical="center"/>
    </xf>
    <xf numFmtId="0" fontId="40" fillId="2" borderId="1" xfId="0" applyFont="1" applyFill="1" applyBorder="1" applyAlignment="1">
      <alignment horizontal="left" vertical="center"/>
    </xf>
    <xf numFmtId="0" fontId="45" fillId="2" borderId="1" xfId="0" applyFont="1" applyFill="1" applyBorder="1" applyAlignment="1">
      <alignment horizontal="left" vertical="center"/>
    </xf>
    <xf numFmtId="0" fontId="44" fillId="2" borderId="1" xfId="0" applyFont="1" applyFill="1" applyBorder="1" applyAlignment="1">
      <alignment horizontal="left" vertical="center"/>
    </xf>
    <xf numFmtId="0" fontId="40" fillId="2" borderId="1" xfId="0" applyFont="1" applyFill="1" applyBorder="1" applyAlignment="1">
      <alignment horizontal="left" vertical="center"/>
    </xf>
    <xf numFmtId="0" fontId="41" fillId="2" borderId="1" xfId="0" applyFont="1" applyFill="1" applyBorder="1" applyAlignment="1">
      <alignment horizontal="center" vertical="center" wrapText="1"/>
    </xf>
    <xf numFmtId="0" fontId="45" fillId="0" borderId="1" xfId="0" applyFont="1" applyBorder="1" applyAlignment="1">
      <alignment horizontal="center" vertical="center"/>
    </xf>
    <xf numFmtId="0" fontId="42" fillId="0" borderId="1" xfId="0" applyFont="1" applyBorder="1" applyAlignment="1">
      <alignment horizontal="left" vertical="center"/>
    </xf>
    <xf numFmtId="0" fontId="45" fillId="0" borderId="1" xfId="0" applyFont="1" applyBorder="1" applyAlignment="1">
      <alignment horizontal="center" vertical="center"/>
    </xf>
    <xf numFmtId="0" fontId="20" fillId="2" borderId="4" xfId="0" applyFont="1" applyFill="1" applyBorder="1" applyAlignment="1">
      <alignment horizontal="center" vertical="center" wrapText="1"/>
    </xf>
    <xf numFmtId="49" fontId="48" fillId="0" borderId="1" xfId="0" applyNumberFormat="1" applyFont="1" applyBorder="1" applyAlignment="1">
      <alignment horizontal="center"/>
    </xf>
    <xf numFmtId="0" fontId="48" fillId="0" borderId="4" xfId="0" applyFont="1" applyBorder="1"/>
    <xf numFmtId="0" fontId="42" fillId="2" borderId="4" xfId="0" applyFont="1" applyFill="1" applyBorder="1" applyAlignment="1">
      <alignment horizontal="center" wrapText="1"/>
    </xf>
    <xf numFmtId="49" fontId="48" fillId="0" borderId="1" xfId="0" applyNumberFormat="1" applyFont="1" applyBorder="1" applyAlignment="1">
      <alignment horizontal="center" vertical="center"/>
    </xf>
    <xf numFmtId="0" fontId="42" fillId="2" borderId="4" xfId="0" applyFont="1" applyFill="1" applyBorder="1" applyAlignment="1">
      <alignment horizontal="center" wrapText="1"/>
    </xf>
    <xf numFmtId="0" fontId="20" fillId="2" borderId="4" xfId="0" applyFont="1" applyFill="1" applyBorder="1"/>
    <xf numFmtId="0" fontId="41" fillId="0" borderId="1" xfId="0" applyFont="1" applyBorder="1" applyAlignment="1">
      <alignment horizontal="center" vertical="center" wrapText="1"/>
    </xf>
    <xf numFmtId="0" fontId="42" fillId="3" borderId="1" xfId="0" applyFont="1" applyFill="1" applyBorder="1" applyAlignment="1">
      <alignment horizontal="center" vertical="center" wrapText="1"/>
    </xf>
    <xf numFmtId="0" fontId="45" fillId="3" borderId="1" xfId="0" applyFont="1" applyFill="1" applyBorder="1" applyAlignment="1">
      <alignment horizontal="center" vertical="center"/>
    </xf>
    <xf numFmtId="0" fontId="45" fillId="0" borderId="1" xfId="0" applyFont="1" applyBorder="1" applyAlignment="1">
      <alignment horizontal="left" vertical="center"/>
    </xf>
    <xf numFmtId="0" fontId="42" fillId="0" borderId="1" xfId="0" applyFont="1" applyBorder="1" applyAlignment="1">
      <alignment horizontal="center" vertical="center"/>
    </xf>
    <xf numFmtId="0" fontId="45" fillId="0" borderId="1" xfId="0" applyFont="1" applyBorder="1" applyAlignment="1">
      <alignment horizontal="left" vertical="center"/>
    </xf>
    <xf numFmtId="0" fontId="45" fillId="0" borderId="1" xfId="0" applyFont="1" applyBorder="1" applyAlignment="1">
      <alignment horizontal="left" vertical="center"/>
    </xf>
    <xf numFmtId="0" fontId="42" fillId="0" borderId="1" xfId="0" applyFont="1" applyBorder="1" applyAlignment="1">
      <alignment horizontal="center" wrapText="1"/>
    </xf>
    <xf numFmtId="0" fontId="42" fillId="0" borderId="4" xfId="0" applyFont="1" applyBorder="1" applyAlignment="1">
      <alignment horizontal="center" vertical="center" wrapText="1"/>
    </xf>
    <xf numFmtId="0" fontId="49" fillId="0" borderId="1" xfId="0" applyFont="1" applyBorder="1" applyAlignment="1">
      <alignment horizontal="left"/>
    </xf>
    <xf numFmtId="0" fontId="42" fillId="0" borderId="8" xfId="0" applyFont="1" applyBorder="1" applyAlignment="1">
      <alignment horizontal="center" wrapText="1"/>
    </xf>
    <xf numFmtId="0" fontId="42" fillId="0" borderId="7" xfId="0" applyFont="1" applyBorder="1" applyAlignment="1">
      <alignment horizontal="center" vertical="center" wrapText="1"/>
    </xf>
    <xf numFmtId="0" fontId="15" fillId="0" borderId="8" xfId="0" applyFont="1" applyBorder="1" applyAlignment="1">
      <alignment horizontal="left"/>
    </xf>
    <xf numFmtId="0" fontId="15" fillId="0" borderId="8" xfId="0" applyFont="1" applyBorder="1" applyAlignment="1">
      <alignment horizontal="left"/>
    </xf>
    <xf numFmtId="0" fontId="42" fillId="0" borderId="8" xfId="0" applyFont="1" applyBorder="1" applyAlignment="1">
      <alignment horizontal="center"/>
    </xf>
    <xf numFmtId="0" fontId="15" fillId="0" borderId="8" xfId="0" applyFont="1" applyBorder="1" applyAlignment="1">
      <alignment horizontal="left"/>
    </xf>
    <xf numFmtId="0" fontId="15" fillId="0" borderId="8" xfId="0" applyFont="1" applyBorder="1" applyAlignment="1">
      <alignment horizontal="left"/>
    </xf>
    <xf numFmtId="0" fontId="50" fillId="0" borderId="8" xfId="0" applyFont="1" applyBorder="1" applyAlignment="1">
      <alignment horizontal="left"/>
    </xf>
    <xf numFmtId="0" fontId="51" fillId="0" borderId="8" xfId="0" applyFont="1" applyBorder="1" applyAlignment="1">
      <alignment horizontal="left"/>
    </xf>
    <xf numFmtId="0" fontId="42" fillId="0" borderId="1" xfId="0" applyFont="1" applyBorder="1" applyAlignment="1">
      <alignment horizontal="center" wrapText="1"/>
    </xf>
    <xf numFmtId="0" fontId="42" fillId="0" borderId="4" xfId="0" applyFont="1" applyBorder="1" applyAlignment="1">
      <alignment horizontal="center" wrapText="1"/>
    </xf>
    <xf numFmtId="0" fontId="42" fillId="0" borderId="7" xfId="0" applyFont="1" applyBorder="1" applyAlignment="1">
      <alignment horizontal="center" wrapText="1"/>
    </xf>
    <xf numFmtId="0" fontId="46" fillId="0" borderId="1" xfId="0" applyFont="1" applyBorder="1" applyAlignment="1">
      <alignment horizontal="left" vertical="center"/>
    </xf>
    <xf numFmtId="0" fontId="42" fillId="0" borderId="8" xfId="0" applyFont="1" applyBorder="1" applyAlignment="1">
      <alignment horizontal="center" vertical="center" wrapText="1"/>
    </xf>
    <xf numFmtId="0" fontId="52" fillId="0" borderId="8" xfId="0" applyFont="1" applyBorder="1" applyAlignment="1">
      <alignment horizontal="left" vertical="center"/>
    </xf>
    <xf numFmtId="0" fontId="45" fillId="0" borderId="1" xfId="0" applyFont="1" applyBorder="1" applyAlignment="1">
      <alignment horizontal="center" vertical="center" wrapText="1"/>
    </xf>
    <xf numFmtId="0" fontId="40" fillId="0" borderId="1" xfId="0" applyFont="1" applyBorder="1"/>
    <xf numFmtId="0" fontId="42" fillId="0" borderId="1" xfId="0" applyFont="1" applyBorder="1" applyAlignment="1">
      <alignment horizontal="center" vertical="center" wrapText="1"/>
    </xf>
    <xf numFmtId="0" fontId="45" fillId="0" borderId="1" xfId="0" applyFont="1" applyBorder="1" applyAlignment="1">
      <alignment horizontal="left" vertical="center" wrapText="1"/>
    </xf>
    <xf numFmtId="0" fontId="53" fillId="0" borderId="8" xfId="0" applyFont="1" applyBorder="1" applyAlignment="1">
      <alignment horizontal="center" vertical="center"/>
    </xf>
    <xf numFmtId="0" fontId="54" fillId="9" borderId="36" xfId="0" applyFont="1" applyFill="1" applyBorder="1" applyAlignment="1">
      <alignment horizontal="center" wrapText="1"/>
    </xf>
    <xf numFmtId="49" fontId="41" fillId="0" borderId="37" xfId="0" applyNumberFormat="1" applyFont="1" applyBorder="1" applyAlignment="1">
      <alignment horizontal="center" vertical="center"/>
    </xf>
    <xf numFmtId="0" fontId="41" fillId="0" borderId="37" xfId="0" applyFont="1" applyBorder="1" applyAlignment="1">
      <alignment horizontal="left" vertical="center"/>
    </xf>
    <xf numFmtId="0" fontId="41" fillId="0" borderId="37" xfId="0" applyFont="1" applyBorder="1" applyAlignment="1">
      <alignment horizontal="left" vertical="center" wrapText="1"/>
    </xf>
    <xf numFmtId="0" fontId="41" fillId="0" borderId="38" xfId="0" applyFont="1" applyBorder="1" applyAlignment="1">
      <alignment horizontal="center" vertical="center" wrapText="1"/>
    </xf>
    <xf numFmtId="0" fontId="41" fillId="0" borderId="37" xfId="0" applyFont="1" applyBorder="1" applyAlignment="1">
      <alignment horizontal="center" vertical="center"/>
    </xf>
    <xf numFmtId="0" fontId="41" fillId="0" borderId="37" xfId="0" applyFont="1" applyBorder="1" applyAlignment="1">
      <alignment horizontal="center" vertical="center" wrapText="1"/>
    </xf>
    <xf numFmtId="49" fontId="41" fillId="0" borderId="28" xfId="0" applyNumberFormat="1" applyFont="1" applyBorder="1" applyAlignment="1">
      <alignment horizontal="center" vertical="center"/>
    </xf>
    <xf numFmtId="0" fontId="55" fillId="0" borderId="28" xfId="0" applyFont="1" applyBorder="1" applyAlignment="1">
      <alignment horizontal="left" vertical="center"/>
    </xf>
    <xf numFmtId="0" fontId="41" fillId="0" borderId="28" xfId="0" applyFont="1" applyBorder="1" applyAlignment="1">
      <alignment horizontal="left" vertical="center" wrapText="1"/>
    </xf>
    <xf numFmtId="0" fontId="41" fillId="2" borderId="25" xfId="0" applyFont="1" applyFill="1" applyBorder="1" applyAlignment="1">
      <alignment horizontal="center" vertical="center" wrapText="1"/>
    </xf>
    <xf numFmtId="0" fontId="41" fillId="0" borderId="28" xfId="0" applyFont="1" applyBorder="1" applyAlignment="1">
      <alignment horizontal="center" vertical="center"/>
    </xf>
    <xf numFmtId="0" fontId="41" fillId="0" borderId="28" xfId="0" applyFont="1" applyBorder="1" applyAlignment="1">
      <alignment horizontal="center" vertical="center" wrapText="1"/>
    </xf>
    <xf numFmtId="49" fontId="1" fillId="0" borderId="28" xfId="0" applyNumberFormat="1" applyFont="1" applyBorder="1" applyAlignment="1">
      <alignment vertical="center"/>
    </xf>
    <xf numFmtId="0" fontId="1" fillId="0" borderId="28" xfId="0" applyFont="1" applyBorder="1" applyAlignment="1">
      <alignment vertical="center"/>
    </xf>
    <xf numFmtId="0" fontId="1" fillId="0" borderId="28" xfId="0" applyFont="1" applyBorder="1" applyAlignment="1">
      <alignment vertical="center" wrapText="1"/>
    </xf>
    <xf numFmtId="0" fontId="1" fillId="0" borderId="25" xfId="0" applyFont="1" applyBorder="1" applyAlignment="1">
      <alignment vertical="center" wrapText="1"/>
    </xf>
    <xf numFmtId="0" fontId="1" fillId="0" borderId="28" xfId="0" applyFont="1" applyBorder="1" applyAlignment="1">
      <alignment vertical="center"/>
    </xf>
    <xf numFmtId="49" fontId="18" fillId="2" borderId="28" xfId="0" applyNumberFormat="1" applyFont="1" applyFill="1" applyBorder="1" applyAlignment="1">
      <alignment horizontal="center" wrapText="1"/>
    </xf>
    <xf numFmtId="0" fontId="18" fillId="2" borderId="28" xfId="0" applyFont="1" applyFill="1" applyBorder="1" applyAlignment="1">
      <alignment horizontal="right" wrapText="1"/>
    </xf>
    <xf numFmtId="0" fontId="18" fillId="2" borderId="28" xfId="0" applyFont="1" applyFill="1" applyBorder="1" applyAlignment="1">
      <alignment horizontal="right"/>
    </xf>
    <xf numFmtId="49" fontId="16" fillId="2" borderId="28" xfId="0" applyNumberFormat="1" applyFont="1" applyFill="1" applyBorder="1" applyAlignment="1">
      <alignment horizontal="right" vertical="center" wrapText="1"/>
    </xf>
    <xf numFmtId="0" fontId="16" fillId="2" borderId="28" xfId="0" applyFont="1" applyFill="1" applyBorder="1" applyAlignment="1">
      <alignment horizontal="right" vertical="center" wrapText="1"/>
    </xf>
    <xf numFmtId="0" fontId="16" fillId="2" borderId="28" xfId="0" applyFont="1" applyFill="1" applyBorder="1" applyAlignment="1">
      <alignment horizontal="right" vertical="center"/>
    </xf>
    <xf numFmtId="49" fontId="10" fillId="2" borderId="28" xfId="0" applyNumberFormat="1" applyFont="1" applyFill="1" applyBorder="1" applyAlignment="1">
      <alignment wrapText="1"/>
    </xf>
    <xf numFmtId="0" fontId="10" fillId="2" borderId="28" xfId="0" applyFont="1" applyFill="1" applyBorder="1" applyAlignment="1">
      <alignment wrapText="1"/>
    </xf>
    <xf numFmtId="0" fontId="10" fillId="2" borderId="25" xfId="0" applyFont="1" applyFill="1" applyBorder="1" applyAlignment="1">
      <alignment wrapText="1"/>
    </xf>
    <xf numFmtId="0" fontId="10" fillId="2" borderId="28" xfId="0" applyFont="1" applyFill="1" applyBorder="1" applyAlignment="1"/>
    <xf numFmtId="49" fontId="10" fillId="2" borderId="28" xfId="0" applyNumberFormat="1" applyFont="1" applyFill="1" applyBorder="1" applyAlignment="1">
      <alignment horizontal="right" wrapText="1"/>
    </xf>
    <xf numFmtId="0" fontId="10" fillId="2" borderId="28" xfId="0" applyFont="1" applyFill="1" applyBorder="1" applyAlignment="1">
      <alignment horizontal="right" wrapText="1"/>
    </xf>
    <xf numFmtId="0" fontId="4" fillId="2" borderId="28" xfId="0" applyFont="1" applyFill="1" applyBorder="1"/>
    <xf numFmtId="0" fontId="10" fillId="2" borderId="25" xfId="0" applyFont="1" applyFill="1" applyBorder="1" applyAlignment="1">
      <alignment horizontal="right" wrapText="1"/>
    </xf>
    <xf numFmtId="0" fontId="10" fillId="2" borderId="28" xfId="0" applyFont="1" applyFill="1" applyBorder="1" applyAlignment="1">
      <alignment horizontal="right"/>
    </xf>
    <xf numFmtId="49" fontId="16" fillId="2" borderId="28" xfId="0" applyNumberFormat="1" applyFont="1" applyFill="1" applyBorder="1" applyAlignment="1">
      <alignment horizontal="right" wrapText="1"/>
    </xf>
    <xf numFmtId="0" fontId="16" fillId="2" borderId="28" xfId="0" applyFont="1" applyFill="1" applyBorder="1" applyAlignment="1">
      <alignment horizontal="right" wrapText="1"/>
    </xf>
    <xf numFmtId="0" fontId="16" fillId="2" borderId="25" xfId="0" applyFont="1" applyFill="1" applyBorder="1" applyAlignment="1">
      <alignment horizontal="right" wrapText="1"/>
    </xf>
    <xf numFmtId="0" fontId="16" fillId="2" borderId="28" xfId="0" applyFont="1" applyFill="1" applyBorder="1" applyAlignment="1">
      <alignment horizontal="right"/>
    </xf>
    <xf numFmtId="49" fontId="4" fillId="2" borderId="28" xfId="0" applyNumberFormat="1" applyFont="1" applyFill="1" applyBorder="1"/>
    <xf numFmtId="0" fontId="1" fillId="0" borderId="0" xfId="0" applyFont="1" applyAlignment="1">
      <alignment horizontal="right" vertical="top" wrapText="1"/>
    </xf>
    <xf numFmtId="0" fontId="0" fillId="0" borderId="0" xfId="0" applyFont="1" applyAlignment="1"/>
    <xf numFmtId="0" fontId="2" fillId="0" borderId="0" xfId="0" applyFont="1" applyAlignment="1">
      <alignment horizontal="center" vertical="top" wrapText="1"/>
    </xf>
    <xf numFmtId="0" fontId="3" fillId="0" borderId="0" xfId="0" applyFont="1" applyAlignment="1">
      <alignment vertical="top" wrapText="1"/>
    </xf>
    <xf numFmtId="0" fontId="5" fillId="0" borderId="0" xfId="0" applyFont="1" applyAlignment="1">
      <alignment horizontal="center" vertical="top" wrapText="1"/>
    </xf>
    <xf numFmtId="0" fontId="5" fillId="0" borderId="2" xfId="0" applyFont="1" applyBorder="1" applyAlignment="1">
      <alignment horizontal="center" vertical="top" wrapText="1"/>
    </xf>
    <xf numFmtId="0" fontId="6" fillId="0" borderId="3" xfId="0" applyFont="1" applyBorder="1"/>
    <xf numFmtId="0" fontId="6" fillId="0" borderId="4" xfId="0" applyFont="1" applyBorder="1"/>
    <xf numFmtId="0" fontId="7" fillId="0" borderId="2" xfId="0" applyFont="1" applyBorder="1" applyAlignment="1">
      <alignment horizontal="left" vertical="top" wrapText="1"/>
    </xf>
    <xf numFmtId="0" fontId="4" fillId="0" borderId="2" xfId="0" applyFont="1" applyBorder="1" applyAlignment="1">
      <alignment vertical="top" wrapText="1"/>
    </xf>
    <xf numFmtId="0" fontId="7" fillId="0" borderId="2" xfId="0" applyFont="1" applyBorder="1" applyAlignment="1">
      <alignment horizontal="left" vertical="center" wrapText="1"/>
    </xf>
    <xf numFmtId="0" fontId="10" fillId="0" borderId="3" xfId="0" applyFont="1" applyBorder="1" applyAlignment="1">
      <alignment vertical="top" wrapText="1"/>
    </xf>
    <xf numFmtId="0" fontId="12" fillId="0" borderId="2" xfId="0" applyFont="1" applyBorder="1" applyAlignment="1">
      <alignment vertical="top" wrapText="1"/>
    </xf>
    <xf numFmtId="0" fontId="13" fillId="0" borderId="2" xfId="0" applyFont="1" applyBorder="1" applyAlignment="1">
      <alignment vertical="top" wrapText="1"/>
    </xf>
    <xf numFmtId="0" fontId="4" fillId="0" borderId="0" xfId="0" applyFont="1" applyAlignment="1">
      <alignment vertical="top" wrapText="1"/>
    </xf>
    <xf numFmtId="0" fontId="4" fillId="0" borderId="0" xfId="0" applyFont="1" applyAlignment="1">
      <alignment horizontal="right" vertical="top" wrapText="1"/>
    </xf>
    <xf numFmtId="0" fontId="14" fillId="0" borderId="2" xfId="0" applyFont="1" applyBorder="1" applyAlignment="1">
      <alignment vertical="top" wrapText="1"/>
    </xf>
    <xf numFmtId="0" fontId="5" fillId="0" borderId="0" xfId="0" applyFont="1" applyAlignment="1">
      <alignment vertical="top" wrapText="1"/>
    </xf>
    <xf numFmtId="0" fontId="15" fillId="0" borderId="0" xfId="0" applyFont="1" applyAlignment="1">
      <alignment horizontal="right" wrapText="1"/>
    </xf>
    <xf numFmtId="0" fontId="16" fillId="2" borderId="0" xfId="0" applyFont="1" applyFill="1" applyAlignment="1">
      <alignment horizontal="left" wrapText="1"/>
    </xf>
    <xf numFmtId="0" fontId="17" fillId="0" borderId="0" xfId="0" applyFont="1" applyAlignment="1">
      <alignment horizontal="center"/>
    </xf>
    <xf numFmtId="0" fontId="5" fillId="0" borderId="2" xfId="0" applyFont="1" applyBorder="1" applyAlignment="1">
      <alignment horizontal="left" vertical="center" wrapText="1"/>
    </xf>
    <xf numFmtId="0" fontId="18" fillId="0" borderId="5" xfId="0" applyFont="1" applyBorder="1" applyAlignment="1">
      <alignment vertical="center"/>
    </xf>
    <xf numFmtId="0" fontId="6" fillId="0" borderId="6" xfId="0" applyFont="1" applyBorder="1"/>
    <xf numFmtId="0" fontId="6" fillId="0" borderId="7" xfId="0" applyFont="1" applyBorder="1"/>
    <xf numFmtId="0" fontId="17" fillId="2" borderId="5" xfId="0" applyFont="1" applyFill="1" applyBorder="1" applyAlignment="1">
      <alignment horizontal="left"/>
    </xf>
    <xf numFmtId="164" fontId="10" fillId="0" borderId="9" xfId="0" applyNumberFormat="1" applyFont="1" applyBorder="1" applyAlignment="1">
      <alignment horizontal="center" vertical="center"/>
    </xf>
    <xf numFmtId="0" fontId="6" fillId="0" borderId="9" xfId="0" applyFont="1" applyBorder="1"/>
    <xf numFmtId="0" fontId="6" fillId="0" borderId="8" xfId="0" applyFont="1" applyBorder="1"/>
    <xf numFmtId="0" fontId="10" fillId="3" borderId="9" xfId="0" applyFont="1" applyFill="1" applyBorder="1" applyAlignment="1">
      <alignment vertical="top" wrapText="1"/>
    </xf>
    <xf numFmtId="0" fontId="18" fillId="0" borderId="2" xfId="0" applyFont="1" applyBorder="1" applyAlignment="1">
      <alignment vertical="center" wrapText="1"/>
    </xf>
    <xf numFmtId="0" fontId="10" fillId="0" borderId="9" xfId="0" applyFont="1" applyBorder="1" applyAlignment="1">
      <alignment vertical="center" wrapText="1"/>
    </xf>
    <xf numFmtId="0" fontId="18" fillId="0" borderId="0" xfId="0" applyFont="1" applyAlignment="1">
      <alignment horizontal="center" wrapText="1"/>
    </xf>
    <xf numFmtId="0" fontId="16" fillId="2" borderId="0" xfId="0" applyFont="1" applyFill="1" applyAlignment="1">
      <alignment vertical="center" wrapText="1"/>
    </xf>
    <xf numFmtId="0" fontId="16" fillId="0" borderId="0" xfId="0" applyFont="1" applyAlignment="1">
      <alignment wrapText="1"/>
    </xf>
    <xf numFmtId="0" fontId="10" fillId="0" borderId="0" xfId="0" applyFont="1" applyAlignment="1">
      <alignment horizontal="right" wrapText="1"/>
    </xf>
    <xf numFmtId="0" fontId="16" fillId="0" borderId="0" xfId="0" applyFont="1" applyAlignment="1">
      <alignment horizontal="right" wrapText="1"/>
    </xf>
    <xf numFmtId="0" fontId="10" fillId="3" borderId="10" xfId="0" applyFont="1" applyFill="1" applyBorder="1" applyAlignment="1">
      <alignment vertical="center" wrapText="1"/>
    </xf>
    <xf numFmtId="0" fontId="27" fillId="0" borderId="2" xfId="0" applyFont="1" applyBorder="1" applyAlignment="1">
      <alignment vertical="center"/>
    </xf>
    <xf numFmtId="0" fontId="24" fillId="0" borderId="2" xfId="0" applyFont="1" applyBorder="1" applyAlignment="1">
      <alignment vertical="center"/>
    </xf>
    <xf numFmtId="0" fontId="25" fillId="0" borderId="2" xfId="0" applyFont="1" applyBorder="1" applyAlignment="1">
      <alignment vertical="center"/>
    </xf>
    <xf numFmtId="0" fontId="24" fillId="0" borderId="2" xfId="0" applyFont="1" applyBorder="1" applyAlignment="1"/>
    <xf numFmtId="0" fontId="23" fillId="0" borderId="2" xfId="0" applyFont="1" applyBorder="1" applyAlignment="1">
      <alignment vertical="center"/>
    </xf>
    <xf numFmtId="0" fontId="10" fillId="0" borderId="2" xfId="0" applyFont="1" applyBorder="1" applyAlignment="1">
      <alignment vertical="top" wrapText="1"/>
    </xf>
    <xf numFmtId="0" fontId="18" fillId="0" borderId="2" xfId="0" applyFont="1" applyBorder="1" applyAlignment="1">
      <alignment vertical="top" wrapText="1"/>
    </xf>
    <xf numFmtId="0" fontId="14" fillId="0" borderId="2" xfId="0" applyFont="1" applyBorder="1" applyAlignment="1">
      <alignment wrapText="1"/>
    </xf>
    <xf numFmtId="0" fontId="17" fillId="0" borderId="2" xfId="0" applyFont="1" applyBorder="1" applyAlignment="1">
      <alignment vertical="center"/>
    </xf>
    <xf numFmtId="0" fontId="23" fillId="0" borderId="2" xfId="0" applyFont="1" applyBorder="1" applyAlignment="1"/>
    <xf numFmtId="0" fontId="10" fillId="0" borderId="2" xfId="0" applyFont="1" applyBorder="1" applyAlignment="1">
      <alignment wrapText="1"/>
    </xf>
    <xf numFmtId="0" fontId="21" fillId="0" borderId="2" xfId="0" applyFont="1" applyBorder="1" applyAlignment="1">
      <alignment vertical="center"/>
    </xf>
    <xf numFmtId="0" fontId="25" fillId="0" borderId="2" xfId="0" applyFont="1" applyBorder="1" applyAlignment="1">
      <alignment horizontal="left" vertical="center"/>
    </xf>
    <xf numFmtId="0" fontId="23" fillId="0" borderId="2" xfId="0" applyFont="1" applyBorder="1" applyAlignment="1">
      <alignment horizontal="left" vertical="center"/>
    </xf>
    <xf numFmtId="0" fontId="22" fillId="0" borderId="2" xfId="0" applyFont="1" applyBorder="1" applyAlignment="1">
      <alignment vertical="top" wrapText="1"/>
    </xf>
    <xf numFmtId="0" fontId="10" fillId="0" borderId="11" xfId="0" applyFont="1" applyBorder="1" applyAlignment="1">
      <alignment horizontal="right" vertical="center" wrapText="1"/>
    </xf>
    <xf numFmtId="0" fontId="6" fillId="0" borderId="12" xfId="0" applyFont="1" applyBorder="1"/>
    <xf numFmtId="0" fontId="6" fillId="0" borderId="13" xfId="0" applyFont="1" applyBorder="1"/>
    <xf numFmtId="0" fontId="19" fillId="0" borderId="11" xfId="0" applyFont="1" applyBorder="1" applyAlignment="1">
      <alignment horizontal="center"/>
    </xf>
    <xf numFmtId="0" fontId="20" fillId="0" borderId="11" xfId="0" applyFont="1" applyBorder="1" applyAlignment="1">
      <alignment wrapText="1"/>
    </xf>
    <xf numFmtId="0" fontId="20" fillId="0" borderId="11" xfId="0" applyFont="1" applyBorder="1" applyAlignment="1">
      <alignment horizontal="right" vertical="center" wrapText="1"/>
    </xf>
    <xf numFmtId="0" fontId="10" fillId="0" borderId="11" xfId="0" applyFont="1" applyBorder="1" applyAlignment="1">
      <alignment wrapText="1"/>
    </xf>
    <xf numFmtId="0" fontId="21" fillId="0" borderId="11" xfId="0" applyFont="1" applyBorder="1" applyAlignment="1">
      <alignment horizontal="center"/>
    </xf>
    <xf numFmtId="0" fontId="10" fillId="0" borderId="11" xfId="0" applyFont="1" applyBorder="1" applyAlignment="1">
      <alignment vertical="top" wrapText="1"/>
    </xf>
    <xf numFmtId="0" fontId="14" fillId="0" borderId="11" xfId="0" applyFont="1" applyBorder="1" applyAlignment="1">
      <alignment vertical="center" wrapText="1"/>
    </xf>
    <xf numFmtId="0" fontId="14" fillId="0" borderId="11" xfId="0" applyFont="1" applyBorder="1" applyAlignment="1">
      <alignment vertical="top" wrapText="1"/>
    </xf>
    <xf numFmtId="0" fontId="10" fillId="0" borderId="11" xfId="0" applyFont="1" applyBorder="1" applyAlignment="1">
      <alignment vertical="center" wrapText="1"/>
    </xf>
    <xf numFmtId="0" fontId="16" fillId="0" borderId="11" xfId="0" applyFont="1" applyBorder="1" applyAlignment="1">
      <alignment vertical="center" wrapText="1"/>
    </xf>
    <xf numFmtId="0" fontId="16" fillId="0" borderId="11" xfId="0" applyFont="1" applyBorder="1" applyAlignment="1">
      <alignment vertical="top" wrapText="1"/>
    </xf>
    <xf numFmtId="0" fontId="16" fillId="0" borderId="15" xfId="0" applyFont="1" applyBorder="1" applyAlignment="1">
      <alignment vertical="top" wrapText="1"/>
    </xf>
    <xf numFmtId="0" fontId="6" fillId="0" borderId="16" xfId="0" applyFont="1" applyBorder="1"/>
    <xf numFmtId="0" fontId="6" fillId="0" borderId="18" xfId="0" applyFont="1" applyBorder="1"/>
    <xf numFmtId="0" fontId="6" fillId="0" borderId="19" xfId="0" applyFont="1" applyBorder="1"/>
    <xf numFmtId="0" fontId="6" fillId="0" borderId="21" xfId="0" applyFont="1" applyBorder="1"/>
    <xf numFmtId="0" fontId="6" fillId="0" borderId="22" xfId="0" applyFont="1" applyBorder="1"/>
    <xf numFmtId="0" fontId="16" fillId="0" borderId="17" xfId="0" applyFont="1" applyBorder="1" applyAlignment="1">
      <alignment vertical="top" wrapText="1"/>
    </xf>
    <xf numFmtId="0" fontId="6" fillId="0" borderId="20" xfId="0" applyFont="1" applyBorder="1"/>
    <xf numFmtId="0" fontId="6" fillId="0" borderId="23" xfId="0" applyFont="1" applyBorder="1"/>
    <xf numFmtId="0" fontId="18" fillId="0" borderId="11" xfId="0" applyFont="1" applyBorder="1" applyAlignment="1">
      <alignment horizontal="center" wrapText="1"/>
    </xf>
    <xf numFmtId="0" fontId="21" fillId="0" borderId="15" xfId="0" applyFont="1" applyBorder="1" applyAlignment="1">
      <alignment horizontal="center"/>
    </xf>
    <xf numFmtId="0" fontId="6" fillId="0" borderId="24" xfId="0" applyFont="1" applyBorder="1"/>
    <xf numFmtId="0" fontId="17" fillId="0" borderId="2" xfId="0" applyFont="1" applyBorder="1" applyAlignment="1">
      <alignment horizontal="center" vertical="top" wrapText="1"/>
    </xf>
    <xf numFmtId="0" fontId="18" fillId="0" borderId="3" xfId="0" applyFont="1" applyBorder="1" applyAlignment="1">
      <alignment wrapText="1"/>
    </xf>
    <xf numFmtId="0" fontId="27" fillId="0" borderId="2" xfId="0" applyFont="1" applyBorder="1" applyAlignment="1"/>
    <xf numFmtId="0" fontId="18" fillId="0" borderId="2" xfId="0" applyFont="1" applyBorder="1" applyAlignment="1">
      <alignment vertical="center"/>
    </xf>
    <xf numFmtId="49" fontId="14" fillId="0" borderId="2" xfId="0" applyNumberFormat="1" applyFont="1" applyBorder="1" applyAlignment="1">
      <alignment vertical="top" wrapText="1"/>
    </xf>
    <xf numFmtId="49" fontId="17" fillId="0" borderId="2" xfId="0" applyNumberFormat="1" applyFont="1" applyBorder="1" applyAlignment="1">
      <alignment horizontal="left" vertical="center"/>
    </xf>
    <xf numFmtId="49" fontId="10" fillId="0" borderId="2" xfId="0" applyNumberFormat="1" applyFont="1" applyBorder="1" applyAlignment="1">
      <alignment vertical="top" wrapText="1"/>
    </xf>
    <xf numFmtId="0" fontId="21" fillId="0" borderId="2" xfId="0" applyFont="1" applyBorder="1" applyAlignment="1"/>
    <xf numFmtId="49" fontId="10" fillId="0" borderId="2" xfId="0" applyNumberFormat="1" applyFont="1" applyBorder="1" applyAlignment="1"/>
    <xf numFmtId="49" fontId="14" fillId="0" borderId="2" xfId="0" applyNumberFormat="1" applyFont="1" applyBorder="1" applyAlignment="1">
      <alignment horizontal="left" vertical="center" wrapText="1"/>
    </xf>
    <xf numFmtId="0" fontId="29" fillId="0" borderId="2" xfId="0" applyFont="1" applyBorder="1" applyAlignment="1"/>
    <xf numFmtId="0" fontId="29" fillId="0" borderId="2" xfId="0" applyFont="1" applyBorder="1" applyAlignment="1">
      <alignment vertical="center"/>
    </xf>
    <xf numFmtId="0" fontId="30" fillId="0" borderId="2" xfId="0" applyFont="1" applyBorder="1" applyAlignment="1">
      <alignment vertical="center" wrapText="1"/>
    </xf>
    <xf numFmtId="0" fontId="32" fillId="0" borderId="2" xfId="0" applyFont="1" applyBorder="1" applyAlignment="1">
      <alignment vertical="center" wrapText="1"/>
    </xf>
    <xf numFmtId="0" fontId="30" fillId="0" borderId="2" xfId="0" applyFont="1" applyBorder="1" applyAlignment="1">
      <alignment vertical="center"/>
    </xf>
    <xf numFmtId="0" fontId="25" fillId="0" borderId="2" xfId="0" applyFont="1" applyBorder="1" applyAlignment="1"/>
    <xf numFmtId="0" fontId="18" fillId="0" borderId="11" xfId="0" applyFont="1" applyBorder="1" applyAlignment="1">
      <alignment horizontal="right" wrapText="1"/>
    </xf>
    <xf numFmtId="0" fontId="16" fillId="0" borderId="11" xfId="0" applyFont="1" applyBorder="1" applyAlignment="1">
      <alignment horizontal="right" vertical="center" wrapText="1"/>
    </xf>
    <xf numFmtId="0" fontId="10" fillId="0" borderId="11" xfId="0" applyFont="1" applyBorder="1" applyAlignment="1">
      <alignment horizontal="right" wrapText="1"/>
    </xf>
    <xf numFmtId="0" fontId="16" fillId="0" borderId="11" xfId="0" applyFont="1" applyBorder="1" applyAlignment="1">
      <alignment horizontal="right" wrapText="1"/>
    </xf>
    <xf numFmtId="0" fontId="17" fillId="0" borderId="11" xfId="0" applyFont="1" applyBorder="1" applyAlignment="1"/>
    <xf numFmtId="0" fontId="14" fillId="0" borderId="11" xfId="0" applyFont="1" applyBorder="1" applyAlignment="1">
      <alignment wrapText="1"/>
    </xf>
    <xf numFmtId="0" fontId="18" fillId="0" borderId="2" xfId="0" applyFont="1" applyBorder="1" applyAlignment="1">
      <alignment wrapText="1"/>
    </xf>
    <xf numFmtId="49" fontId="14" fillId="0" borderId="2" xfId="0" applyNumberFormat="1" applyFont="1" applyBorder="1" applyAlignment="1">
      <alignment wrapText="1"/>
    </xf>
    <xf numFmtId="49" fontId="10" fillId="0" borderId="2" xfId="0" applyNumberFormat="1" applyFont="1" applyBorder="1" applyAlignment="1">
      <alignment wrapText="1"/>
    </xf>
    <xf numFmtId="0" fontId="10" fillId="0" borderId="2" xfId="0" applyFont="1" applyBorder="1" applyAlignment="1">
      <alignment vertical="center" wrapText="1"/>
    </xf>
    <xf numFmtId="49" fontId="18" fillId="0" borderId="2" xfId="0" applyNumberFormat="1" applyFont="1" applyBorder="1" applyAlignment="1">
      <alignment horizontal="left" vertical="center"/>
    </xf>
    <xf numFmtId="49" fontId="14" fillId="0" borderId="2" xfId="0" applyNumberFormat="1" applyFont="1" applyBorder="1" applyAlignment="1"/>
    <xf numFmtId="0" fontId="17" fillId="0" borderId="2" xfId="0" applyFont="1" applyBorder="1" applyAlignment="1">
      <alignment vertical="top" wrapText="1"/>
    </xf>
    <xf numFmtId="0" fontId="18" fillId="0" borderId="2" xfId="0" applyFont="1" applyBorder="1"/>
    <xf numFmtId="0" fontId="17" fillId="0" borderId="2" xfId="0" applyFont="1" applyBorder="1" applyAlignment="1">
      <alignment wrapText="1"/>
    </xf>
    <xf numFmtId="0" fontId="10" fillId="0" borderId="6" xfId="0" applyFont="1" applyBorder="1" applyAlignment="1">
      <alignment vertical="top" wrapText="1"/>
    </xf>
    <xf numFmtId="0" fontId="34" fillId="0" borderId="2" xfId="0" applyFont="1" applyBorder="1" applyAlignment="1">
      <alignment vertical="top" wrapText="1"/>
    </xf>
    <xf numFmtId="0" fontId="10" fillId="0" borderId="2" xfId="0" applyFont="1" applyBorder="1" applyAlignment="1"/>
    <xf numFmtId="0" fontId="34" fillId="0" borderId="2" xfId="0" applyFont="1" applyBorder="1" applyAlignment="1">
      <alignment horizontal="left"/>
    </xf>
    <xf numFmtId="0" fontId="34" fillId="0" borderId="2" xfId="0" applyFont="1" applyBorder="1" applyAlignment="1"/>
    <xf numFmtId="0" fontId="35" fillId="0" borderId="0" xfId="0" applyFont="1" applyAlignment="1">
      <alignment horizontal="right" vertical="top" wrapText="1"/>
    </xf>
    <xf numFmtId="0" fontId="36" fillId="0" borderId="0" xfId="0" applyFont="1" applyAlignment="1">
      <alignment vertical="top" wrapText="1"/>
    </xf>
    <xf numFmtId="0" fontId="35" fillId="0" borderId="0" xfId="0" applyFont="1" applyAlignment="1">
      <alignment vertical="top" wrapText="1"/>
    </xf>
    <xf numFmtId="0" fontId="37" fillId="0" borderId="2" xfId="0" applyFont="1" applyBorder="1" applyAlignment="1">
      <alignment vertical="top" wrapText="1"/>
    </xf>
    <xf numFmtId="49" fontId="40" fillId="8" borderId="10" xfId="0" applyNumberFormat="1" applyFont="1" applyFill="1" applyBorder="1" applyAlignment="1">
      <alignment horizontal="center" vertical="center"/>
    </xf>
    <xf numFmtId="0" fontId="40" fillId="8" borderId="10" xfId="0" applyFont="1" applyFill="1" applyBorder="1" applyAlignment="1">
      <alignment horizontal="center" vertical="center"/>
    </xf>
    <xf numFmtId="0" fontId="40" fillId="0" borderId="2" xfId="0" applyFont="1" applyBorder="1" applyAlignment="1">
      <alignment horizontal="left" vertical="center"/>
    </xf>
    <xf numFmtId="49" fontId="40" fillId="4" borderId="2" xfId="0" applyNumberFormat="1" applyFont="1" applyFill="1" applyBorder="1" applyAlignment="1">
      <alignment horizontal="center" vertical="center"/>
    </xf>
    <xf numFmtId="0" fontId="40" fillId="8" borderId="2" xfId="0" applyFont="1" applyFill="1" applyBorder="1" applyAlignment="1">
      <alignment horizontal="center" vertical="center" wrapText="1"/>
    </xf>
    <xf numFmtId="49" fontId="54" fillId="8" borderId="31" xfId="0" applyNumberFormat="1" applyFont="1" applyFill="1" applyBorder="1" applyAlignment="1">
      <alignment horizontal="center"/>
    </xf>
    <xf numFmtId="0" fontId="6" fillId="0" borderId="35" xfId="0" applyFont="1" applyBorder="1"/>
    <xf numFmtId="0" fontId="54" fillId="8" borderId="32" xfId="0" applyFont="1" applyFill="1" applyBorder="1" applyAlignment="1">
      <alignment horizontal="center"/>
    </xf>
    <xf numFmtId="0" fontId="54" fillId="8" borderId="33" xfId="0" applyFont="1" applyFill="1" applyBorder="1" applyAlignment="1">
      <alignment horizontal="center" wrapText="1"/>
    </xf>
    <xf numFmtId="0" fontId="6" fillId="0" borderId="34" xfId="0" applyFont="1" applyBorder="1"/>
    <xf numFmtId="0" fontId="18" fillId="2" borderId="25" xfId="0" applyFont="1" applyFill="1" applyBorder="1" applyAlignment="1">
      <alignment horizontal="right" wrapText="1"/>
    </xf>
    <xf numFmtId="0" fontId="6" fillId="0" borderId="27" xfId="0" applyFont="1" applyBorder="1"/>
    <xf numFmtId="0" fontId="16" fillId="2" borderId="25" xfId="0" applyFont="1" applyFill="1" applyBorder="1" applyAlignment="1">
      <alignment horizontal="right" vertical="center" wrapText="1"/>
    </xf>
    <xf numFmtId="49" fontId="20" fillId="0" borderId="25" xfId="0" applyNumberFormat="1" applyFont="1" applyBorder="1" applyAlignment="1">
      <alignment horizontal="right" wrapText="1"/>
    </xf>
    <xf numFmtId="0" fontId="6" fillId="0" borderId="26" xfId="0" applyFont="1" applyBorder="1"/>
    <xf numFmtId="49" fontId="1" fillId="0" borderId="25" xfId="0" applyNumberFormat="1" applyFont="1" applyBorder="1" applyAlignment="1">
      <alignment horizontal="center" vertical="center"/>
    </xf>
    <xf numFmtId="0" fontId="40" fillId="2" borderId="2" xfId="0" applyFont="1" applyFill="1" applyBorder="1" applyAlignment="1">
      <alignment horizontal="left" vertical="center"/>
    </xf>
  </cellXfs>
  <cellStyles count="1">
    <cellStyle name="Обычный" xfId="0" builtinId="0"/>
  </cellStyles>
  <dxfs count="65">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
      <fill>
        <patternFill patternType="none"/>
      </fil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10"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sharedStrings" Target="sharedStrings.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3" Type="http://schemas.openxmlformats.org/officeDocument/2006/relationships/hyperlink" Target="https://constructor.brusnika.ru/object-module/principled-decisions/project-solution-groups/7f517705-bb45-47d4-af11-7372c2ad3bf4/2855" TargetMode="External"/><Relationship Id="rId18" Type="http://schemas.openxmlformats.org/officeDocument/2006/relationships/hyperlink" Target="https://constructor.brusnika.ru/object-module/principled-decisions/project-solution-groups/2bf34450-10b9-4133-bf4d-d8090c8d7688/477" TargetMode="External"/><Relationship Id="rId26" Type="http://schemas.openxmlformats.org/officeDocument/2006/relationships/hyperlink" Target="https://constructor.brusnika.ru/object-module/principled-decisions/project-solution-groups/fc279583-2c82-4ea3-8309-7bad6a747ef3/2972?version=2" TargetMode="External"/><Relationship Id="rId39" Type="http://schemas.openxmlformats.org/officeDocument/2006/relationships/hyperlink" Target="https://constructor.brusnika.ru/object-module/principled-decisions/project-solution-groups/4be730dd-121f-48f8-ae80-604bc353ca2c/3278?version=1" TargetMode="External"/><Relationship Id="rId21" Type="http://schemas.openxmlformats.org/officeDocument/2006/relationships/hyperlink" Target="https://constructor.brusnika.ru/object-module/principled-decisions/project-solution-groups/7f517705-bb45-47d4-af11-7372c2ad3bf4/3728?version=1" TargetMode="External"/><Relationship Id="rId34" Type="http://schemas.openxmlformats.org/officeDocument/2006/relationships/hyperlink" Target="https://constructor.brusnika.ru/object-module/principled-decisions/project-solution-groups/fc279583-2c82-4ea3-8309-7bad6a747ef3/2813?version=5" TargetMode="External"/><Relationship Id="rId7" Type="http://schemas.openxmlformats.org/officeDocument/2006/relationships/hyperlink" Target="https://constructor.brusnika.ru/object-module/principled-decisions/project-solution-groups/db9729cc-b17c-45ea-b154-1c99896419df/2766" TargetMode="External"/><Relationship Id="rId2" Type="http://schemas.openxmlformats.org/officeDocument/2006/relationships/hyperlink" Target="https://constructor.brusnika.ru/object-module/principled-decisions/project-solution-groups/8eb5616b-8434-4bb0-9165-c23c33d11a68/3618?version=2" TargetMode="External"/><Relationship Id="rId16" Type="http://schemas.openxmlformats.org/officeDocument/2006/relationships/hyperlink" Target="https://constructor.brusnika.ru/object-module/principled-decisions/project-solution-groups/2bf34450-10b9-4133-bf4d-d8090c8d7688/477" TargetMode="External"/><Relationship Id="rId20" Type="http://schemas.openxmlformats.org/officeDocument/2006/relationships/hyperlink" Target="https://constructor.brusnika.ru/object-module/principled-decisions/project-solution-groups/899dda0b-cd61-48f1-aeb3-1b2d1b9838cd/2829" TargetMode="External"/><Relationship Id="rId29" Type="http://schemas.openxmlformats.org/officeDocument/2006/relationships/hyperlink" Target="https://constructor.brusnika.ru/object-module/principled-decisions/project-solution-groups/333bf17d-7204-480f-9d11-b0179e279d2b/369" TargetMode="External"/><Relationship Id="rId41" Type="http://schemas.openxmlformats.org/officeDocument/2006/relationships/hyperlink" Target="https://constructor.brusnika.ru/object-module/principled-decisions/project-solution-groups/41ea100d-762c-4df7-91e1-b405a7f6ba24/2613?version=2" TargetMode="External"/><Relationship Id="rId1" Type="http://schemas.openxmlformats.org/officeDocument/2006/relationships/hyperlink" Target="https://constructor.brusnika.ru/object-module/principled-decisions/project-solution-groups/97d8c11b-01a0-4633-8301-991fd69cf2fa/3614?version=4" TargetMode="External"/><Relationship Id="rId6" Type="http://schemas.openxmlformats.org/officeDocument/2006/relationships/hyperlink" Target="https://constructor.brusnika.ru/object-module/principled-decisions/project-solution-groups/e744792a-aa43-4fa0-aced-b3bb0f4faadb/2601" TargetMode="External"/><Relationship Id="rId11" Type="http://schemas.openxmlformats.org/officeDocument/2006/relationships/hyperlink" Target="https://constructor.brusnika.ru/object-module/principled-decisions/project-solution-groups/01c5c480-02f0-4f83-86a8-60bf7f513bae/2599" TargetMode="External"/><Relationship Id="rId24" Type="http://schemas.openxmlformats.org/officeDocument/2006/relationships/hyperlink" Target="https://constructor.brusnika.ru/object-module/principled-decisions/project-solution-groups/90dd175d-a00d-4752-9f82-8544aa8c3cdd/2895?version=1" TargetMode="External"/><Relationship Id="rId32" Type="http://schemas.openxmlformats.org/officeDocument/2006/relationships/hyperlink" Target="https://constructor.brusnika.ru/object-module/principled-decisions/project-solution-groups/bf3ca84e-e84b-4b98-add4-6b54864b9726/3137" TargetMode="External"/><Relationship Id="rId37" Type="http://schemas.openxmlformats.org/officeDocument/2006/relationships/hyperlink" Target="https://constructor.brusnika.ru/object-module/principled-decisions/project-solution-groups/fc279583-2c82-4ea3-8309-7bad6a747ef3/2836" TargetMode="External"/><Relationship Id="rId40" Type="http://schemas.openxmlformats.org/officeDocument/2006/relationships/hyperlink" Target="https://constructor.brusnika.ru/object-module/principled-decisions/project-solution-groups/d30645b8-2ef2-4e34-876f-6d3ce77dbd14/3282?version=1" TargetMode="External"/><Relationship Id="rId5" Type="http://schemas.openxmlformats.org/officeDocument/2006/relationships/hyperlink" Target="https://constructor.brusnika.ru/object-module/principled-decisions/project-solution-groups/5ea6013a-4aa7-440d-9438-f18e91c5d043/2534?version=3" TargetMode="External"/><Relationship Id="rId15" Type="http://schemas.openxmlformats.org/officeDocument/2006/relationships/hyperlink" Target="https://constructor.brusnika.ru/object-module/principled-decisions/project-solution-groups/f10aa53f-00a7-4782-99ce-e0f08a9407cf/2798?version=2" TargetMode="External"/><Relationship Id="rId23" Type="http://schemas.openxmlformats.org/officeDocument/2006/relationships/hyperlink" Target="https://constructor.brusnika.ru/object-module/principled-decisions/project-solution-groups/7f517705-bb45-47d4-af11-7372c2ad3bf4/2851" TargetMode="External"/><Relationship Id="rId28" Type="http://schemas.openxmlformats.org/officeDocument/2006/relationships/hyperlink" Target="https://constructor.brusnika.ru/object-module/principled-decisions/project-solution-groups/1cbc9afd-d1fe-4ee0-8308-fbe747479cee/2578" TargetMode="External"/><Relationship Id="rId36" Type="http://schemas.openxmlformats.org/officeDocument/2006/relationships/hyperlink" Target="https://constructor.brusnika.ru/object-module/principled-decisions/project-solution-groups/93a41d46-ace2-4672-8b93-425f394169dd/3106" TargetMode="External"/><Relationship Id="rId10" Type="http://schemas.openxmlformats.org/officeDocument/2006/relationships/hyperlink" Target="https://constructor.brusnika.ru/object-module/principled-decisions/project-solution-groups/01c5c480-02f0-4f83-86a8-60bf7f513bae/2599" TargetMode="External"/><Relationship Id="rId19" Type="http://schemas.openxmlformats.org/officeDocument/2006/relationships/hyperlink" Target="https://constructor.brusnika.ru/object-module/principled-decisions/project-solution-groups/2bf34450-10b9-4133-bf4d-d8090c8d7688/477" TargetMode="External"/><Relationship Id="rId31" Type="http://schemas.openxmlformats.org/officeDocument/2006/relationships/hyperlink" Target="https://constructor.brusnika.ru/object-module/principled-decisions/project-solution-groups/bf3ca84e-e84b-4b98-add4-6b54864b9726/3137" TargetMode="External"/><Relationship Id="rId4" Type="http://schemas.openxmlformats.org/officeDocument/2006/relationships/hyperlink" Target="https://constructor.brusnika.ru/object-module/principled-decisions/project-solution-groups/2bf34450-10b9-4133-bf4d-d8090c8d7688/477?version=2" TargetMode="External"/><Relationship Id="rId9" Type="http://schemas.openxmlformats.org/officeDocument/2006/relationships/hyperlink" Target="https://constructor.brusnika.ru/object-module/principled-decisions/project-solution-groups/7f517705-bb45-47d4-af11-7372c2ad3bf4/2855?version=2" TargetMode="External"/><Relationship Id="rId14" Type="http://schemas.openxmlformats.org/officeDocument/2006/relationships/hyperlink" Target="https://constructor.brusnika.ru/object-module/principled-decisions/project-solution-groups/7f517705-bb45-47d4-af11-7372c2ad3bf4/2855" TargetMode="External"/><Relationship Id="rId22" Type="http://schemas.openxmlformats.org/officeDocument/2006/relationships/hyperlink" Target="https://constructor.brusnika.ru/object-module/principled-decisions/project-solution-groups/7f517705-bb45-47d4-af11-7372c2ad3bf4/2851" TargetMode="External"/><Relationship Id="rId27" Type="http://schemas.openxmlformats.org/officeDocument/2006/relationships/hyperlink" Target="https://constructor.brusnika.ru/object-module/principled-decisions/project-solution-groups/fc279583-2c82-4ea3-8309-7bad6a747ef3/2813?version=5" TargetMode="External"/><Relationship Id="rId30" Type="http://schemas.openxmlformats.org/officeDocument/2006/relationships/hyperlink" Target="https://constructor.brusnika.ru/object-module/principled-decisions/project-solution-groups/bf3ca84e-e84b-4b98-add4-6b54864b9726/3137" TargetMode="External"/><Relationship Id="rId35" Type="http://schemas.openxmlformats.org/officeDocument/2006/relationships/hyperlink" Target="https://constructor.brusnika.ru/object-module/principled-decisions/project-solution-groups/fc279583-2c82-4ea3-8309-7bad6a747ef3/2836" TargetMode="External"/><Relationship Id="rId8" Type="http://schemas.openxmlformats.org/officeDocument/2006/relationships/hyperlink" Target="https://constructor.brusnika.ru/object-module/principled-decisions/project-solution-groups/2c3ea2db-bc3c-433c-b0f0-a5dfa58d9cf1/2772" TargetMode="External"/><Relationship Id="rId3" Type="http://schemas.openxmlformats.org/officeDocument/2006/relationships/hyperlink" Target="https://constructor.brusnika.ru/object-module/principled-decisions/project-solution-groups/e744792a-aa43-4fa0-aced-b3bb0f4faadb/2601?version=5" TargetMode="External"/><Relationship Id="rId12" Type="http://schemas.openxmlformats.org/officeDocument/2006/relationships/hyperlink" Target="https://constructor.brusnika.ru/object-module/principled-decisions/project-solution-groups/7f517705-bb45-47d4-af11-7372c2ad3bf4/2854?version=2" TargetMode="External"/><Relationship Id="rId17" Type="http://schemas.openxmlformats.org/officeDocument/2006/relationships/hyperlink" Target="https://constructor.brusnika.ru/object-module/principled-decisions/project-solution-groups/2bf34450-10b9-4133-bf4d-d8090c8d7688/477" TargetMode="External"/><Relationship Id="rId25" Type="http://schemas.openxmlformats.org/officeDocument/2006/relationships/hyperlink" Target="https://constructor.brusnika.ru/object-module/principled-decisions/project-solution-groups/2c6c91ef-0f44-4f17-b48d-ce95dfb03120/2608?version=1" TargetMode="External"/><Relationship Id="rId33" Type="http://schemas.openxmlformats.org/officeDocument/2006/relationships/hyperlink" Target="https://constructor.brusnika.ru/object-module/principled-decisions/project-solution-groups/01c5c480-02f0-4f83-86a8-60bf7f513bae/2599?version=2" TargetMode="External"/><Relationship Id="rId38" Type="http://schemas.openxmlformats.org/officeDocument/2006/relationships/hyperlink" Target="https://constructor.brusnika.ru/object-module/principled-decisions/project-solution-groups/25209226-5161-4837-b02e-47c189b1c81b/3273?version=3" TargetMode="External"/></Relationships>
</file>

<file path=xl/worksheets/_rels/sheet3.xml.rels><?xml version="1.0" encoding="UTF-8" standalone="yes"?>
<Relationships xmlns="http://schemas.openxmlformats.org/package/2006/relationships"><Relationship Id="rId117" Type="http://schemas.openxmlformats.org/officeDocument/2006/relationships/hyperlink" Target="https://constructor.brusnika.ru/object-module/construction-structures/project-solution-groups/35fefcbd-8d39-4930-b7f1-f31910b06da1/1104?version=1" TargetMode="External"/><Relationship Id="rId21" Type="http://schemas.openxmlformats.org/officeDocument/2006/relationships/hyperlink" Target="https://constructor.brusnika.ru/object-module/principled-decisions/project-solution-groups/bcb43ca7-d18a-4c45-828a-c62c951b90dd/391?version=19" TargetMode="External"/><Relationship Id="rId42" Type="http://schemas.openxmlformats.org/officeDocument/2006/relationships/hyperlink" Target="https://constructor.brusnika.ru/object-module/construction-structures/project-solution-groups/3753653b-6fc7-4d0f-8017-79d61e5cc684/474?version=4" TargetMode="External"/><Relationship Id="rId63" Type="http://schemas.openxmlformats.org/officeDocument/2006/relationships/hyperlink" Target="https://constructor.brusnika.ru/object-module/construction-structures/project-solution-groups/2838c65e-2b8e-4e35-aeca-0680f2be768c/174?version=4" TargetMode="External"/><Relationship Id="rId84" Type="http://schemas.openxmlformats.org/officeDocument/2006/relationships/hyperlink" Target="https://constructor.brusnika.ru/object-module/construction-structures/project-solution-groups/591d321d-6cef-4439-b955-c83dd0cd86b8/758?version=6" TargetMode="External"/><Relationship Id="rId138" Type="http://schemas.openxmlformats.org/officeDocument/2006/relationships/hyperlink" Target="https://constructor.brusnika.ru/object-module/construction-structures/project-solution-groups/26e3f7e3-f412-4a69-a3fc-1d0399fb3546/63?version=4" TargetMode="External"/><Relationship Id="rId107" Type="http://schemas.openxmlformats.org/officeDocument/2006/relationships/hyperlink" Target="https://constructor.brusnika.ru/object-module/construction-structures/project-solution-groups/591d321d-6cef-4439-b955-c83dd0cd86b8/758?version=6" TargetMode="External"/><Relationship Id="rId11" Type="http://schemas.openxmlformats.org/officeDocument/2006/relationships/hyperlink" Target="https://constructor.brusnika.ru/object-module/principled-decisions/project-solution-groups/f472917e-e70f-4437-950c-6f19a182e9d0/488?version=1" TargetMode="External"/><Relationship Id="rId32" Type="http://schemas.openxmlformats.org/officeDocument/2006/relationships/hyperlink" Target="https://constructor.brusnika.ru/object-module/principled-decisions/project-solution-groups/bcb43ca7-d18a-4c45-828a-c62c951b90dd/429?version=1" TargetMode="External"/><Relationship Id="rId53" Type="http://schemas.openxmlformats.org/officeDocument/2006/relationships/hyperlink" Target="https://constructor.brusnika.ru/object-module/construction-structures/project-solution-groups/3c78aec9-6d5f-411d-89fa-0ae65352db01/623?version=2" TargetMode="External"/><Relationship Id="rId74" Type="http://schemas.openxmlformats.org/officeDocument/2006/relationships/hyperlink" Target="https://constructor.brusnika.ru/object-module/construction-structures/project-solution-groups/35fefcbd-8d39-4930-b7f1-f31910b06da1/1104?version=1" TargetMode="External"/><Relationship Id="rId128" Type="http://schemas.openxmlformats.org/officeDocument/2006/relationships/hyperlink" Target="https://constructor.brusnika.ru/object-module/construction-structures/project-solution-groups/591d321d-6cef-4439-b955-c83dd0cd86b8/1017?version=2" TargetMode="External"/><Relationship Id="rId149" Type="http://schemas.openxmlformats.org/officeDocument/2006/relationships/hyperlink" Target="https://constructor.brusnika.ru/object-module/principled-decisions/project-solution-groups/f90847ab-f2de-421e-b9f0-9f69f6c6c562/466?version=1" TargetMode="External"/><Relationship Id="rId5" Type="http://schemas.openxmlformats.org/officeDocument/2006/relationships/hyperlink" Target="https://constructor.brusnika.ru/object-module/principled-decisions/project-solution-groups/f472917e-e70f-4437-950c-6f19a182e9d0/483?version=2" TargetMode="External"/><Relationship Id="rId95" Type="http://schemas.openxmlformats.org/officeDocument/2006/relationships/hyperlink" Target="https://constructor.brusnika.ru/object-module/construction-structures/project-solution-groups/35fefcbd-8d39-4930-b7f1-f31910b06da1/1104?version=1" TargetMode="External"/><Relationship Id="rId22" Type="http://schemas.openxmlformats.org/officeDocument/2006/relationships/hyperlink" Target="https://constructor.brusnika.ru/object-module/construction-structures/project-solution-groups/67b34b45-d8d4-4ee5-b8f4-53a2a3a2ad75/903?version=4" TargetMode="External"/><Relationship Id="rId43" Type="http://schemas.openxmlformats.org/officeDocument/2006/relationships/hyperlink" Target="https://constructor.brusnika.ru/object-module/principled-decisions/project-solution-groups/6af722ac-b8d9-4c24-ac2c-ba2f5a3f5c79/477?version=2" TargetMode="External"/><Relationship Id="rId64" Type="http://schemas.openxmlformats.org/officeDocument/2006/relationships/hyperlink" Target="https://constructor.brusnika.ru/object-module/construction-structures/project-solution-groups/f8850f64-db9d-47b1-9c7b-5b7c621126a7/1102?version=1" TargetMode="External"/><Relationship Id="rId118" Type="http://schemas.openxmlformats.org/officeDocument/2006/relationships/hyperlink" Target="https://constructor.brusnika.ru/object-module/construction-structures/project-solution-groups/35fefcbd-8d39-4930-b7f1-f31910b06da1/1104?version=1" TargetMode="External"/><Relationship Id="rId139" Type="http://schemas.openxmlformats.org/officeDocument/2006/relationships/hyperlink" Target="https://constructor.brusnika.ru/object-module/construction-structures/project-solution-groups/26e3f7e3-f412-4a69-a3fc-1d0399fb3546/63?version=4" TargetMode="External"/><Relationship Id="rId80" Type="http://schemas.openxmlformats.org/officeDocument/2006/relationships/hyperlink" Target="https://constructor.brusnika.ru/object-module/construction-structures/project-solution-groups/74d3c9de-270f-4ccd-86a8-bba151b2a635/1103?version=1" TargetMode="External"/><Relationship Id="rId85" Type="http://schemas.openxmlformats.org/officeDocument/2006/relationships/hyperlink" Target="https://constructor.brusnika.ru/object-module/construction-structures/project-solution-groups/b89b4b81-3186-46b9-9fd9-f0031d8a98d4/217" TargetMode="External"/><Relationship Id="rId150" Type="http://schemas.openxmlformats.org/officeDocument/2006/relationships/hyperlink" Target="https://constructor.brusnika.ru/object-module/principled-decisions/project-solution-groups/f90847ab-f2de-421e-b9f0-9f69f6c6c562/467?version=1" TargetMode="External"/><Relationship Id="rId155" Type="http://schemas.openxmlformats.org/officeDocument/2006/relationships/hyperlink" Target="https://constructor.brusnika.ru/object-module/principled-decisions/project-solution-groups/6f994cbc-7676-414a-8d76-5362a64a2332/465?version=1" TargetMode="External"/><Relationship Id="rId12" Type="http://schemas.openxmlformats.org/officeDocument/2006/relationships/hyperlink" Target="https://constructor.brusnika.ru/object-module/principled-decisions/project-solution-groups/f472917e-e70f-4437-950c-6f19a182e9d0/490?version=1" TargetMode="External"/><Relationship Id="rId17" Type="http://schemas.openxmlformats.org/officeDocument/2006/relationships/hyperlink" Target="https://constructor.brusnika.ru/object-module/principled-decisions/project-solution-groups/bcb43ca7-d18a-4c45-828a-c62c951b90dd/369?version=2" TargetMode="External"/><Relationship Id="rId33" Type="http://schemas.openxmlformats.org/officeDocument/2006/relationships/hyperlink" Target="https://constructor.brusnika.ru/object-module/principled-decisions/project-solution-groups/bcb43ca7-d18a-4c45-828a-c62c951b90dd/430?version=2" TargetMode="External"/><Relationship Id="rId38" Type="http://schemas.openxmlformats.org/officeDocument/2006/relationships/hyperlink" Target="https://constructor.brusnika.ru/object-module/construction-structures/project-solution-groups/42bff97a-2102-4c35-a1a0-542b4e177d14/1146?version=1" TargetMode="External"/><Relationship Id="rId59" Type="http://schemas.openxmlformats.org/officeDocument/2006/relationships/hyperlink" Target="https://constructor.brusnika.ru/object-module/construction-structures/project-solution-groups/eeeea7eb-a9c1-42ad-9f79-b3038711be61/116?version=1" TargetMode="External"/><Relationship Id="rId103" Type="http://schemas.openxmlformats.org/officeDocument/2006/relationships/hyperlink" Target="https://constructor.brusnika.ru/object-module/construction-structures/project-solution-groups/74d3c9de-270f-4ccd-86a8-bba151b2a635/1103?version=1" TargetMode="External"/><Relationship Id="rId108" Type="http://schemas.openxmlformats.org/officeDocument/2006/relationships/hyperlink" Target="https://constructor.brusnika.ru/object-module/construction-structures/project-solution-groups/b89b4b81-3186-46b9-9fd9-f0031d8a98d4/217" TargetMode="External"/><Relationship Id="rId124" Type="http://schemas.openxmlformats.org/officeDocument/2006/relationships/hyperlink" Target="https://constructor.brusnika.ru/object-module/construction-structures/project-solution-groups/74d3c9de-270f-4ccd-86a8-bba151b2a635/1103?version=1" TargetMode="External"/><Relationship Id="rId129" Type="http://schemas.openxmlformats.org/officeDocument/2006/relationships/hyperlink" Target="https://constructor.brusnika.ru/object-module/construction-structures/project-solution-groups/b89b4b81-3186-46b9-9fd9-f0031d8a98d4/217" TargetMode="External"/><Relationship Id="rId54" Type="http://schemas.openxmlformats.org/officeDocument/2006/relationships/hyperlink" Target="https://constructor.brusnika.ru/object-module/construction-structures/project-solution-groups/3c78aec9-6d5f-411d-89fa-0ae65352db01/624?version=3" TargetMode="External"/><Relationship Id="rId70" Type="http://schemas.openxmlformats.org/officeDocument/2006/relationships/hyperlink" Target="https://constructor.brusnika.ru/object-module/construction-structures/project-solution-groups/35fefcbd-8d39-4930-b7f1-f31910b06da1/1104?version=1" TargetMode="External"/><Relationship Id="rId75" Type="http://schemas.openxmlformats.org/officeDocument/2006/relationships/hyperlink" Target="https://constructor.brusnika.ru/object-module/construction-structures/project-solution-groups/7b9674d8-20d5-431b-98af-db4fa0736191/1105?version=1" TargetMode="External"/><Relationship Id="rId91" Type="http://schemas.openxmlformats.org/officeDocument/2006/relationships/hyperlink" Target="https://constructor.brusnika.ru/object-module/construction-structures/project-solution-groups/4e22e041-0df2-47d0-a7f1-1fbe007e89e5/909?version=2" TargetMode="External"/><Relationship Id="rId96" Type="http://schemas.openxmlformats.org/officeDocument/2006/relationships/hyperlink" Target="https://constructor.brusnika.ru/object-module/construction-structures/project-solution-groups/35fefcbd-8d39-4930-b7f1-f31910b06da1/1104?version=1" TargetMode="External"/><Relationship Id="rId140" Type="http://schemas.openxmlformats.org/officeDocument/2006/relationships/hyperlink" Target="https://constructor.brusnika.ru/object-module/principled-decisions/project-solution-groups/bcb43ca7-d18a-4c45-828a-c62c951b90dd/432?version=1" TargetMode="External"/><Relationship Id="rId145" Type="http://schemas.openxmlformats.org/officeDocument/2006/relationships/hyperlink" Target="https://constructor.brusnika.ru/object-module/principled-decisions/project-solution-groups/f90847ab-f2de-421e-b9f0-9f69f6c6c562/456?version=1" TargetMode="External"/><Relationship Id="rId1" Type="http://schemas.openxmlformats.org/officeDocument/2006/relationships/hyperlink" Target="https://constructor.brusnika.ru/object-module/principled-decisions/project-solution-groups/bcb43ca7-d18a-4c45-828a-c62c951b90dd/411?version=2" TargetMode="External"/><Relationship Id="rId6" Type="http://schemas.openxmlformats.org/officeDocument/2006/relationships/hyperlink" Target="https://constructor.brusnika.ru/object-module/principled-decisions/project-solution-groups/f472917e-e70f-4437-950c-6f19a182e9d0/489?version=1" TargetMode="External"/><Relationship Id="rId23" Type="http://schemas.openxmlformats.org/officeDocument/2006/relationships/hyperlink" Target="https://constructor.brusnika.ru/object-module/principled-decisions/project-solution-groups/bcb43ca7-d18a-4c45-828a-c62c951b90dd/415?version=1" TargetMode="External"/><Relationship Id="rId28" Type="http://schemas.openxmlformats.org/officeDocument/2006/relationships/hyperlink" Target="https://constructor.brusnika.ru/object-module/principled-decisions/project-solution-groups/bcb43ca7-d18a-4c45-828a-c62c951b90dd/425?version=12" TargetMode="External"/><Relationship Id="rId49" Type="http://schemas.openxmlformats.org/officeDocument/2006/relationships/hyperlink" Target="https://constructor.brusnika.ru/object-module/principled-decisions/project-solution-groups/10518926-b0d4-43e0-b52e-ac62a0ce727d/171" TargetMode="External"/><Relationship Id="rId114" Type="http://schemas.openxmlformats.org/officeDocument/2006/relationships/hyperlink" Target="https://constructor.brusnika.ru/object-module/construction-structures/project-solution-groups/a19a477d-48e3-4078-8770-479c2c1699cc/1035?version=1" TargetMode="External"/><Relationship Id="rId119" Type="http://schemas.openxmlformats.org/officeDocument/2006/relationships/hyperlink" Target="https://constructor.brusnika.ru/object-module/construction-structures/project-solution-groups/35fefcbd-8d39-4930-b7f1-f31910b06da1/1104?version=1" TargetMode="External"/><Relationship Id="rId44" Type="http://schemas.openxmlformats.org/officeDocument/2006/relationships/hyperlink" Target="https://constructor.brusnika.ru/object-module/construction-structures/project-solution-groups/752a433f-afbf-469e-898b-1d3da7d40ef1/863?version=1" TargetMode="External"/><Relationship Id="rId60" Type="http://schemas.openxmlformats.org/officeDocument/2006/relationships/hyperlink" Target="https://constructor.brusnika.ru/object-module/principled-decisions/project-solution-groups/380a4671-c818-4a39-adf5-62bbcc4ca284/440?version=1" TargetMode="External"/><Relationship Id="rId65" Type="http://schemas.openxmlformats.org/officeDocument/2006/relationships/hyperlink" Target="https://constructor.brusnika.ru/object-module/construction-structures/project-solution-groups/4e22e041-0df2-47d0-a7f1-1fbe007e89e5/904?version=3" TargetMode="External"/><Relationship Id="rId81" Type="http://schemas.openxmlformats.org/officeDocument/2006/relationships/hyperlink" Target="https://constructor.brusnika.ru/object-module/construction-structures/project-solution-groups/591d321d-6cef-4439-b955-c83dd0cd86b8/571?version=5" TargetMode="External"/><Relationship Id="rId86" Type="http://schemas.openxmlformats.org/officeDocument/2006/relationships/hyperlink" Target="https://constructor.brusnika.ru/object-module/construction-structures/project-solution-groups/c4be2051-5353-45ca-916b-25632d62ded1/1050?version=1" TargetMode="External"/><Relationship Id="rId130" Type="http://schemas.openxmlformats.org/officeDocument/2006/relationships/hyperlink" Target="https://constructor.brusnika.ru/object-module/construction-structures/project-solution-groups/c4be2051-5353-45ca-916b-25632d62ded1/1050?version=1" TargetMode="External"/><Relationship Id="rId135" Type="http://schemas.openxmlformats.org/officeDocument/2006/relationships/hyperlink" Target="https://constructor.brusnika.ru/object-module/construction-structures/project-solution-groups/35fefcbd-8d39-4930-b7f1-f31910b06da1/574?version=2" TargetMode="External"/><Relationship Id="rId151" Type="http://schemas.openxmlformats.org/officeDocument/2006/relationships/hyperlink" Target="https://constructor.brusnika.ru/object-module/principled-decisions/project-solution-groups/f90847ab-f2de-421e-b9f0-9f69f6c6c562/468?version=1" TargetMode="External"/><Relationship Id="rId156" Type="http://schemas.openxmlformats.org/officeDocument/2006/relationships/hyperlink" Target="https://constructor.brusnika.ru/object-module/principled-decisions/project-solution-groups/7904c8fa-fcfb-4814-8dc7-503f848c3b4a/357?version=2" TargetMode="External"/><Relationship Id="rId13" Type="http://schemas.openxmlformats.org/officeDocument/2006/relationships/hyperlink" Target="https://constructor.brusnika.ru/object-module/principled-decisions/project-solution-groups/f472917e-e70f-4437-950c-6f19a182e9d0/491?version=1" TargetMode="External"/><Relationship Id="rId18" Type="http://schemas.openxmlformats.org/officeDocument/2006/relationships/hyperlink" Target="https://constructor.brusnika.ru/object-module/principled-decisions/project-solution-groups/bcb43ca7-d18a-4c45-828a-c62c951b90dd/408?version=2" TargetMode="External"/><Relationship Id="rId39" Type="http://schemas.openxmlformats.org/officeDocument/2006/relationships/hyperlink" Target="https://constructor.brusnika.ru/object-module/principled-decisions/project-solution-groups/bcb43ca7-d18a-4c45-828a-c62c951b90dd/288?version=1" TargetMode="External"/><Relationship Id="rId109" Type="http://schemas.openxmlformats.org/officeDocument/2006/relationships/hyperlink" Target="https://constructor.brusnika.ru/object-module/construction-structures/project-solution-groups/c4be2051-5353-45ca-916b-25632d62ded1/1050?version=1" TargetMode="External"/><Relationship Id="rId34" Type="http://schemas.openxmlformats.org/officeDocument/2006/relationships/hyperlink" Target="https://constructor.brusnika.ru/object-module/principled-decisions/project-solution-groups/333bf17d-7204-480f-9d11-b0179e279d2b/481?version=1" TargetMode="External"/><Relationship Id="rId50" Type="http://schemas.openxmlformats.org/officeDocument/2006/relationships/hyperlink" Target="https://constructor.brusnika.ru/object-module/principled-decisions/project-solution-groups/10518926-b0d4-43e0-b52e-ac62a0ce727d/174" TargetMode="External"/><Relationship Id="rId55" Type="http://schemas.openxmlformats.org/officeDocument/2006/relationships/hyperlink" Target="https://constructor.brusnika.ru/object-module/construction-structures/project-solution-groups/22141d31-0ed5-450d-87ba-2c9ae751f8c9/118?version=1" TargetMode="External"/><Relationship Id="rId76" Type="http://schemas.openxmlformats.org/officeDocument/2006/relationships/hyperlink" Target="https://constructor.brusnika.ru/object-module/construction-structures/project-solution-groups/0ad53bf3-2abf-4af3-9bab-4eb78ff9e06b/1106?version=1" TargetMode="External"/><Relationship Id="rId97" Type="http://schemas.openxmlformats.org/officeDocument/2006/relationships/hyperlink" Target="https://constructor.brusnika.ru/object-module/construction-structures/project-solution-groups/35fefcbd-8d39-4930-b7f1-f31910b06da1/1104?version=1" TargetMode="External"/><Relationship Id="rId104" Type="http://schemas.openxmlformats.org/officeDocument/2006/relationships/hyperlink" Target="https://constructor.brusnika.ru/object-module/construction-structures/project-solution-groups/74d3c9de-270f-4ccd-86a8-bba151b2a635/1103?version=1" TargetMode="External"/><Relationship Id="rId120" Type="http://schemas.openxmlformats.org/officeDocument/2006/relationships/hyperlink" Target="https://constructor.brusnika.ru/object-module/construction-structures/project-solution-groups/35fefcbd-8d39-4930-b7f1-f31910b06da1/1104?version=1" TargetMode="External"/><Relationship Id="rId125" Type="http://schemas.openxmlformats.org/officeDocument/2006/relationships/hyperlink" Target="https://constructor.brusnika.ru/object-module/construction-structures/project-solution-groups/74d3c9de-270f-4ccd-86a8-bba151b2a635/1103?version=1" TargetMode="External"/><Relationship Id="rId141" Type="http://schemas.openxmlformats.org/officeDocument/2006/relationships/hyperlink" Target="https://constructor.brusnika.ru/object-module/construction-nodes/project-documentations/unknown/21?version=12" TargetMode="External"/><Relationship Id="rId146" Type="http://schemas.openxmlformats.org/officeDocument/2006/relationships/hyperlink" Target="https://constructor.brusnika.ru/object-module/principled-decisions/project-solution-groups/f90847ab-f2de-421e-b9f0-9f69f6c6c562/458?version=1" TargetMode="External"/><Relationship Id="rId7" Type="http://schemas.openxmlformats.org/officeDocument/2006/relationships/hyperlink" Target="https://constructor.brusnika.ru/object-module/principled-decisions/project-solution-groups/f472917e-e70f-4437-950c-6f19a182e9d0/484?version=1" TargetMode="External"/><Relationship Id="rId71" Type="http://schemas.openxmlformats.org/officeDocument/2006/relationships/hyperlink" Target="https://constructor.brusnika.ru/object-module/construction-structures/project-solution-groups/35fefcbd-8d39-4930-b7f1-f31910b06da1/1104?version=1" TargetMode="External"/><Relationship Id="rId92" Type="http://schemas.openxmlformats.org/officeDocument/2006/relationships/hyperlink" Target="https://constructor.brusnika.ru/object-module/construction-structures/project-solution-groups/a19a477d-48e3-4078-8770-479c2c1699cc/1035?version=1" TargetMode="External"/><Relationship Id="rId2" Type="http://schemas.openxmlformats.org/officeDocument/2006/relationships/hyperlink" Target="https://constructor.brusnika.ru/object-module/principled-decisions/project-solution-groups/4c776d6b-3234-40f4-a6d2-72ae0ec5d2c6/470?version=1" TargetMode="External"/><Relationship Id="rId29" Type="http://schemas.openxmlformats.org/officeDocument/2006/relationships/hyperlink" Target="https://constructor.brusnika.ru/object-module/principled-decisions/project-solution-groups/bcb43ca7-d18a-4c45-828a-c62c951b90dd/426?version=4" TargetMode="External"/><Relationship Id="rId24" Type="http://schemas.openxmlformats.org/officeDocument/2006/relationships/hyperlink" Target="https://constructor.brusnika.ru/object-module/principled-decisions/project-solution-groups/bcb43ca7-d18a-4c45-828a-c62c951b90dd/431?version=1" TargetMode="External"/><Relationship Id="rId40" Type="http://schemas.openxmlformats.org/officeDocument/2006/relationships/hyperlink" Target="https://constructor.brusnika.ru/object-module/principled-decisions/project-solution-groups/6af722ac-b8d9-4c24-ac2c-ba2f5a3f5c79/477?version=2" TargetMode="External"/><Relationship Id="rId45" Type="http://schemas.openxmlformats.org/officeDocument/2006/relationships/hyperlink" Target="https://constructor.brusnika.ru/object-module/construction-structures/project-solution-groups/3753653b-6fc7-4d0f-8017-79d61e5cc684/474?version=4" TargetMode="External"/><Relationship Id="rId66" Type="http://schemas.openxmlformats.org/officeDocument/2006/relationships/hyperlink" Target="https://constructor.brusnika.ru/object-module/construction-structures/project-solution-groups/4e22e041-0df2-47d0-a7f1-1fbe007e89e5/905?version=2" TargetMode="External"/><Relationship Id="rId87" Type="http://schemas.openxmlformats.org/officeDocument/2006/relationships/hyperlink" Target="https://constructor.brusnika.ru/object-module/principled-decisions/project-solution-groups/bcb43ca7-d18a-4c45-828a-c62c951b90dd/461?version=2" TargetMode="External"/><Relationship Id="rId110" Type="http://schemas.openxmlformats.org/officeDocument/2006/relationships/hyperlink" Target="https://constructor.brusnika.ru/object-module/principled-decisions/project-solution-groups/bcb43ca7-d18a-4c45-828a-c62c951b90dd/461?version=2" TargetMode="External"/><Relationship Id="rId115" Type="http://schemas.openxmlformats.org/officeDocument/2006/relationships/hyperlink" Target="https://constructor.brusnika.ru/object-module/construction-structures/project-solution-groups/3917d088-3438-498e-99f3-6736dd70440e/179?version=6" TargetMode="External"/><Relationship Id="rId131" Type="http://schemas.openxmlformats.org/officeDocument/2006/relationships/hyperlink" Target="https://constructor.brusnika.ru/object-module/principled-decisions/project-solution-groups/bcb43ca7-d18a-4c45-828a-c62c951b90dd/461?version=2" TargetMode="External"/><Relationship Id="rId136" Type="http://schemas.openxmlformats.org/officeDocument/2006/relationships/hyperlink" Target="https://constructor.brusnika.ru/object-module/construction-structures/project-solution-groups/26e3f7e3-f412-4a69-a3fc-1d0399fb3546/63?version=4" TargetMode="External"/><Relationship Id="rId157" Type="http://schemas.openxmlformats.org/officeDocument/2006/relationships/hyperlink" Target="https://constructor.brusnika.ru/object-module/principled-decisions/project-solution-groups/7a5d3a94-5c3f-42b4-b2a6-2fc5f5241641/358?version=2" TargetMode="External"/><Relationship Id="rId61" Type="http://schemas.openxmlformats.org/officeDocument/2006/relationships/hyperlink" Target="https://constructor.brusnika.ru/object-module/principled-decisions/project-solution-groups/1fafc35f-de80-4a3c-abf1-231d695a8701/472?version=1" TargetMode="External"/><Relationship Id="rId82" Type="http://schemas.openxmlformats.org/officeDocument/2006/relationships/hyperlink" Target="https://constructor.brusnika.ru/object-module/construction-structures/project-solution-groups/591d321d-6cef-4439-b955-c83dd0cd86b8/757?version=8" TargetMode="External"/><Relationship Id="rId152" Type="http://schemas.openxmlformats.org/officeDocument/2006/relationships/hyperlink" Target="https://constructor.brusnika.ru/object-module/principled-decisions/project-solution-groups/a741e775-e380-485c-8a01-22ac21c634e6/407?version=2" TargetMode="External"/><Relationship Id="rId19" Type="http://schemas.openxmlformats.org/officeDocument/2006/relationships/hyperlink" Target="https://constructor.brusnika.ru/object-module/principled-decisions/project-solution-groups/bcb43ca7-d18a-4c45-828a-c62c951b90dd/409?version=2" TargetMode="External"/><Relationship Id="rId14" Type="http://schemas.openxmlformats.org/officeDocument/2006/relationships/hyperlink" Target="https://constructor.brusnika.ru/object-module/principled-decisions/project-solution-groups/f472917e-e70f-4437-950c-6f19a182e9d0/492?version=1" TargetMode="External"/><Relationship Id="rId30" Type="http://schemas.openxmlformats.org/officeDocument/2006/relationships/hyperlink" Target="https://constructor.brusnika.ru/object-module/principled-decisions/project-solution-groups/bcb43ca7-d18a-4c45-828a-c62c951b90dd/427?version=4" TargetMode="External"/><Relationship Id="rId35" Type="http://schemas.openxmlformats.org/officeDocument/2006/relationships/hyperlink" Target="https://constructor.brusnika.ru/object-module/principled-decisions/project-solution-groups/bcb43ca7-d18a-4c45-828a-c62c951b90dd/404?version=1" TargetMode="External"/><Relationship Id="rId56" Type="http://schemas.openxmlformats.org/officeDocument/2006/relationships/hyperlink" Target="https://constructor.brusnika.ru/object-module/construction-structures/project-solution-groups/22141d31-0ed5-450d-87ba-2c9ae751f8c9/119?version=1" TargetMode="External"/><Relationship Id="rId77" Type="http://schemas.openxmlformats.org/officeDocument/2006/relationships/hyperlink" Target="https://constructor.brusnika.ru/object-module/construction-structures/project-solution-groups/74d3c9de-270f-4ccd-86a8-bba151b2a635/1103?version=1" TargetMode="External"/><Relationship Id="rId100" Type="http://schemas.openxmlformats.org/officeDocument/2006/relationships/hyperlink" Target="https://constructor.brusnika.ru/object-module/construction-structures/project-solution-groups/7b9674d8-20d5-431b-98af-db4fa0736191/1105?version=1" TargetMode="External"/><Relationship Id="rId105" Type="http://schemas.openxmlformats.org/officeDocument/2006/relationships/hyperlink" Target="https://constructor.brusnika.ru/object-module/construction-structures/project-solution-groups/591d321d-6cef-4439-b955-c83dd0cd86b8/571?version=5" TargetMode="External"/><Relationship Id="rId126" Type="http://schemas.openxmlformats.org/officeDocument/2006/relationships/hyperlink" Target="https://constructor.brusnika.ru/object-module/construction-structures/project-solution-groups/74d3c9de-270f-4ccd-86a8-bba151b2a635/1103?version=1" TargetMode="External"/><Relationship Id="rId147" Type="http://schemas.openxmlformats.org/officeDocument/2006/relationships/hyperlink" Target="https://constructor.brusnika.ru/object-module/principled-decisions/project-solution-groups/f90847ab-f2de-421e-b9f0-9f69f6c6c562/457?version=1" TargetMode="External"/><Relationship Id="rId8" Type="http://schemas.openxmlformats.org/officeDocument/2006/relationships/hyperlink" Target="https://constructor.brusnika.ru/object-module/principled-decisions/project-solution-groups/f472917e-e70f-4437-950c-6f19a182e9d0/485?version=1" TargetMode="External"/><Relationship Id="rId51" Type="http://schemas.openxmlformats.org/officeDocument/2006/relationships/hyperlink" Target="https://constructor.brusnika.ru/object-module/construction-structures/project-solution-groups/e312f6ac-2c46-4017-a1aa-8c838a46fa22/515?version=2" TargetMode="External"/><Relationship Id="rId72" Type="http://schemas.openxmlformats.org/officeDocument/2006/relationships/hyperlink" Target="https://constructor.brusnika.ru/object-module/construction-structures/project-solution-groups/35fefcbd-8d39-4930-b7f1-f31910b06da1/1104?version=1" TargetMode="External"/><Relationship Id="rId93" Type="http://schemas.openxmlformats.org/officeDocument/2006/relationships/hyperlink" Target="https://constructor.brusnika.ru/object-module/construction-structures/project-solution-groups/3917d088-3438-498e-99f3-6736dd70440e/179?version=6" TargetMode="External"/><Relationship Id="rId98" Type="http://schemas.openxmlformats.org/officeDocument/2006/relationships/hyperlink" Target="https://constructor.brusnika.ru/object-module/construction-structures/project-solution-groups/35fefcbd-8d39-4930-b7f1-f31910b06da1/1104?version=1" TargetMode="External"/><Relationship Id="rId121" Type="http://schemas.openxmlformats.org/officeDocument/2006/relationships/hyperlink" Target="https://constructor.brusnika.ru/object-module/construction-structures/project-solution-groups/35fefcbd-8d39-4930-b7f1-f31910b06da1/1104?version=1" TargetMode="External"/><Relationship Id="rId142" Type="http://schemas.openxmlformats.org/officeDocument/2006/relationships/hyperlink" Target="https://constructor.brusnika.ru/object-module/construction-nodes/project-documentations/unknown/20?version=15" TargetMode="External"/><Relationship Id="rId3" Type="http://schemas.openxmlformats.org/officeDocument/2006/relationships/hyperlink" Target="https://constructor.brusnika.ru/object-module/principled-decisions/project-solution-groups/bcb43ca7-d18a-4c45-828a-c62c951b90dd/294?archiveCode=223-03-04-V01" TargetMode="External"/><Relationship Id="rId25" Type="http://schemas.openxmlformats.org/officeDocument/2006/relationships/hyperlink" Target="https://constructor.brusnika.ru/object-module/principled-decisions/project-solution-groups/bcb43ca7-d18a-4c45-828a-c62c951b90dd/361?version=5" TargetMode="External"/><Relationship Id="rId46" Type="http://schemas.openxmlformats.org/officeDocument/2006/relationships/hyperlink" Target="https://constructor.brusnika.ru/object-module/principled-decisions/project-solution-groups/32511909-1e50-4dcd-aa3c-b7ad52cafef6/136?version=8" TargetMode="External"/><Relationship Id="rId67" Type="http://schemas.openxmlformats.org/officeDocument/2006/relationships/hyperlink" Target="https://constructor.brusnika.ru/object-module/construction-structures/project-solution-groups/a19a477d-48e3-4078-8770-479c2c1699cc/1035?version=1" TargetMode="External"/><Relationship Id="rId116" Type="http://schemas.openxmlformats.org/officeDocument/2006/relationships/hyperlink" Target="https://constructor.brusnika.ru/object-module/construction-structures/project-solution-groups/3917d088-3438-498e-99f3-6736dd70440e/180?version=5" TargetMode="External"/><Relationship Id="rId137" Type="http://schemas.openxmlformats.org/officeDocument/2006/relationships/hyperlink" Target="https://constructor.brusnika.ru/object-module/construction-structures/project-solution-groups/26e3f7e3-f412-4a69-a3fc-1d0399fb3546/63?version=4" TargetMode="External"/><Relationship Id="rId158" Type="http://schemas.openxmlformats.org/officeDocument/2006/relationships/hyperlink" Target="https://constructor.brusnika.ru/object-module/principled-decisions/project-solution-groups/4b7522fe-4d0b-4b87-a576-f435a7d45196/360?version=2" TargetMode="External"/><Relationship Id="rId20" Type="http://schemas.openxmlformats.org/officeDocument/2006/relationships/hyperlink" Target="https://constructor.brusnika.ru/object-module/principled-decisions/project-solution-groups/bcb43ca7-d18a-4c45-828a-c62c951b90dd/421?version=4" TargetMode="External"/><Relationship Id="rId41" Type="http://schemas.openxmlformats.org/officeDocument/2006/relationships/hyperlink" Target="https://constructor.brusnika.ru/object-module/construction-structures/project-solution-groups/752a433f-afbf-469e-898b-1d3da7d40ef1/276?version=2" TargetMode="External"/><Relationship Id="rId62" Type="http://schemas.openxmlformats.org/officeDocument/2006/relationships/hyperlink" Target="https://constructor.brusnika.ru/object-module/principled-decisions/project-solution-groups/1fafc35f-de80-4a3c-abf1-231d695a8701/475?version=1" TargetMode="External"/><Relationship Id="rId83" Type="http://schemas.openxmlformats.org/officeDocument/2006/relationships/hyperlink" Target="https://constructor.brusnika.ru/object-module/construction-structures/project-solution-groups/591d321d-6cef-4439-b955-c83dd0cd86b8/759?version=6" TargetMode="External"/><Relationship Id="rId88" Type="http://schemas.openxmlformats.org/officeDocument/2006/relationships/hyperlink" Target="https://constructor.brusnika.ru/object-module/construction-structures/project-solution-groups/2838c65e-2b8e-4e35-aeca-0680f2be768c/174?version=4" TargetMode="External"/><Relationship Id="rId111" Type="http://schemas.openxmlformats.org/officeDocument/2006/relationships/hyperlink" Target="https://constructor.brusnika.ru/object-module/construction-structures/project-solution-groups/2838c65e-2b8e-4e35-aeca-0680f2be768c/174?version=4" TargetMode="External"/><Relationship Id="rId132" Type="http://schemas.openxmlformats.org/officeDocument/2006/relationships/hyperlink" Target="https://constructor.brusnika.ru/object-module/construction-structures/project-solution-groups/2838c65e-2b8e-4e35-aeca-0680f2be768c/174?version=4" TargetMode="External"/><Relationship Id="rId153" Type="http://schemas.openxmlformats.org/officeDocument/2006/relationships/hyperlink" Target="https://constructor.brusnika.ru/object-module/principled-decisions/project-solution-groups/2b84ea73-ab35-4341-ab14-f6066b5fb3e4/353?version=2" TargetMode="External"/><Relationship Id="rId15" Type="http://schemas.openxmlformats.org/officeDocument/2006/relationships/hyperlink" Target="https://constructor.brusnika.ru/object-module/principled-decisions/project-solution-groups/f472917e-e70f-4437-950c-6f19a182e9d0/494?version=1" TargetMode="External"/><Relationship Id="rId36" Type="http://schemas.openxmlformats.org/officeDocument/2006/relationships/hyperlink" Target="https://constructor.brusnika.ru/object-module/principled-decisions/project-solution-groups/bcb43ca7-d18a-4c45-828a-c62c951b90dd/432?version=1" TargetMode="External"/><Relationship Id="rId57" Type="http://schemas.openxmlformats.org/officeDocument/2006/relationships/hyperlink" Target="https://constructor.brusnika.ru/object-module/construction-structures/project-solution-groups/eeeea7eb-a9c1-42ad-9f79-b3038711be61/117?version=1" TargetMode="External"/><Relationship Id="rId106" Type="http://schemas.openxmlformats.org/officeDocument/2006/relationships/hyperlink" Target="https://constructor.brusnika.ru/object-module/construction-structures/project-solution-groups/591d321d-6cef-4439-b955-c83dd0cd86b8/757?version=8" TargetMode="External"/><Relationship Id="rId127" Type="http://schemas.openxmlformats.org/officeDocument/2006/relationships/hyperlink" Target="https://constructor.brusnika.ru/object-module/construction-structures/project-solution-groups/591d321d-6cef-4439-b955-c83dd0cd86b8/571?version=5" TargetMode="External"/><Relationship Id="rId10" Type="http://schemas.openxmlformats.org/officeDocument/2006/relationships/hyperlink" Target="https://constructor.brusnika.ru/object-module/principled-decisions/project-solution-groups/f472917e-e70f-4437-950c-6f19a182e9d0/487?version=1" TargetMode="External"/><Relationship Id="rId31" Type="http://schemas.openxmlformats.org/officeDocument/2006/relationships/hyperlink" Target="https://constructor.brusnika.ru/object-module/principled-decisions/project-solution-groups/bcb43ca7-d18a-4c45-828a-c62c951b90dd/428?version=3" TargetMode="External"/><Relationship Id="rId52" Type="http://schemas.openxmlformats.org/officeDocument/2006/relationships/hyperlink" Target="https://constructor.brusnika.ru/object-module/principled-decisions/project-solution-groups/380a4671-c818-4a39-adf5-62bbcc4ca284/176" TargetMode="External"/><Relationship Id="rId73" Type="http://schemas.openxmlformats.org/officeDocument/2006/relationships/hyperlink" Target="https://constructor.brusnika.ru/object-module/construction-structures/project-solution-groups/35fefcbd-8d39-4930-b7f1-f31910b06da1/1104?version=1" TargetMode="External"/><Relationship Id="rId78" Type="http://schemas.openxmlformats.org/officeDocument/2006/relationships/hyperlink" Target="https://constructor.brusnika.ru/object-module/construction-structures/project-solution-groups/74d3c9de-270f-4ccd-86a8-bba151b2a635/1103?version=1" TargetMode="External"/><Relationship Id="rId94" Type="http://schemas.openxmlformats.org/officeDocument/2006/relationships/hyperlink" Target="https://constructor.brusnika.ru/object-module/construction-structures/project-solution-groups/3917d088-3438-498e-99f3-6736dd70440e/180?version=5" TargetMode="External"/><Relationship Id="rId99" Type="http://schemas.openxmlformats.org/officeDocument/2006/relationships/hyperlink" Target="https://constructor.brusnika.ru/object-module/construction-structures/project-solution-groups/35fefcbd-8d39-4930-b7f1-f31910b06da1/1104?version=1" TargetMode="External"/><Relationship Id="rId101" Type="http://schemas.openxmlformats.org/officeDocument/2006/relationships/hyperlink" Target="https://constructor.brusnika.ru/object-module/construction-structures/project-solution-groups/0ad53bf3-2abf-4af3-9bab-4eb78ff9e06b/1106?version=1" TargetMode="External"/><Relationship Id="rId122" Type="http://schemas.openxmlformats.org/officeDocument/2006/relationships/hyperlink" Target="https://constructor.brusnika.ru/object-module/construction-structures/project-solution-groups/7b9674d8-20d5-431b-98af-db4fa0736191/1105?version=1" TargetMode="External"/><Relationship Id="rId143" Type="http://schemas.openxmlformats.org/officeDocument/2006/relationships/hyperlink" Target="https://constructor.brusnika.ru/object-module/principled-decisions/project-solution-groups/f90847ab-f2de-421e-b9f0-9f69f6c6c562/453?version=1" TargetMode="External"/><Relationship Id="rId148" Type="http://schemas.openxmlformats.org/officeDocument/2006/relationships/hyperlink" Target="https://constructor.brusnika.ru/object-module/principled-decisions/project-solution-groups/f90847ab-f2de-421e-b9f0-9f69f6c6c562/459?version=1" TargetMode="External"/><Relationship Id="rId4" Type="http://schemas.openxmlformats.org/officeDocument/2006/relationships/hyperlink" Target="https://constructor.brusnika.ru/object-module/principled-decisions/project-solution-groups/33316a18-4e43-438a-9164-caddd7e06b79/480?version=1" TargetMode="External"/><Relationship Id="rId9" Type="http://schemas.openxmlformats.org/officeDocument/2006/relationships/hyperlink" Target="https://constructor.brusnika.ru/object-module/principled-decisions/project-solution-groups/f472917e-e70f-4437-950c-6f19a182e9d0/486?version=1" TargetMode="External"/><Relationship Id="rId26" Type="http://schemas.openxmlformats.org/officeDocument/2006/relationships/hyperlink" Target="https://constructor.brusnika.ru/object-module/principled-decisions/project-solution-groups/bcb43ca7-d18a-4c45-828a-c62c951b90dd/362?version=2" TargetMode="External"/><Relationship Id="rId47" Type="http://schemas.openxmlformats.org/officeDocument/2006/relationships/hyperlink" Target="https://constructor.brusnika.ru/object-module/principled-decisions/project-solution-groups/32511909-1e50-4dcd-aa3c-b7ad52cafef6/232?version=5" TargetMode="External"/><Relationship Id="rId68" Type="http://schemas.openxmlformats.org/officeDocument/2006/relationships/hyperlink" Target="https://constructor.brusnika.ru/object-module/construction-structures/project-solution-groups/3917d088-3438-498e-99f3-6736dd70440e/179?version=6" TargetMode="External"/><Relationship Id="rId89" Type="http://schemas.openxmlformats.org/officeDocument/2006/relationships/hyperlink" Target="https://constructor.brusnika.ru/object-module/construction-structures/project-solution-groups/f8850f64-db9d-47b1-9c7b-5b7c621126a7/1102?version=1" TargetMode="External"/><Relationship Id="rId112" Type="http://schemas.openxmlformats.org/officeDocument/2006/relationships/hyperlink" Target="https://constructor.brusnika.ru/object-module/construction-structures/project-solution-groups/f8850f64-db9d-47b1-9c7b-5b7c621126a7/1102?version=1" TargetMode="External"/><Relationship Id="rId133" Type="http://schemas.openxmlformats.org/officeDocument/2006/relationships/hyperlink" Target="https://constructor.brusnika.ru/object-module/construction-structures/project-solution-groups/f8850f64-db9d-47b1-9c7b-5b7c621126a7/912?version=2" TargetMode="External"/><Relationship Id="rId154" Type="http://schemas.openxmlformats.org/officeDocument/2006/relationships/hyperlink" Target="https://constructor.brusnika.ru/object-module/principled-decisions/project-solution-groups/2b84ea73-ab35-4341-ab14-f6066b5fb3e4/353?version=2" TargetMode="External"/><Relationship Id="rId16" Type="http://schemas.openxmlformats.org/officeDocument/2006/relationships/hyperlink" Target="https://constructor.brusnika.ru/object-module/principled-decisions/project-solution-groups/f472917e-e70f-4437-950c-6f19a182e9d0/493?version=1" TargetMode="External"/><Relationship Id="rId37" Type="http://schemas.openxmlformats.org/officeDocument/2006/relationships/hyperlink" Target="https://constructor.brusnika.ru/object-module/principled-decisions/project-solution-groups/5ea4cc5b-9d4b-40e3-8e4b-e5b6fdf25c08/406?version=1" TargetMode="External"/><Relationship Id="rId58" Type="http://schemas.openxmlformats.org/officeDocument/2006/relationships/hyperlink" Target="https://constructor.brusnika.ru/object-module/construction-structures/project-solution-groups/eeeea7eb-a9c1-42ad-9f79-b3038711be61/115?version=1" TargetMode="External"/><Relationship Id="rId79" Type="http://schemas.openxmlformats.org/officeDocument/2006/relationships/hyperlink" Target="https://constructor.brusnika.ru/object-module/construction-structures/project-solution-groups/74d3c9de-270f-4ccd-86a8-bba151b2a635/1145?version=1" TargetMode="External"/><Relationship Id="rId102" Type="http://schemas.openxmlformats.org/officeDocument/2006/relationships/hyperlink" Target="https://constructor.brusnika.ru/object-module/construction-structures/project-solution-groups/74d3c9de-270f-4ccd-86a8-bba151b2a635/1103?version=1" TargetMode="External"/><Relationship Id="rId123" Type="http://schemas.openxmlformats.org/officeDocument/2006/relationships/hyperlink" Target="https://constructor.brusnika.ru/object-module/construction-structures/project-solution-groups/0ad53bf3-2abf-4af3-9bab-4eb78ff9e06b/1106?version=1" TargetMode="External"/><Relationship Id="rId144" Type="http://schemas.openxmlformats.org/officeDocument/2006/relationships/hyperlink" Target="https://constructor.brusnika.ru/object-module/principled-decisions/project-solution-groups/f90847ab-f2de-421e-b9f0-9f69f6c6c562/454?version=1" TargetMode="External"/><Relationship Id="rId90" Type="http://schemas.openxmlformats.org/officeDocument/2006/relationships/hyperlink" Target="https://constructor.brusnika.ru/object-module/construction-structures/project-solution-groups/4e22e041-0df2-47d0-a7f1-1fbe007e89e5/904?version=3" TargetMode="External"/><Relationship Id="rId27" Type="http://schemas.openxmlformats.org/officeDocument/2006/relationships/hyperlink" Target="https://constructor.brusnika.ru/object-module/principled-decisions/project-solution-groups/bcb43ca7-d18a-4c45-828a-c62c951b90dd/469?version=1" TargetMode="External"/><Relationship Id="rId48" Type="http://schemas.openxmlformats.org/officeDocument/2006/relationships/hyperlink" Target="https://constructor.brusnika.ru/object-module/principled-decisions/project-solution-groups/32511909-1e50-4dcd-aa3c-b7ad52cafef6/400?version=1" TargetMode="External"/><Relationship Id="rId69" Type="http://schemas.openxmlformats.org/officeDocument/2006/relationships/hyperlink" Target="https://constructor.brusnika.ru/object-module/construction-structures/project-solution-groups/3917d088-3438-498e-99f3-6736dd70440e/180?version=5" TargetMode="External"/><Relationship Id="rId113" Type="http://schemas.openxmlformats.org/officeDocument/2006/relationships/hyperlink" Target="https://constructor.brusnika.ru/object-module/construction-structures/project-solution-groups/4e22e041-0df2-47d0-a7f1-1fbe007e89e5/904?version=3" TargetMode="External"/><Relationship Id="rId134" Type="http://schemas.openxmlformats.org/officeDocument/2006/relationships/hyperlink" Target="https://constructor.brusnika.ru/object-module/construction-structures/project-solution-groups/3917d088-3438-498e-99f3-6736dd70440e/919" TargetMode="External"/></Relationships>
</file>

<file path=xl/worksheets/_rels/sheet4.xml.rels><?xml version="1.0" encoding="UTF-8" standalone="yes"?>
<Relationships xmlns="http://schemas.openxmlformats.org/package/2006/relationships"><Relationship Id="rId117" Type="http://schemas.openxmlformats.org/officeDocument/2006/relationships/hyperlink" Target="https://constructor.brusnika.ru/object-module/construction-structures/project-solution-groups/3917d088-3438-498e-99f3-6736dd70440e/179?version=6" TargetMode="External"/><Relationship Id="rId21" Type="http://schemas.openxmlformats.org/officeDocument/2006/relationships/hyperlink" Target="https://constructor.brusnika.ru/object-module/principled-decisions/project-solution-groups/bcb43ca7-d18a-4c45-828a-c62c951b90dd/421?version=4" TargetMode="External"/><Relationship Id="rId63" Type="http://schemas.openxmlformats.org/officeDocument/2006/relationships/hyperlink" Target="https://constructor.brusnika.ru/object-module/construction-structures/project-solution-groups/3753653b-6fc7-4d0f-8017-79d61e5cc684/474?version=4" TargetMode="External"/><Relationship Id="rId159" Type="http://schemas.openxmlformats.org/officeDocument/2006/relationships/hyperlink" Target="https://constructor.brusnika.ru/object-module/principled-decisions/project-solution-groups/bcb43ca7-d18a-4c45-828a-c62c951b90dd/461?version=2" TargetMode="External"/><Relationship Id="rId170" Type="http://schemas.openxmlformats.org/officeDocument/2006/relationships/hyperlink" Target="https://constructor.brusnika.ru/object-module/construction-structures/project-solution-groups/35fefcbd-8d39-4930-b7f1-f31910b06da1/1104?version=1" TargetMode="External"/><Relationship Id="rId226" Type="http://schemas.openxmlformats.org/officeDocument/2006/relationships/hyperlink" Target="https://constructor.brusnika.ru/object-module/construction-structures/project-solution-groups/f8850f64-db9d-47b1-9c7b-5b7c621126a7/1102?version=1" TargetMode="External"/><Relationship Id="rId268" Type="http://schemas.openxmlformats.org/officeDocument/2006/relationships/hyperlink" Target="https://constructor.brusnika.ru/object-module/principled-decisions/project-solution-groups/a741e775-e380-485c-8a01-22ac21c634e6/407?version=2" TargetMode="External"/><Relationship Id="rId32" Type="http://schemas.openxmlformats.org/officeDocument/2006/relationships/hyperlink" Target="https://constructor.brusnika.ru/object-module/principled-decisions/project-solution-groups/bcb43ca7-d18a-4c45-828a-c62c951b90dd/424?version=1" TargetMode="External"/><Relationship Id="rId74" Type="http://schemas.openxmlformats.org/officeDocument/2006/relationships/hyperlink" Target="https://constructor.brusnika.ru/object-module/construction-structures/project-solution-groups/752a433f-afbf-469e-898b-1d3da7d40ef1/863?version=1" TargetMode="External"/><Relationship Id="rId128" Type="http://schemas.openxmlformats.org/officeDocument/2006/relationships/hyperlink" Target="https://constructor.brusnika.ru/object-module/construction-structures/project-solution-groups/74d3c9de-270f-4ccd-86a8-bba151b2a635/1145?version=1" TargetMode="External"/><Relationship Id="rId5" Type="http://schemas.openxmlformats.org/officeDocument/2006/relationships/hyperlink" Target="https://constructor.brusnika.ru/object-module/principled-decisions/project-solution-groups/33316a18-4e43-438a-9164-caddd7e06b79/480?version=1" TargetMode="External"/><Relationship Id="rId95" Type="http://schemas.openxmlformats.org/officeDocument/2006/relationships/hyperlink" Target="https://constructor.brusnika.ru/object-module/principled-decisions/project-solution-groups/380a4671-c818-4a39-adf5-62bbcc4ca284/176" TargetMode="External"/><Relationship Id="rId160" Type="http://schemas.openxmlformats.org/officeDocument/2006/relationships/hyperlink" Target="https://constructor.brusnika.ru/object-module/construction-structures/project-solution-groups/2838c65e-2b8e-4e35-aeca-0680f2be768c/174?version=4" TargetMode="External"/><Relationship Id="rId181" Type="http://schemas.openxmlformats.org/officeDocument/2006/relationships/hyperlink" Target="https://constructor.brusnika.ru/object-module/construction-structures/project-solution-groups/c4be2051-5353-45ca-916b-25632d62ded1/1050?version=1" TargetMode="External"/><Relationship Id="rId216" Type="http://schemas.openxmlformats.org/officeDocument/2006/relationships/hyperlink" Target="https://constructor.brusnika.ru/object-module/construction-structures/project-solution-groups/0ad53bf3-2abf-4af3-9bab-4eb78ff9e06b/1106?version=1" TargetMode="External"/><Relationship Id="rId237" Type="http://schemas.openxmlformats.org/officeDocument/2006/relationships/hyperlink" Target="https://constructor.brusnika.ru/object-module/construction-structures/project-solution-groups/0ad53bf3-2abf-4af3-9bab-4eb78ff9e06b/1106?version=1" TargetMode="External"/><Relationship Id="rId258" Type="http://schemas.openxmlformats.org/officeDocument/2006/relationships/hyperlink" Target="https://constructor.brusnika.ru/object-module/principled-decisions/project-solution-groups/f90847ab-f2de-421e-b9f0-9f69f6c6c562/453?version=1" TargetMode="External"/><Relationship Id="rId22" Type="http://schemas.openxmlformats.org/officeDocument/2006/relationships/hyperlink" Target="https://constructor.brusnika.ru/object-module/principled-decisions/project-solution-groups/bcb43ca7-d18a-4c45-828a-c62c951b90dd/422?version=1" TargetMode="External"/><Relationship Id="rId43" Type="http://schemas.openxmlformats.org/officeDocument/2006/relationships/hyperlink" Target="https://constructor.brusnika.ru/object-module/principled-decisions/project-solution-groups/5ea4cc5b-9d4b-40e3-8e4b-e5b6fdf25c08/406?version=1" TargetMode="External"/><Relationship Id="rId64" Type="http://schemas.openxmlformats.org/officeDocument/2006/relationships/hyperlink" Target="https://constructor.brusnika.ru/object-module/principled-decisions/project-solution-groups/6af722ac-b8d9-4c24-ac2c-ba2f5a3f5c79/477?version=2" TargetMode="External"/><Relationship Id="rId118" Type="http://schemas.openxmlformats.org/officeDocument/2006/relationships/hyperlink" Target="https://constructor.brusnika.ru/object-module/construction-structures/project-solution-groups/3917d088-3438-498e-99f3-6736dd70440e/180?version=5" TargetMode="External"/><Relationship Id="rId139" Type="http://schemas.openxmlformats.org/officeDocument/2006/relationships/hyperlink" Target="https://constructor.brusnika.ru/object-module/construction-structures/project-solution-groups/4e22e041-0df2-47d0-a7f1-1fbe007e89e5/904?version=3" TargetMode="External"/><Relationship Id="rId85" Type="http://schemas.openxmlformats.org/officeDocument/2006/relationships/hyperlink" Target="https://constructor.brusnika.ru/object-module/principled-decisions/project-solution-groups/6af722ac-b8d9-4c24-ac2c-ba2f5a3f5c79/477?version=2" TargetMode="External"/><Relationship Id="rId150" Type="http://schemas.openxmlformats.org/officeDocument/2006/relationships/hyperlink" Target="https://constructor.brusnika.ru/object-module/construction-structures/project-solution-groups/0ad53bf3-2abf-4af3-9bab-4eb78ff9e06b/1106?version=1" TargetMode="External"/><Relationship Id="rId171" Type="http://schemas.openxmlformats.org/officeDocument/2006/relationships/hyperlink" Target="https://constructor.brusnika.ru/object-module/construction-structures/project-solution-groups/35fefcbd-8d39-4930-b7f1-f31910b06da1/1104?version=1" TargetMode="External"/><Relationship Id="rId192" Type="http://schemas.openxmlformats.org/officeDocument/2006/relationships/hyperlink" Target="https://constructor.brusnika.ru/object-module/construction-structures/project-solution-groups/35fefcbd-8d39-4930-b7f1-f31910b06da1/1104?version=1" TargetMode="External"/><Relationship Id="rId206" Type="http://schemas.openxmlformats.org/officeDocument/2006/relationships/hyperlink" Target="https://constructor.brusnika.ru/object-module/construction-structures/project-solution-groups/4e22e041-0df2-47d0-a7f1-1fbe007e89e5/904?version=3" TargetMode="External"/><Relationship Id="rId227" Type="http://schemas.openxmlformats.org/officeDocument/2006/relationships/hyperlink" Target="https://constructor.brusnika.ru/object-module/construction-structures/project-solution-groups/4e22e041-0df2-47d0-a7f1-1fbe007e89e5/904?version=3" TargetMode="External"/><Relationship Id="rId248" Type="http://schemas.openxmlformats.org/officeDocument/2006/relationships/hyperlink" Target="https://constructor.brusnika.ru/object-module/construction-structures/project-solution-groups/f8850f64-db9d-47b1-9c7b-5b7c621126a7/912?version=2" TargetMode="External"/><Relationship Id="rId269" Type="http://schemas.openxmlformats.org/officeDocument/2006/relationships/hyperlink" Target="https://constructor.brusnika.ru/object-module/principled-decisions/project-solution-groups/2b84ea73-ab35-4341-ab14-f6066b5fb3e4/353?version=2" TargetMode="External"/><Relationship Id="rId12" Type="http://schemas.openxmlformats.org/officeDocument/2006/relationships/hyperlink" Target="https://constructor.brusnika.ru/object-module/principled-decisions/project-solution-groups/f472917e-e70f-4437-950c-6f19a182e9d0/488?version=1" TargetMode="External"/><Relationship Id="rId33" Type="http://schemas.openxmlformats.org/officeDocument/2006/relationships/hyperlink" Target="https://constructor.brusnika.ru/object-module/principled-decisions/project-solution-groups/bcb43ca7-d18a-4c45-828a-c62c951b90dd/469?version=1" TargetMode="External"/><Relationship Id="rId108" Type="http://schemas.openxmlformats.org/officeDocument/2006/relationships/hyperlink" Target="https://constructor.brusnika.ru/object-module/principled-decisions/project-solution-groups/1fafc35f-de80-4a3c-abf1-231d695a8701/473?version=1" TargetMode="External"/><Relationship Id="rId129" Type="http://schemas.openxmlformats.org/officeDocument/2006/relationships/hyperlink" Target="https://constructor.brusnika.ru/object-module/construction-structures/project-solution-groups/74d3c9de-270f-4ccd-86a8-bba151b2a635/1103?version=1" TargetMode="External"/><Relationship Id="rId54" Type="http://schemas.openxmlformats.org/officeDocument/2006/relationships/hyperlink" Target="https://constructor.brusnika.ru/object-module/construction-structures/project-solution-groups/3753653b-6fc7-4d0f-8017-79d61e5cc684/474?version=4" TargetMode="External"/><Relationship Id="rId75" Type="http://schemas.openxmlformats.org/officeDocument/2006/relationships/hyperlink" Target="https://constructor.brusnika.ru/object-module/construction-structures/project-solution-groups/3753653b-6fc7-4d0f-8017-79d61e5cc684/474?version=4" TargetMode="External"/><Relationship Id="rId96" Type="http://schemas.openxmlformats.org/officeDocument/2006/relationships/hyperlink" Target="https://constructor.brusnika.ru/object-module/construction-structures/project-solution-groups/3c78aec9-6d5f-411d-89fa-0ae65352db01/623?version=2" TargetMode="External"/><Relationship Id="rId140" Type="http://schemas.openxmlformats.org/officeDocument/2006/relationships/hyperlink" Target="https://constructor.brusnika.ru/object-module/construction-structures/project-solution-groups/4e22e041-0df2-47d0-a7f1-1fbe007e89e5/909?version=2" TargetMode="External"/><Relationship Id="rId161" Type="http://schemas.openxmlformats.org/officeDocument/2006/relationships/hyperlink" Target="https://constructor.brusnika.ru/object-module/construction-structures/project-solution-groups/f8850f64-db9d-47b1-9c7b-5b7c621126a7/1102?version=1" TargetMode="External"/><Relationship Id="rId182" Type="http://schemas.openxmlformats.org/officeDocument/2006/relationships/hyperlink" Target="https://constructor.brusnika.ru/object-module/principled-decisions/project-solution-groups/bcb43ca7-d18a-4c45-828a-c62c951b90dd/461?version=2" TargetMode="External"/><Relationship Id="rId217" Type="http://schemas.openxmlformats.org/officeDocument/2006/relationships/hyperlink" Target="https://constructor.brusnika.ru/object-module/construction-structures/project-solution-groups/74d3c9de-270f-4ccd-86a8-bba151b2a635/1103?version=1" TargetMode="External"/><Relationship Id="rId6" Type="http://schemas.openxmlformats.org/officeDocument/2006/relationships/hyperlink" Target="https://constructor.brusnika.ru/object-module/principled-decisions/project-solution-groups/f472917e-e70f-4437-950c-6f19a182e9d0/483?version=2" TargetMode="External"/><Relationship Id="rId238" Type="http://schemas.openxmlformats.org/officeDocument/2006/relationships/hyperlink" Target="https://constructor.brusnika.ru/object-module/construction-structures/project-solution-groups/74d3c9de-270f-4ccd-86a8-bba151b2a635/1103?version=1" TargetMode="External"/><Relationship Id="rId259" Type="http://schemas.openxmlformats.org/officeDocument/2006/relationships/hyperlink" Target="https://constructor.brusnika.ru/object-module/principled-decisions/project-solution-groups/f90847ab-f2de-421e-b9f0-9f69f6c6c562/454?version=1" TargetMode="External"/><Relationship Id="rId23" Type="http://schemas.openxmlformats.org/officeDocument/2006/relationships/hyperlink" Target="https://constructor.brusnika.ru/object-module/principled-decisions/project-solution-groups/bcb43ca7-d18a-4c45-828a-c62c951b90dd/391?version=19" TargetMode="External"/><Relationship Id="rId119" Type="http://schemas.openxmlformats.org/officeDocument/2006/relationships/hyperlink" Target="https://constructor.brusnika.ru/object-module/construction-structures/project-solution-groups/35fefcbd-8d39-4930-b7f1-f31910b06da1/1104?version=1" TargetMode="External"/><Relationship Id="rId270" Type="http://schemas.openxmlformats.org/officeDocument/2006/relationships/hyperlink" Target="https://constructor.brusnika.ru/object-module/principled-decisions/project-solution-groups/2b84ea73-ab35-4341-ab14-f6066b5fb3e4/353?version=2" TargetMode="External"/><Relationship Id="rId44" Type="http://schemas.openxmlformats.org/officeDocument/2006/relationships/hyperlink" Target="https://constructor.brusnika.ru/object-module/construction-structures/project-solution-groups/42bff97a-2102-4c35-a1a0-542b4e177d14/1146?version=1" TargetMode="External"/><Relationship Id="rId65" Type="http://schemas.openxmlformats.org/officeDocument/2006/relationships/hyperlink" Target="https://constructor.brusnika.ru/object-module/construction-structures/project-solution-groups/752a433f-afbf-469e-898b-1d3da7d40ef1/276?version=2" TargetMode="External"/><Relationship Id="rId86" Type="http://schemas.openxmlformats.org/officeDocument/2006/relationships/hyperlink" Target="https://constructor.brusnika.ru/object-module/construction-structures/project-solution-groups/752a433f-afbf-469e-898b-1d3da7d40ef1/863?version=1" TargetMode="External"/><Relationship Id="rId130" Type="http://schemas.openxmlformats.org/officeDocument/2006/relationships/hyperlink" Target="https://constructor.brusnika.ru/object-module/construction-structures/project-solution-groups/591d321d-6cef-4439-b955-c83dd0cd86b8/571?version=5" TargetMode="External"/><Relationship Id="rId151" Type="http://schemas.openxmlformats.org/officeDocument/2006/relationships/hyperlink" Target="https://constructor.brusnika.ru/object-module/construction-structures/project-solution-groups/74d3c9de-270f-4ccd-86a8-bba151b2a635/1103?version=1" TargetMode="External"/><Relationship Id="rId172" Type="http://schemas.openxmlformats.org/officeDocument/2006/relationships/hyperlink" Target="https://constructor.brusnika.ru/object-module/construction-structures/project-solution-groups/7b9674d8-20d5-431b-98af-db4fa0736191/1105?version=1" TargetMode="External"/><Relationship Id="rId193" Type="http://schemas.openxmlformats.org/officeDocument/2006/relationships/hyperlink" Target="https://constructor.brusnika.ru/object-module/construction-structures/project-solution-groups/35fefcbd-8d39-4930-b7f1-f31910b06da1/1104?version=1" TargetMode="External"/><Relationship Id="rId207" Type="http://schemas.openxmlformats.org/officeDocument/2006/relationships/hyperlink" Target="https://constructor.brusnika.ru/object-module/construction-structures/project-solution-groups/a19a477d-48e3-4078-8770-479c2c1699cc/1035?version=1" TargetMode="External"/><Relationship Id="rId228" Type="http://schemas.openxmlformats.org/officeDocument/2006/relationships/hyperlink" Target="https://constructor.brusnika.ru/object-module/construction-structures/project-solution-groups/a19a477d-48e3-4078-8770-479c2c1699cc/1035?version=1" TargetMode="External"/><Relationship Id="rId249" Type="http://schemas.openxmlformats.org/officeDocument/2006/relationships/hyperlink" Target="https://constructor.brusnika.ru/object-module/construction-structures/project-solution-groups/3917d088-3438-498e-99f3-6736dd70440e/919" TargetMode="External"/><Relationship Id="rId13" Type="http://schemas.openxmlformats.org/officeDocument/2006/relationships/hyperlink" Target="https://constructor.brusnika.ru/object-module/principled-decisions/project-solution-groups/f472917e-e70f-4437-950c-6f19a182e9d0/490?version=1" TargetMode="External"/><Relationship Id="rId109" Type="http://schemas.openxmlformats.org/officeDocument/2006/relationships/hyperlink" Target="https://constructor.brusnika.ru/object-module/principled-decisions/project-solution-groups/1fafc35f-de80-4a3c-abf1-231d695a8701/474?version=1" TargetMode="External"/><Relationship Id="rId260" Type="http://schemas.openxmlformats.org/officeDocument/2006/relationships/hyperlink" Target="https://constructor.brusnika.ru/object-module/principled-decisions/project-solution-groups/f90847ab-f2de-421e-b9f0-9f69f6c6c562/456?version=1" TargetMode="External"/><Relationship Id="rId34" Type="http://schemas.openxmlformats.org/officeDocument/2006/relationships/hyperlink" Target="https://constructor.brusnika.ru/object-module/principled-decisions/project-solution-groups/bcb43ca7-d18a-4c45-828a-c62c951b90dd/425?version=12" TargetMode="External"/><Relationship Id="rId55" Type="http://schemas.openxmlformats.org/officeDocument/2006/relationships/hyperlink" Target="https://constructor.brusnika.ru/object-module/principled-decisions/project-solution-groups/6af722ac-b8d9-4c24-ac2c-ba2f5a3f5c79/477?version=2" TargetMode="External"/><Relationship Id="rId76" Type="http://schemas.openxmlformats.org/officeDocument/2006/relationships/hyperlink" Target="https://constructor.brusnika.ru/object-module/principled-decisions/project-solution-groups/6af722ac-b8d9-4c24-ac2c-ba2f5a3f5c79/477?version=2" TargetMode="External"/><Relationship Id="rId97" Type="http://schemas.openxmlformats.org/officeDocument/2006/relationships/hyperlink" Target="https://constructor.brusnika.ru/object-module/construction-structures/project-solution-groups/3c78aec9-6d5f-411d-89fa-0ae65352db01/823?version=1" TargetMode="External"/><Relationship Id="rId120" Type="http://schemas.openxmlformats.org/officeDocument/2006/relationships/hyperlink" Target="https://constructor.brusnika.ru/object-module/construction-structures/project-solution-groups/35fefcbd-8d39-4930-b7f1-f31910b06da1/1104?version=1" TargetMode="External"/><Relationship Id="rId141" Type="http://schemas.openxmlformats.org/officeDocument/2006/relationships/hyperlink" Target="https://constructor.brusnika.ru/object-module/construction-structures/project-solution-groups/a19a477d-48e3-4078-8770-479c2c1699cc/1035?version=1" TargetMode="External"/><Relationship Id="rId7" Type="http://schemas.openxmlformats.org/officeDocument/2006/relationships/hyperlink" Target="https://constructor.brusnika.ru/object-module/principled-decisions/project-solution-groups/f472917e-e70f-4437-950c-6f19a182e9d0/489?version=1" TargetMode="External"/><Relationship Id="rId162" Type="http://schemas.openxmlformats.org/officeDocument/2006/relationships/hyperlink" Target="https://constructor.brusnika.ru/object-module/construction-structures/project-solution-groups/4e22e041-0df2-47d0-a7f1-1fbe007e89e5/904?version=3" TargetMode="External"/><Relationship Id="rId183" Type="http://schemas.openxmlformats.org/officeDocument/2006/relationships/hyperlink" Target="https://constructor.brusnika.ru/object-module/construction-structures/project-solution-groups/2838c65e-2b8e-4e35-aeca-0680f2be768c/174?version=4" TargetMode="External"/><Relationship Id="rId218" Type="http://schemas.openxmlformats.org/officeDocument/2006/relationships/hyperlink" Target="https://constructor.brusnika.ru/object-module/construction-structures/project-solution-groups/74d3c9de-270f-4ccd-86a8-bba151b2a635/1103?version=1" TargetMode="External"/><Relationship Id="rId239" Type="http://schemas.openxmlformats.org/officeDocument/2006/relationships/hyperlink" Target="https://constructor.brusnika.ru/object-module/construction-structures/project-solution-groups/74d3c9de-270f-4ccd-86a8-bba151b2a635/1103?version=1" TargetMode="External"/><Relationship Id="rId250" Type="http://schemas.openxmlformats.org/officeDocument/2006/relationships/hyperlink" Target="https://constructor.brusnika.ru/object-module/construction-structures/project-solution-groups/35fefcbd-8d39-4930-b7f1-f31910b06da1/574?version=2" TargetMode="External"/><Relationship Id="rId271" Type="http://schemas.openxmlformats.org/officeDocument/2006/relationships/hyperlink" Target="https://constructor.brusnika.ru/object-module/principled-decisions/project-solution-groups/6f994cbc-7676-414a-8d76-5362a64a2332/465?version=1" TargetMode="External"/><Relationship Id="rId24" Type="http://schemas.openxmlformats.org/officeDocument/2006/relationships/hyperlink" Target="https://constructor.brusnika.ru/object-module/construction-structures/project-solution-groups/67b34b45-d8d4-4ee5-b8f4-53a2a3a2ad75/903?version=4" TargetMode="External"/><Relationship Id="rId45" Type="http://schemas.openxmlformats.org/officeDocument/2006/relationships/hyperlink" Target="https://constructor.brusnika.ru/object-module/principled-decisions/project-solution-groups/bcb43ca7-d18a-4c45-828a-c62c951b90dd/288?version=1" TargetMode="External"/><Relationship Id="rId66" Type="http://schemas.openxmlformats.org/officeDocument/2006/relationships/hyperlink" Target="https://constructor.brusnika.ru/object-module/construction-structures/project-solution-groups/3753653b-6fc7-4d0f-8017-79d61e5cc684/474?version=4" TargetMode="External"/><Relationship Id="rId87" Type="http://schemas.openxmlformats.org/officeDocument/2006/relationships/hyperlink" Target="https://constructor.brusnika.ru/object-module/construction-structures/project-solution-groups/3753653b-6fc7-4d0f-8017-79d61e5cc684/474?version=4" TargetMode="External"/><Relationship Id="rId110" Type="http://schemas.openxmlformats.org/officeDocument/2006/relationships/hyperlink" Target="https://constructor.brusnika.ru/object-module/principled-decisions/project-solution-groups/1fafc35f-de80-4a3c-abf1-231d695a8701/475?version=1" TargetMode="External"/><Relationship Id="rId131" Type="http://schemas.openxmlformats.org/officeDocument/2006/relationships/hyperlink" Target="https://constructor.brusnika.ru/object-module/construction-structures/project-solution-groups/591d321d-6cef-4439-b955-c83dd0cd86b8/757?version=8" TargetMode="External"/><Relationship Id="rId152" Type="http://schemas.openxmlformats.org/officeDocument/2006/relationships/hyperlink" Target="https://constructor.brusnika.ru/object-module/construction-structures/project-solution-groups/74d3c9de-270f-4ccd-86a8-bba151b2a635/1103?version=1" TargetMode="External"/><Relationship Id="rId173" Type="http://schemas.openxmlformats.org/officeDocument/2006/relationships/hyperlink" Target="https://constructor.brusnika.ru/object-module/construction-structures/project-solution-groups/0ad53bf3-2abf-4af3-9bab-4eb78ff9e06b/1106?version=1" TargetMode="External"/><Relationship Id="rId194" Type="http://schemas.openxmlformats.org/officeDocument/2006/relationships/hyperlink" Target="https://constructor.brusnika.ru/object-module/construction-structures/project-solution-groups/7b9674d8-20d5-431b-98af-db4fa0736191/1105?version=1" TargetMode="External"/><Relationship Id="rId208" Type="http://schemas.openxmlformats.org/officeDocument/2006/relationships/hyperlink" Target="https://constructor.brusnika.ru/object-module/construction-structures/project-solution-groups/3917d088-3438-498e-99f3-6736dd70440e/179?version=6" TargetMode="External"/><Relationship Id="rId229" Type="http://schemas.openxmlformats.org/officeDocument/2006/relationships/hyperlink" Target="https://constructor.brusnika.ru/object-module/construction-structures/project-solution-groups/3917d088-3438-498e-99f3-6736dd70440e/179?version=6" TargetMode="External"/><Relationship Id="rId240" Type="http://schemas.openxmlformats.org/officeDocument/2006/relationships/hyperlink" Target="https://constructor.brusnika.ru/object-module/construction-structures/project-solution-groups/74d3c9de-270f-4ccd-86a8-bba151b2a635/1103?version=1" TargetMode="External"/><Relationship Id="rId261" Type="http://schemas.openxmlformats.org/officeDocument/2006/relationships/hyperlink" Target="https://constructor.brusnika.ru/object-module/principled-decisions/project-solution-groups/f90847ab-f2de-421e-b9f0-9f69f6c6c562/458?version=1" TargetMode="External"/><Relationship Id="rId14" Type="http://schemas.openxmlformats.org/officeDocument/2006/relationships/hyperlink" Target="https://constructor.brusnika.ru/object-module/principled-decisions/project-solution-groups/f472917e-e70f-4437-950c-6f19a182e9d0/491?version=1" TargetMode="External"/><Relationship Id="rId35" Type="http://schemas.openxmlformats.org/officeDocument/2006/relationships/hyperlink" Target="https://constructor.brusnika.ru/object-module/principled-decisions/project-solution-groups/bcb43ca7-d18a-4c45-828a-c62c951b90dd/426?version=4" TargetMode="External"/><Relationship Id="rId56" Type="http://schemas.openxmlformats.org/officeDocument/2006/relationships/hyperlink" Target="https://constructor.brusnika.ru/object-module/construction-structures/project-solution-groups/752a433f-afbf-469e-898b-1d3da7d40ef1/276?version=2" TargetMode="External"/><Relationship Id="rId77" Type="http://schemas.openxmlformats.org/officeDocument/2006/relationships/hyperlink" Target="https://constructor.brusnika.ru/object-module/construction-structures/project-solution-groups/752a433f-afbf-469e-898b-1d3da7d40ef1/863?version=1" TargetMode="External"/><Relationship Id="rId100" Type="http://schemas.openxmlformats.org/officeDocument/2006/relationships/hyperlink" Target="https://constructor.brusnika.ru/object-module/construction-structures/project-solution-groups/22141d31-0ed5-450d-87ba-2c9ae751f8c9/118?version=1" TargetMode="External"/><Relationship Id="rId8" Type="http://schemas.openxmlformats.org/officeDocument/2006/relationships/hyperlink" Target="https://constructor.brusnika.ru/object-module/principled-decisions/project-solution-groups/f472917e-e70f-4437-950c-6f19a182e9d0/484?version=1" TargetMode="External"/><Relationship Id="rId98" Type="http://schemas.openxmlformats.org/officeDocument/2006/relationships/hyperlink" Target="https://constructor.brusnika.ru/object-module/construction-structures/project-solution-groups/3c78aec9-6d5f-411d-89fa-0ae65352db01/822?version=1" TargetMode="External"/><Relationship Id="rId121" Type="http://schemas.openxmlformats.org/officeDocument/2006/relationships/hyperlink" Target="https://constructor.brusnika.ru/object-module/construction-structures/project-solution-groups/35fefcbd-8d39-4930-b7f1-f31910b06da1/1104?version=1" TargetMode="External"/><Relationship Id="rId142" Type="http://schemas.openxmlformats.org/officeDocument/2006/relationships/hyperlink" Target="https://constructor.brusnika.ru/object-module/construction-structures/project-solution-groups/3917d088-3438-498e-99f3-6736dd70440e/179?version=6" TargetMode="External"/><Relationship Id="rId163" Type="http://schemas.openxmlformats.org/officeDocument/2006/relationships/hyperlink" Target="https://constructor.brusnika.ru/object-module/construction-structures/project-solution-groups/4e22e041-0df2-47d0-a7f1-1fbe007e89e5/909?version=2" TargetMode="External"/><Relationship Id="rId184" Type="http://schemas.openxmlformats.org/officeDocument/2006/relationships/hyperlink" Target="https://constructor.brusnika.ru/object-module/construction-structures/project-solution-groups/f8850f64-db9d-47b1-9c7b-5b7c621126a7/1102?version=1" TargetMode="External"/><Relationship Id="rId219" Type="http://schemas.openxmlformats.org/officeDocument/2006/relationships/hyperlink" Target="https://constructor.brusnika.ru/object-module/construction-structures/project-solution-groups/74d3c9de-270f-4ccd-86a8-bba151b2a635/1103?version=1" TargetMode="External"/><Relationship Id="rId230" Type="http://schemas.openxmlformats.org/officeDocument/2006/relationships/hyperlink" Target="https://constructor.brusnika.ru/object-module/construction-structures/project-solution-groups/3917d088-3438-498e-99f3-6736dd70440e/180?version=5" TargetMode="External"/><Relationship Id="rId251" Type="http://schemas.openxmlformats.org/officeDocument/2006/relationships/hyperlink" Target="https://constructor.brusnika.ru/object-module/construction-structures/project-solution-groups/26e3f7e3-f412-4a69-a3fc-1d0399fb3546/63?version=4" TargetMode="External"/><Relationship Id="rId25" Type="http://schemas.openxmlformats.org/officeDocument/2006/relationships/hyperlink" Target="https://constructor.brusnika.ru/object-module/principled-decisions/project-solution-groups/bcb43ca7-d18a-4c45-828a-c62c951b90dd/415?version=1" TargetMode="External"/><Relationship Id="rId46" Type="http://schemas.openxmlformats.org/officeDocument/2006/relationships/hyperlink" Target="https://constructor.brusnika.ru/object-module/principled-decisions/project-solution-groups/6af722ac-b8d9-4c24-ac2c-ba2f5a3f5c79/477?version=2" TargetMode="External"/><Relationship Id="rId67" Type="http://schemas.openxmlformats.org/officeDocument/2006/relationships/hyperlink" Target="https://constructor.brusnika.ru/object-module/principled-decisions/project-solution-groups/6af722ac-b8d9-4c24-ac2c-ba2f5a3f5c79/477?version=2" TargetMode="External"/><Relationship Id="rId272" Type="http://schemas.openxmlformats.org/officeDocument/2006/relationships/hyperlink" Target="https://constructor.brusnika.ru/object-module/principled-decisions/project-solution-groups/7904c8fa-fcfb-4814-8dc7-503f848c3b4a/357?version=2" TargetMode="External"/><Relationship Id="rId88" Type="http://schemas.openxmlformats.org/officeDocument/2006/relationships/hyperlink" Target="https://constructor.brusnika.ru/object-module/principled-decisions/project-solution-groups/32511909-1e50-4dcd-aa3c-b7ad52cafef6/136?version=8" TargetMode="External"/><Relationship Id="rId111" Type="http://schemas.openxmlformats.org/officeDocument/2006/relationships/hyperlink" Target="https://constructor.brusnika.ru/object-module/principled-decisions/project-solution-groups/1fafc35f-de80-4a3c-abf1-231d695a8701/476?version=1" TargetMode="External"/><Relationship Id="rId132" Type="http://schemas.openxmlformats.org/officeDocument/2006/relationships/hyperlink" Target="https://constructor.brusnika.ru/object-module/construction-structures/project-solution-groups/591d321d-6cef-4439-b955-c83dd0cd86b8/759?version=6" TargetMode="External"/><Relationship Id="rId153" Type="http://schemas.openxmlformats.org/officeDocument/2006/relationships/hyperlink" Target="https://constructor.brusnika.ru/object-module/construction-structures/project-solution-groups/74d3c9de-270f-4ccd-86a8-bba151b2a635/1103?version=1" TargetMode="External"/><Relationship Id="rId174" Type="http://schemas.openxmlformats.org/officeDocument/2006/relationships/hyperlink" Target="https://constructor.brusnika.ru/object-module/construction-structures/project-solution-groups/74d3c9de-270f-4ccd-86a8-bba151b2a635/1103?version=1" TargetMode="External"/><Relationship Id="rId195" Type="http://schemas.openxmlformats.org/officeDocument/2006/relationships/hyperlink" Target="https://constructor.brusnika.ru/object-module/construction-structures/project-solution-groups/0ad53bf3-2abf-4af3-9bab-4eb78ff9e06b/1106?version=1" TargetMode="External"/><Relationship Id="rId209" Type="http://schemas.openxmlformats.org/officeDocument/2006/relationships/hyperlink" Target="https://constructor.brusnika.ru/object-module/construction-structures/project-solution-groups/3917d088-3438-498e-99f3-6736dd70440e/180?version=5" TargetMode="External"/><Relationship Id="rId220" Type="http://schemas.openxmlformats.org/officeDocument/2006/relationships/hyperlink" Target="https://constructor.brusnika.ru/object-module/construction-structures/project-solution-groups/591d321d-6cef-4439-b955-c83dd0cd86b8/571?version=5" TargetMode="External"/><Relationship Id="rId241" Type="http://schemas.openxmlformats.org/officeDocument/2006/relationships/hyperlink" Target="https://constructor.brusnika.ru/object-module/construction-structures/project-solution-groups/591d321d-6cef-4439-b955-c83dd0cd86b8/571?version=5" TargetMode="External"/><Relationship Id="rId15" Type="http://schemas.openxmlformats.org/officeDocument/2006/relationships/hyperlink" Target="https://constructor.brusnika.ru/object-module/principled-decisions/project-solution-groups/f472917e-e70f-4437-950c-6f19a182e9d0/492?version=1" TargetMode="External"/><Relationship Id="rId36" Type="http://schemas.openxmlformats.org/officeDocument/2006/relationships/hyperlink" Target="https://constructor.brusnika.ru/object-module/principled-decisions/project-solution-groups/bcb43ca7-d18a-4c45-828a-c62c951b90dd/427?version=4" TargetMode="External"/><Relationship Id="rId57" Type="http://schemas.openxmlformats.org/officeDocument/2006/relationships/hyperlink" Target="https://constructor.brusnika.ru/object-module/construction-structures/project-solution-groups/3753653b-6fc7-4d0f-8017-79d61e5cc684/474?version=4" TargetMode="External"/><Relationship Id="rId262" Type="http://schemas.openxmlformats.org/officeDocument/2006/relationships/hyperlink" Target="https://constructor.brusnika.ru/object-module/principled-decisions/project-solution-groups/f90847ab-f2de-421e-b9f0-9f69f6c6c562/457?version=1" TargetMode="External"/><Relationship Id="rId78" Type="http://schemas.openxmlformats.org/officeDocument/2006/relationships/hyperlink" Target="https://constructor.brusnika.ru/object-module/construction-structures/project-solution-groups/3753653b-6fc7-4d0f-8017-79d61e5cc684/474?version=4" TargetMode="External"/><Relationship Id="rId99" Type="http://schemas.openxmlformats.org/officeDocument/2006/relationships/hyperlink" Target="https://constructor.brusnika.ru/object-module/construction-structures/project-solution-groups/3c78aec9-6d5f-411d-89fa-0ae65352db01/624?version=3" TargetMode="External"/><Relationship Id="rId101" Type="http://schemas.openxmlformats.org/officeDocument/2006/relationships/hyperlink" Target="https://constructor.brusnika.ru/object-module/construction-structures/project-solution-groups/22141d31-0ed5-450d-87ba-2c9ae751f8c9/119?version=1" TargetMode="External"/><Relationship Id="rId122" Type="http://schemas.openxmlformats.org/officeDocument/2006/relationships/hyperlink" Target="https://constructor.brusnika.ru/object-module/construction-structures/project-solution-groups/35fefcbd-8d39-4930-b7f1-f31910b06da1/1104?version=1" TargetMode="External"/><Relationship Id="rId143" Type="http://schemas.openxmlformats.org/officeDocument/2006/relationships/hyperlink" Target="https://constructor.brusnika.ru/object-module/construction-structures/project-solution-groups/3917d088-3438-498e-99f3-6736dd70440e/180?version=5" TargetMode="External"/><Relationship Id="rId164" Type="http://schemas.openxmlformats.org/officeDocument/2006/relationships/hyperlink" Target="https://constructor.brusnika.ru/object-module/construction-structures/project-solution-groups/a19a477d-48e3-4078-8770-479c2c1699cc/1035?version=1" TargetMode="External"/><Relationship Id="rId185" Type="http://schemas.openxmlformats.org/officeDocument/2006/relationships/hyperlink" Target="https://constructor.brusnika.ru/object-module/construction-structures/project-solution-groups/4e22e041-0df2-47d0-a7f1-1fbe007e89e5/904?version=3" TargetMode="External"/><Relationship Id="rId9" Type="http://schemas.openxmlformats.org/officeDocument/2006/relationships/hyperlink" Target="https://constructor.brusnika.ru/object-module/principled-decisions/project-solution-groups/f472917e-e70f-4437-950c-6f19a182e9d0/485?version=1" TargetMode="External"/><Relationship Id="rId210" Type="http://schemas.openxmlformats.org/officeDocument/2006/relationships/hyperlink" Target="https://constructor.brusnika.ru/object-module/construction-structures/project-solution-groups/35fefcbd-8d39-4930-b7f1-f31910b06da1/1104?version=1" TargetMode="External"/><Relationship Id="rId26" Type="http://schemas.openxmlformats.org/officeDocument/2006/relationships/hyperlink" Target="https://constructor.brusnika.ru/object-module/principled-decisions/project-solution-groups/bcb43ca7-d18a-4c45-828a-c62c951b90dd/431?version=1" TargetMode="External"/><Relationship Id="rId231" Type="http://schemas.openxmlformats.org/officeDocument/2006/relationships/hyperlink" Target="https://constructor.brusnika.ru/object-module/construction-structures/project-solution-groups/35fefcbd-8d39-4930-b7f1-f31910b06da1/1104?version=1" TargetMode="External"/><Relationship Id="rId252" Type="http://schemas.openxmlformats.org/officeDocument/2006/relationships/hyperlink" Target="https://constructor.brusnika.ru/object-module/construction-structures/project-solution-groups/26e3f7e3-f412-4a69-a3fc-1d0399fb3546/63?version=4" TargetMode="External"/><Relationship Id="rId273" Type="http://schemas.openxmlformats.org/officeDocument/2006/relationships/hyperlink" Target="https://constructor.brusnika.ru/object-module/principled-decisions/project-solution-groups/7a5d3a94-5c3f-42b4-b2a6-2fc5f5241641/358?version=2" TargetMode="External"/><Relationship Id="rId47" Type="http://schemas.openxmlformats.org/officeDocument/2006/relationships/hyperlink" Target="https://constructor.brusnika.ru/object-module/construction-structures/project-solution-groups/752a433f-afbf-469e-898b-1d3da7d40ef1/276?version=2" TargetMode="External"/><Relationship Id="rId68" Type="http://schemas.openxmlformats.org/officeDocument/2006/relationships/hyperlink" Target="https://constructor.brusnika.ru/object-module/construction-structures/project-solution-groups/752a433f-afbf-469e-898b-1d3da7d40ef1/863?version=1" TargetMode="External"/><Relationship Id="rId89" Type="http://schemas.openxmlformats.org/officeDocument/2006/relationships/hyperlink" Target="https://constructor.brusnika.ru/object-module/principled-decisions/project-solution-groups/32511909-1e50-4dcd-aa3c-b7ad52cafef6/232?version=5" TargetMode="External"/><Relationship Id="rId112" Type="http://schemas.openxmlformats.org/officeDocument/2006/relationships/hyperlink" Target="https://constructor.brusnika.ru/object-module/construction-structures/project-solution-groups/2838c65e-2b8e-4e35-aeca-0680f2be768c/174?version=4" TargetMode="External"/><Relationship Id="rId133" Type="http://schemas.openxmlformats.org/officeDocument/2006/relationships/hyperlink" Target="https://constructor.brusnika.ru/object-module/construction-structures/project-solution-groups/591d321d-6cef-4439-b955-c83dd0cd86b8/758?version=6" TargetMode="External"/><Relationship Id="rId154" Type="http://schemas.openxmlformats.org/officeDocument/2006/relationships/hyperlink" Target="https://constructor.brusnika.ru/object-module/construction-structures/project-solution-groups/591d321d-6cef-4439-b955-c83dd0cd86b8/571?version=5" TargetMode="External"/><Relationship Id="rId175" Type="http://schemas.openxmlformats.org/officeDocument/2006/relationships/hyperlink" Target="https://constructor.brusnika.ru/object-module/construction-structures/project-solution-groups/74d3c9de-270f-4ccd-86a8-bba151b2a635/1103?version=1" TargetMode="External"/><Relationship Id="rId196" Type="http://schemas.openxmlformats.org/officeDocument/2006/relationships/hyperlink" Target="https://constructor.brusnika.ru/object-module/construction-structures/project-solution-groups/74d3c9de-270f-4ccd-86a8-bba151b2a635/1103?version=1" TargetMode="External"/><Relationship Id="rId200" Type="http://schemas.openxmlformats.org/officeDocument/2006/relationships/hyperlink" Target="https://constructor.brusnika.ru/object-module/construction-structures/project-solution-groups/591d321d-6cef-4439-b955-c83dd0cd86b8/1017?version=2" TargetMode="External"/><Relationship Id="rId16" Type="http://schemas.openxmlformats.org/officeDocument/2006/relationships/hyperlink" Target="https://constructor.brusnika.ru/object-module/principled-decisions/project-solution-groups/f472917e-e70f-4437-950c-6f19a182e9d0/494?version=1" TargetMode="External"/><Relationship Id="rId221" Type="http://schemas.openxmlformats.org/officeDocument/2006/relationships/hyperlink" Target="https://constructor.brusnika.ru/object-module/construction-structures/project-solution-groups/591d321d-6cef-4439-b955-c83dd0cd86b8/1017?version=2" TargetMode="External"/><Relationship Id="rId242" Type="http://schemas.openxmlformats.org/officeDocument/2006/relationships/hyperlink" Target="https://constructor.brusnika.ru/object-module/construction-structures/project-solution-groups/591d321d-6cef-4439-b955-c83dd0cd86b8/757?version=8" TargetMode="External"/><Relationship Id="rId263" Type="http://schemas.openxmlformats.org/officeDocument/2006/relationships/hyperlink" Target="https://constructor.brusnika.ru/object-module/principled-decisions/project-solution-groups/f90847ab-f2de-421e-b9f0-9f69f6c6c562/459?version=1" TargetMode="External"/><Relationship Id="rId37" Type="http://schemas.openxmlformats.org/officeDocument/2006/relationships/hyperlink" Target="https://constructor.brusnika.ru/object-module/principled-decisions/project-solution-groups/bcb43ca7-d18a-4c45-828a-c62c951b90dd/428?version=3" TargetMode="External"/><Relationship Id="rId58" Type="http://schemas.openxmlformats.org/officeDocument/2006/relationships/hyperlink" Target="https://constructor.brusnika.ru/object-module/principled-decisions/project-solution-groups/6af722ac-b8d9-4c24-ac2c-ba2f5a3f5c79/477?version=2" TargetMode="External"/><Relationship Id="rId79" Type="http://schemas.openxmlformats.org/officeDocument/2006/relationships/hyperlink" Target="https://constructor.brusnika.ru/object-module/principled-decisions/project-solution-groups/6af722ac-b8d9-4c24-ac2c-ba2f5a3f5c79/477?version=2" TargetMode="External"/><Relationship Id="rId102" Type="http://schemas.openxmlformats.org/officeDocument/2006/relationships/hyperlink" Target="https://constructor.brusnika.ru/object-module/construction-structures/project-solution-groups/eeeea7eb-a9c1-42ad-9f79-b3038711be61/117?version=1" TargetMode="External"/><Relationship Id="rId123" Type="http://schemas.openxmlformats.org/officeDocument/2006/relationships/hyperlink" Target="https://constructor.brusnika.ru/object-module/construction-structures/project-solution-groups/35fefcbd-8d39-4930-b7f1-f31910b06da1/1104?version=1" TargetMode="External"/><Relationship Id="rId144" Type="http://schemas.openxmlformats.org/officeDocument/2006/relationships/hyperlink" Target="https://constructor.brusnika.ru/object-module/construction-structures/project-solution-groups/35fefcbd-8d39-4930-b7f1-f31910b06da1/1104?version=1" TargetMode="External"/><Relationship Id="rId90" Type="http://schemas.openxmlformats.org/officeDocument/2006/relationships/hyperlink" Target="https://constructor.brusnika.ru/object-module/principled-decisions/project-solution-groups/32511909-1e50-4dcd-aa3c-b7ad52cafef6/233?version=4" TargetMode="External"/><Relationship Id="rId165" Type="http://schemas.openxmlformats.org/officeDocument/2006/relationships/hyperlink" Target="https://constructor.brusnika.ru/object-module/construction-structures/project-solution-groups/3917d088-3438-498e-99f3-6736dd70440e/179?version=6" TargetMode="External"/><Relationship Id="rId186" Type="http://schemas.openxmlformats.org/officeDocument/2006/relationships/hyperlink" Target="https://constructor.brusnika.ru/object-module/construction-structures/project-solution-groups/a19a477d-48e3-4078-8770-479c2c1699cc/1035?version=1" TargetMode="External"/><Relationship Id="rId211" Type="http://schemas.openxmlformats.org/officeDocument/2006/relationships/hyperlink" Target="https://constructor.brusnika.ru/object-module/construction-structures/project-solution-groups/35fefcbd-8d39-4930-b7f1-f31910b06da1/1104?version=1" TargetMode="External"/><Relationship Id="rId232" Type="http://schemas.openxmlformats.org/officeDocument/2006/relationships/hyperlink" Target="https://constructor.brusnika.ru/object-module/construction-structures/project-solution-groups/35fefcbd-8d39-4930-b7f1-f31910b06da1/1104?version=1" TargetMode="External"/><Relationship Id="rId253" Type="http://schemas.openxmlformats.org/officeDocument/2006/relationships/hyperlink" Target="https://constructor.brusnika.ru/object-module/construction-structures/project-solution-groups/26e3f7e3-f412-4a69-a3fc-1d0399fb3546/63?version=4" TargetMode="External"/><Relationship Id="rId274" Type="http://schemas.openxmlformats.org/officeDocument/2006/relationships/hyperlink" Target="https://constructor.brusnika.ru/object-module/principled-decisions/project-solution-groups/4b7522fe-4d0b-4b87-a576-f435a7d45196/360?version=2" TargetMode="External"/><Relationship Id="rId27" Type="http://schemas.openxmlformats.org/officeDocument/2006/relationships/hyperlink" Target="https://constructor.brusnika.ru/object-module/principled-decisions/project-solution-groups/bcb43ca7-d18a-4c45-828a-c62c951b90dd/361?version=5" TargetMode="External"/><Relationship Id="rId48" Type="http://schemas.openxmlformats.org/officeDocument/2006/relationships/hyperlink" Target="https://constructor.brusnika.ru/object-module/construction-structures/project-solution-groups/3753653b-6fc7-4d0f-8017-79d61e5cc684/474?version=4" TargetMode="External"/><Relationship Id="rId69" Type="http://schemas.openxmlformats.org/officeDocument/2006/relationships/hyperlink" Target="https://constructor.brusnika.ru/object-module/construction-structures/project-solution-groups/3753653b-6fc7-4d0f-8017-79d61e5cc684/474?version=4" TargetMode="External"/><Relationship Id="rId113" Type="http://schemas.openxmlformats.org/officeDocument/2006/relationships/hyperlink" Target="https://constructor.brusnika.ru/object-module/construction-structures/project-solution-groups/f8850f64-db9d-47b1-9c7b-5b7c621126a7/1102?version=1" TargetMode="External"/><Relationship Id="rId134" Type="http://schemas.openxmlformats.org/officeDocument/2006/relationships/hyperlink" Target="https://constructor.brusnika.ru/object-module/construction-structures/project-solution-groups/b89b4b81-3186-46b9-9fd9-f0031d8a98d4/217" TargetMode="External"/><Relationship Id="rId80" Type="http://schemas.openxmlformats.org/officeDocument/2006/relationships/hyperlink" Target="https://constructor.brusnika.ru/object-module/construction-structures/project-solution-groups/752a433f-afbf-469e-898b-1d3da7d40ef1/863?version=1" TargetMode="External"/><Relationship Id="rId155" Type="http://schemas.openxmlformats.org/officeDocument/2006/relationships/hyperlink" Target="https://constructor.brusnika.ru/object-module/construction-structures/project-solution-groups/591d321d-6cef-4439-b955-c83dd0cd86b8/757?version=8" TargetMode="External"/><Relationship Id="rId176" Type="http://schemas.openxmlformats.org/officeDocument/2006/relationships/hyperlink" Target="https://constructor.brusnika.ru/object-module/construction-structures/project-solution-groups/74d3c9de-270f-4ccd-86a8-bba151b2a635/1103?version=1" TargetMode="External"/><Relationship Id="rId197" Type="http://schemas.openxmlformats.org/officeDocument/2006/relationships/hyperlink" Target="https://constructor.brusnika.ru/object-module/construction-structures/project-solution-groups/74d3c9de-270f-4ccd-86a8-bba151b2a635/1103?version=1" TargetMode="External"/><Relationship Id="rId201" Type="http://schemas.openxmlformats.org/officeDocument/2006/relationships/hyperlink" Target="https://constructor.brusnika.ru/object-module/construction-structures/project-solution-groups/b89b4b81-3186-46b9-9fd9-f0031d8a98d4/217" TargetMode="External"/><Relationship Id="rId222" Type="http://schemas.openxmlformats.org/officeDocument/2006/relationships/hyperlink" Target="https://constructor.brusnika.ru/object-module/construction-structures/project-solution-groups/b89b4b81-3186-46b9-9fd9-f0031d8a98d4/217" TargetMode="External"/><Relationship Id="rId243" Type="http://schemas.openxmlformats.org/officeDocument/2006/relationships/hyperlink" Target="https://constructor.brusnika.ru/object-module/construction-structures/project-solution-groups/591d321d-6cef-4439-b955-c83dd0cd86b8/758?version=6" TargetMode="External"/><Relationship Id="rId264" Type="http://schemas.openxmlformats.org/officeDocument/2006/relationships/hyperlink" Target="https://constructor.brusnika.ru/object-module/principled-decisions/project-solution-groups/f90847ab-f2de-421e-b9f0-9f69f6c6c562/460?version=1" TargetMode="External"/><Relationship Id="rId17" Type="http://schemas.openxmlformats.org/officeDocument/2006/relationships/hyperlink" Target="https://constructor.brusnika.ru/object-module/principled-decisions/project-solution-groups/f472917e-e70f-4437-950c-6f19a182e9d0/493?version=1" TargetMode="External"/><Relationship Id="rId38" Type="http://schemas.openxmlformats.org/officeDocument/2006/relationships/hyperlink" Target="https://constructor.brusnika.ru/object-module/principled-decisions/project-solution-groups/bcb43ca7-d18a-4c45-828a-c62c951b90dd/429?version=1" TargetMode="External"/><Relationship Id="rId59" Type="http://schemas.openxmlformats.org/officeDocument/2006/relationships/hyperlink" Target="https://constructor.brusnika.ru/object-module/construction-structures/project-solution-groups/752a433f-afbf-469e-898b-1d3da7d40ef1/276?version=2" TargetMode="External"/><Relationship Id="rId103" Type="http://schemas.openxmlformats.org/officeDocument/2006/relationships/hyperlink" Target="https://constructor.brusnika.ru/object-module/construction-structures/project-solution-groups/eeeea7eb-a9c1-42ad-9f79-b3038711be61/115?version=1" TargetMode="External"/><Relationship Id="rId124" Type="http://schemas.openxmlformats.org/officeDocument/2006/relationships/hyperlink" Target="https://constructor.brusnika.ru/object-module/construction-structures/project-solution-groups/7b9674d8-20d5-431b-98af-db4fa0736191/1105?version=1" TargetMode="External"/><Relationship Id="rId70" Type="http://schemas.openxmlformats.org/officeDocument/2006/relationships/hyperlink" Target="https://constructor.brusnika.ru/object-module/principled-decisions/project-solution-groups/6af722ac-b8d9-4c24-ac2c-ba2f5a3f5c79/477?version=2" TargetMode="External"/><Relationship Id="rId91" Type="http://schemas.openxmlformats.org/officeDocument/2006/relationships/hyperlink" Target="https://constructor.brusnika.ru/object-module/principled-decisions/project-solution-groups/32511909-1e50-4dcd-aa3c-b7ad52cafef6/400?version=1" TargetMode="External"/><Relationship Id="rId145" Type="http://schemas.openxmlformats.org/officeDocument/2006/relationships/hyperlink" Target="https://constructor.brusnika.ru/object-module/construction-structures/project-solution-groups/35fefcbd-8d39-4930-b7f1-f31910b06da1/1104?version=1" TargetMode="External"/><Relationship Id="rId166" Type="http://schemas.openxmlformats.org/officeDocument/2006/relationships/hyperlink" Target="https://constructor.brusnika.ru/object-module/construction-structures/project-solution-groups/3917d088-3438-498e-99f3-6736dd70440e/180?version=5" TargetMode="External"/><Relationship Id="rId187" Type="http://schemas.openxmlformats.org/officeDocument/2006/relationships/hyperlink" Target="https://constructor.brusnika.ru/object-module/construction-structures/project-solution-groups/3917d088-3438-498e-99f3-6736dd70440e/179?version=6" TargetMode="External"/><Relationship Id="rId1" Type="http://schemas.openxmlformats.org/officeDocument/2006/relationships/hyperlink" Target="https://constructor.brusnika.ru/object-module/principled-decisions/project-solution-groups/bcb43ca7-d18a-4c45-828a-c62c951b90dd/411?version=2" TargetMode="External"/><Relationship Id="rId212" Type="http://schemas.openxmlformats.org/officeDocument/2006/relationships/hyperlink" Target="https://constructor.brusnika.ru/object-module/construction-structures/project-solution-groups/35fefcbd-8d39-4930-b7f1-f31910b06da1/1104?version=1" TargetMode="External"/><Relationship Id="rId233" Type="http://schemas.openxmlformats.org/officeDocument/2006/relationships/hyperlink" Target="https://constructor.brusnika.ru/object-module/construction-structures/project-solution-groups/35fefcbd-8d39-4930-b7f1-f31910b06da1/1104?version=1" TargetMode="External"/><Relationship Id="rId254" Type="http://schemas.openxmlformats.org/officeDocument/2006/relationships/hyperlink" Target="https://constructor.brusnika.ru/object-module/construction-structures/project-solution-groups/26e3f7e3-f412-4a69-a3fc-1d0399fb3546/63?version=4" TargetMode="External"/><Relationship Id="rId28" Type="http://schemas.openxmlformats.org/officeDocument/2006/relationships/hyperlink" Target="https://constructor.brusnika.ru/object-module/principled-decisions/project-solution-groups/bcb43ca7-d18a-4c45-828a-c62c951b90dd/362?version=2" TargetMode="External"/><Relationship Id="rId49" Type="http://schemas.openxmlformats.org/officeDocument/2006/relationships/hyperlink" Target="https://constructor.brusnika.ru/object-module/principled-decisions/project-solution-groups/6af722ac-b8d9-4c24-ac2c-ba2f5a3f5c79/477?version=2" TargetMode="External"/><Relationship Id="rId114" Type="http://schemas.openxmlformats.org/officeDocument/2006/relationships/hyperlink" Target="https://constructor.brusnika.ru/object-module/construction-structures/project-solution-groups/4e22e041-0df2-47d0-a7f1-1fbe007e89e5/904?version=3" TargetMode="External"/><Relationship Id="rId275" Type="http://schemas.openxmlformats.org/officeDocument/2006/relationships/vmlDrawing" Target="../drawings/vmlDrawing1.vml"/><Relationship Id="rId60" Type="http://schemas.openxmlformats.org/officeDocument/2006/relationships/hyperlink" Target="https://constructor.brusnika.ru/object-module/construction-structures/project-solution-groups/3753653b-6fc7-4d0f-8017-79d61e5cc684/474?version=4" TargetMode="External"/><Relationship Id="rId81" Type="http://schemas.openxmlformats.org/officeDocument/2006/relationships/hyperlink" Target="https://constructor.brusnika.ru/object-module/construction-structures/project-solution-groups/3753653b-6fc7-4d0f-8017-79d61e5cc684/474?version=4" TargetMode="External"/><Relationship Id="rId135" Type="http://schemas.openxmlformats.org/officeDocument/2006/relationships/hyperlink" Target="https://constructor.brusnika.ru/object-module/construction-structures/project-solution-groups/c4be2051-5353-45ca-916b-25632d62ded1/1050?version=1" TargetMode="External"/><Relationship Id="rId156" Type="http://schemas.openxmlformats.org/officeDocument/2006/relationships/hyperlink" Target="https://constructor.brusnika.ru/object-module/construction-structures/project-solution-groups/591d321d-6cef-4439-b955-c83dd0cd86b8/758?version=6" TargetMode="External"/><Relationship Id="rId177" Type="http://schemas.openxmlformats.org/officeDocument/2006/relationships/hyperlink" Target="https://constructor.brusnika.ru/object-module/construction-structures/project-solution-groups/591d321d-6cef-4439-b955-c83dd0cd86b8/571?version=5" TargetMode="External"/><Relationship Id="rId198" Type="http://schemas.openxmlformats.org/officeDocument/2006/relationships/hyperlink" Target="https://constructor.brusnika.ru/object-module/construction-structures/project-solution-groups/74d3c9de-270f-4ccd-86a8-bba151b2a635/1103?version=1" TargetMode="External"/><Relationship Id="rId202" Type="http://schemas.openxmlformats.org/officeDocument/2006/relationships/hyperlink" Target="https://constructor.brusnika.ru/object-module/construction-structures/project-solution-groups/c4be2051-5353-45ca-916b-25632d62ded1/1050?version=1" TargetMode="External"/><Relationship Id="rId223" Type="http://schemas.openxmlformats.org/officeDocument/2006/relationships/hyperlink" Target="https://constructor.brusnika.ru/object-module/construction-structures/project-solution-groups/c4be2051-5353-45ca-916b-25632d62ded1/1050?version=1" TargetMode="External"/><Relationship Id="rId244" Type="http://schemas.openxmlformats.org/officeDocument/2006/relationships/hyperlink" Target="https://constructor.brusnika.ru/object-module/construction-structures/project-solution-groups/b89b4b81-3186-46b9-9fd9-f0031d8a98d4/217" TargetMode="External"/><Relationship Id="rId18" Type="http://schemas.openxmlformats.org/officeDocument/2006/relationships/hyperlink" Target="https://constructor.brusnika.ru/object-module/principled-decisions/project-solution-groups/bcb43ca7-d18a-4c45-828a-c62c951b90dd/369?version=2" TargetMode="External"/><Relationship Id="rId39" Type="http://schemas.openxmlformats.org/officeDocument/2006/relationships/hyperlink" Target="https://constructor.brusnika.ru/object-module/principled-decisions/project-solution-groups/bcb43ca7-d18a-4c45-828a-c62c951b90dd/430?version=2" TargetMode="External"/><Relationship Id="rId265" Type="http://schemas.openxmlformats.org/officeDocument/2006/relationships/hyperlink" Target="https://constructor.brusnika.ru/object-module/principled-decisions/project-solution-groups/f90847ab-f2de-421e-b9f0-9f69f6c6c562/466?version=1" TargetMode="External"/><Relationship Id="rId50" Type="http://schemas.openxmlformats.org/officeDocument/2006/relationships/hyperlink" Target="https://constructor.brusnika.ru/object-module/construction-structures/project-solution-groups/752a433f-afbf-469e-898b-1d3da7d40ef1/276?version=2" TargetMode="External"/><Relationship Id="rId104" Type="http://schemas.openxmlformats.org/officeDocument/2006/relationships/hyperlink" Target="https://constructor.brusnika.ru/object-module/construction-structures/project-solution-groups/eeeea7eb-a9c1-42ad-9f79-b3038711be61/116?version=1" TargetMode="External"/><Relationship Id="rId125" Type="http://schemas.openxmlformats.org/officeDocument/2006/relationships/hyperlink" Target="https://constructor.brusnika.ru/object-module/construction-structures/project-solution-groups/0ad53bf3-2abf-4af3-9bab-4eb78ff9e06b/1106?version=1" TargetMode="External"/><Relationship Id="rId146" Type="http://schemas.openxmlformats.org/officeDocument/2006/relationships/hyperlink" Target="https://constructor.brusnika.ru/object-module/construction-structures/project-solution-groups/35fefcbd-8d39-4930-b7f1-f31910b06da1/1104?version=1" TargetMode="External"/><Relationship Id="rId167" Type="http://schemas.openxmlformats.org/officeDocument/2006/relationships/hyperlink" Target="https://constructor.brusnika.ru/object-module/construction-structures/project-solution-groups/35fefcbd-8d39-4930-b7f1-f31910b06da1/1104?version=1" TargetMode="External"/><Relationship Id="rId188" Type="http://schemas.openxmlformats.org/officeDocument/2006/relationships/hyperlink" Target="https://constructor.brusnika.ru/object-module/construction-structures/project-solution-groups/3917d088-3438-498e-99f3-6736dd70440e/180?version=5" TargetMode="External"/><Relationship Id="rId71" Type="http://schemas.openxmlformats.org/officeDocument/2006/relationships/hyperlink" Target="https://constructor.brusnika.ru/object-module/construction-structures/project-solution-groups/752a433f-afbf-469e-898b-1d3da7d40ef1/863?version=1" TargetMode="External"/><Relationship Id="rId92" Type="http://schemas.openxmlformats.org/officeDocument/2006/relationships/hyperlink" Target="https://constructor.brusnika.ru/object-module/principled-decisions/project-solution-groups/10518926-b0d4-43e0-b52e-ac62a0ce727d/171" TargetMode="External"/><Relationship Id="rId213" Type="http://schemas.openxmlformats.org/officeDocument/2006/relationships/hyperlink" Target="https://constructor.brusnika.ru/object-module/construction-structures/project-solution-groups/35fefcbd-8d39-4930-b7f1-f31910b06da1/1104?version=1" TargetMode="External"/><Relationship Id="rId234" Type="http://schemas.openxmlformats.org/officeDocument/2006/relationships/hyperlink" Target="https://constructor.brusnika.ru/object-module/construction-structures/project-solution-groups/35fefcbd-8d39-4930-b7f1-f31910b06da1/1104?version=1" TargetMode="External"/><Relationship Id="rId2" Type="http://schemas.openxmlformats.org/officeDocument/2006/relationships/hyperlink" Target="https://constructor.brusnika.ru/object-module/principled-decisions/project-solution-groups/bcb43ca7-d18a-4c45-828a-c62c951b90dd/255?version=3" TargetMode="External"/><Relationship Id="rId29" Type="http://schemas.openxmlformats.org/officeDocument/2006/relationships/hyperlink" Target="https://constructor.brusnika.ru/object-module/principled-decisions/project-solution-groups/bcb43ca7-d18a-4c45-828a-c62c951b90dd/370?version=3" TargetMode="External"/><Relationship Id="rId255" Type="http://schemas.openxmlformats.org/officeDocument/2006/relationships/hyperlink" Target="https://constructor.brusnika.ru/object-module/principled-decisions/project-solution-groups/bcb43ca7-d18a-4c45-828a-c62c951b90dd/432?version=1" TargetMode="External"/><Relationship Id="rId276" Type="http://schemas.openxmlformats.org/officeDocument/2006/relationships/comments" Target="../comments1.xml"/><Relationship Id="rId40" Type="http://schemas.openxmlformats.org/officeDocument/2006/relationships/hyperlink" Target="https://constructor.brusnika.ru/object-module/principled-decisions/project-solution-groups/333bf17d-7204-480f-9d11-b0179e279d2b/481?version=1" TargetMode="External"/><Relationship Id="rId115" Type="http://schemas.openxmlformats.org/officeDocument/2006/relationships/hyperlink" Target="https://constructor.brusnika.ru/object-module/construction-structures/project-solution-groups/4e22e041-0df2-47d0-a7f1-1fbe007e89e5/905?version=2" TargetMode="External"/><Relationship Id="rId136" Type="http://schemas.openxmlformats.org/officeDocument/2006/relationships/hyperlink" Target="https://constructor.brusnika.ru/object-module/principled-decisions/project-solution-groups/bcb43ca7-d18a-4c45-828a-c62c951b90dd/461?version=2" TargetMode="External"/><Relationship Id="rId157" Type="http://schemas.openxmlformats.org/officeDocument/2006/relationships/hyperlink" Target="https://constructor.brusnika.ru/object-module/construction-structures/project-solution-groups/b89b4b81-3186-46b9-9fd9-f0031d8a98d4/217" TargetMode="External"/><Relationship Id="rId178" Type="http://schemas.openxmlformats.org/officeDocument/2006/relationships/hyperlink" Target="https://constructor.brusnika.ru/object-module/construction-structures/project-solution-groups/591d321d-6cef-4439-b955-c83dd0cd86b8/757?version=8" TargetMode="External"/><Relationship Id="rId61" Type="http://schemas.openxmlformats.org/officeDocument/2006/relationships/hyperlink" Target="https://constructor.brusnika.ru/object-module/principled-decisions/project-solution-groups/6af722ac-b8d9-4c24-ac2c-ba2f5a3f5c79/477?version=2" TargetMode="External"/><Relationship Id="rId82" Type="http://schemas.openxmlformats.org/officeDocument/2006/relationships/hyperlink" Target="https://constructor.brusnika.ru/object-module/principled-decisions/project-solution-groups/6af722ac-b8d9-4c24-ac2c-ba2f5a3f5c79/477?version=2" TargetMode="External"/><Relationship Id="rId199" Type="http://schemas.openxmlformats.org/officeDocument/2006/relationships/hyperlink" Target="https://constructor.brusnika.ru/object-module/construction-structures/project-solution-groups/591d321d-6cef-4439-b955-c83dd0cd86b8/571?version=5" TargetMode="External"/><Relationship Id="rId203" Type="http://schemas.openxmlformats.org/officeDocument/2006/relationships/hyperlink" Target="https://constructor.brusnika.ru/object-module/principled-decisions/project-solution-groups/bcb43ca7-d18a-4c45-828a-c62c951b90dd/461?version=2" TargetMode="External"/><Relationship Id="rId19" Type="http://schemas.openxmlformats.org/officeDocument/2006/relationships/hyperlink" Target="https://constructor.brusnika.ru/object-module/principled-decisions/project-solution-groups/bcb43ca7-d18a-4c45-828a-c62c951b90dd/408?version=2" TargetMode="External"/><Relationship Id="rId224" Type="http://schemas.openxmlformats.org/officeDocument/2006/relationships/hyperlink" Target="https://constructor.brusnika.ru/object-module/principled-decisions/project-solution-groups/bcb43ca7-d18a-4c45-828a-c62c951b90dd/461?version=2" TargetMode="External"/><Relationship Id="rId245" Type="http://schemas.openxmlformats.org/officeDocument/2006/relationships/hyperlink" Target="https://constructor.brusnika.ru/object-module/construction-structures/project-solution-groups/c4be2051-5353-45ca-916b-25632d62ded1/1050?version=1" TargetMode="External"/><Relationship Id="rId266" Type="http://schemas.openxmlformats.org/officeDocument/2006/relationships/hyperlink" Target="https://constructor.brusnika.ru/object-module/principled-decisions/project-solution-groups/f90847ab-f2de-421e-b9f0-9f69f6c6c562/467?version=1" TargetMode="External"/><Relationship Id="rId30" Type="http://schemas.openxmlformats.org/officeDocument/2006/relationships/hyperlink" Target="https://constructor.brusnika.ru/object-module/principled-decisions/project-solution-groups/bcb43ca7-d18a-4c45-828a-c62c951b90dd/371?version=3" TargetMode="External"/><Relationship Id="rId105" Type="http://schemas.openxmlformats.org/officeDocument/2006/relationships/hyperlink" Target="https://constructor.brusnika.ru/object-module/principled-decisions/project-solution-groups/380a4671-c818-4a39-adf5-62bbcc4ca284/440?version=1" TargetMode="External"/><Relationship Id="rId126" Type="http://schemas.openxmlformats.org/officeDocument/2006/relationships/hyperlink" Target="https://constructor.brusnika.ru/object-module/construction-structures/project-solution-groups/74d3c9de-270f-4ccd-86a8-bba151b2a635/1103?version=1" TargetMode="External"/><Relationship Id="rId147" Type="http://schemas.openxmlformats.org/officeDocument/2006/relationships/hyperlink" Target="https://constructor.brusnika.ru/object-module/construction-structures/project-solution-groups/35fefcbd-8d39-4930-b7f1-f31910b06da1/1104?version=1" TargetMode="External"/><Relationship Id="rId168" Type="http://schemas.openxmlformats.org/officeDocument/2006/relationships/hyperlink" Target="https://constructor.brusnika.ru/object-module/construction-structures/project-solution-groups/35fefcbd-8d39-4930-b7f1-f31910b06da1/1104?version=1" TargetMode="External"/><Relationship Id="rId51" Type="http://schemas.openxmlformats.org/officeDocument/2006/relationships/hyperlink" Target="https://constructor.brusnika.ru/object-module/construction-structures/project-solution-groups/3753653b-6fc7-4d0f-8017-79d61e5cc684/474?version=4" TargetMode="External"/><Relationship Id="rId72" Type="http://schemas.openxmlformats.org/officeDocument/2006/relationships/hyperlink" Target="https://constructor.brusnika.ru/object-module/construction-structures/project-solution-groups/3753653b-6fc7-4d0f-8017-79d61e5cc684/474?version=4" TargetMode="External"/><Relationship Id="rId93" Type="http://schemas.openxmlformats.org/officeDocument/2006/relationships/hyperlink" Target="https://constructor.brusnika.ru/object-module/principled-decisions/project-solution-groups/10518926-b0d4-43e0-b52e-ac62a0ce727d/174" TargetMode="External"/><Relationship Id="rId189" Type="http://schemas.openxmlformats.org/officeDocument/2006/relationships/hyperlink" Target="https://constructor.brusnika.ru/object-module/construction-structures/project-solution-groups/35fefcbd-8d39-4930-b7f1-f31910b06da1/1104?version=1" TargetMode="External"/><Relationship Id="rId3" Type="http://schemas.openxmlformats.org/officeDocument/2006/relationships/hyperlink" Target="https://constructor.brusnika.ru/object-module/principled-decisions/project-solution-groups/4c776d6b-3234-40f4-a6d2-72ae0ec5d2c6/470?version=1" TargetMode="External"/><Relationship Id="rId214" Type="http://schemas.openxmlformats.org/officeDocument/2006/relationships/hyperlink" Target="https://constructor.brusnika.ru/object-module/construction-structures/project-solution-groups/35fefcbd-8d39-4930-b7f1-f31910b06da1/1104?version=1" TargetMode="External"/><Relationship Id="rId235" Type="http://schemas.openxmlformats.org/officeDocument/2006/relationships/hyperlink" Target="https://constructor.brusnika.ru/object-module/construction-structures/project-solution-groups/35fefcbd-8d39-4930-b7f1-f31910b06da1/1104?version=1" TargetMode="External"/><Relationship Id="rId256" Type="http://schemas.openxmlformats.org/officeDocument/2006/relationships/hyperlink" Target="https://constructor.brusnika.ru/object-module/construction-nodes/project-documentations/unknown/21?version=12" TargetMode="External"/><Relationship Id="rId116" Type="http://schemas.openxmlformats.org/officeDocument/2006/relationships/hyperlink" Target="https://constructor.brusnika.ru/object-module/construction-structures/project-solution-groups/a19a477d-48e3-4078-8770-479c2c1699cc/1035?version=1" TargetMode="External"/><Relationship Id="rId137" Type="http://schemas.openxmlformats.org/officeDocument/2006/relationships/hyperlink" Target="https://constructor.brusnika.ru/object-module/construction-structures/project-solution-groups/2838c65e-2b8e-4e35-aeca-0680f2be768c/174?version=4" TargetMode="External"/><Relationship Id="rId158" Type="http://schemas.openxmlformats.org/officeDocument/2006/relationships/hyperlink" Target="https://constructor.brusnika.ru/object-module/construction-structures/project-solution-groups/c4be2051-5353-45ca-916b-25632d62ded1/1050?version=1" TargetMode="External"/><Relationship Id="rId20" Type="http://schemas.openxmlformats.org/officeDocument/2006/relationships/hyperlink" Target="https://constructor.brusnika.ru/object-module/principled-decisions/project-solution-groups/bcb43ca7-d18a-4c45-828a-c62c951b90dd/409?version=2" TargetMode="External"/><Relationship Id="rId41" Type="http://schemas.openxmlformats.org/officeDocument/2006/relationships/hyperlink" Target="https://constructor.brusnika.ru/object-module/principled-decisions/project-solution-groups/bcb43ca7-d18a-4c45-828a-c62c951b90dd/404?version=1" TargetMode="External"/><Relationship Id="rId62" Type="http://schemas.openxmlformats.org/officeDocument/2006/relationships/hyperlink" Target="https://constructor.brusnika.ru/object-module/construction-structures/project-solution-groups/752a433f-afbf-469e-898b-1d3da7d40ef1/276?version=2" TargetMode="External"/><Relationship Id="rId83" Type="http://schemas.openxmlformats.org/officeDocument/2006/relationships/hyperlink" Target="https://constructor.brusnika.ru/object-module/construction-structures/project-solution-groups/752a433f-afbf-469e-898b-1d3da7d40ef1/863?version=1" TargetMode="External"/><Relationship Id="rId179" Type="http://schemas.openxmlformats.org/officeDocument/2006/relationships/hyperlink" Target="https://constructor.brusnika.ru/object-module/construction-structures/project-solution-groups/591d321d-6cef-4439-b955-c83dd0cd86b8/758?version=6" TargetMode="External"/><Relationship Id="rId190" Type="http://schemas.openxmlformats.org/officeDocument/2006/relationships/hyperlink" Target="https://constructor.brusnika.ru/object-module/construction-structures/project-solution-groups/35fefcbd-8d39-4930-b7f1-f31910b06da1/1104?version=1" TargetMode="External"/><Relationship Id="rId204" Type="http://schemas.openxmlformats.org/officeDocument/2006/relationships/hyperlink" Target="https://constructor.brusnika.ru/object-module/construction-structures/project-solution-groups/2838c65e-2b8e-4e35-aeca-0680f2be768c/174?version=4" TargetMode="External"/><Relationship Id="rId225" Type="http://schemas.openxmlformats.org/officeDocument/2006/relationships/hyperlink" Target="https://constructor.brusnika.ru/object-module/construction-structures/project-solution-groups/2838c65e-2b8e-4e35-aeca-0680f2be768c/174?version=4" TargetMode="External"/><Relationship Id="rId246" Type="http://schemas.openxmlformats.org/officeDocument/2006/relationships/hyperlink" Target="https://constructor.brusnika.ru/object-module/principled-decisions/project-solution-groups/bcb43ca7-d18a-4c45-828a-c62c951b90dd/461?version=2" TargetMode="External"/><Relationship Id="rId267" Type="http://schemas.openxmlformats.org/officeDocument/2006/relationships/hyperlink" Target="https://constructor.brusnika.ru/object-module/principled-decisions/project-solution-groups/f90847ab-f2de-421e-b9f0-9f69f6c6c562/468?version=1" TargetMode="External"/><Relationship Id="rId106" Type="http://schemas.openxmlformats.org/officeDocument/2006/relationships/hyperlink" Target="https://constructor.brusnika.ru/object-module/principled-decisions/project-solution-groups/1fafc35f-de80-4a3c-abf1-231d695a8701/471?version=1" TargetMode="External"/><Relationship Id="rId127" Type="http://schemas.openxmlformats.org/officeDocument/2006/relationships/hyperlink" Target="https://constructor.brusnika.ru/object-module/construction-structures/project-solution-groups/74d3c9de-270f-4ccd-86a8-bba151b2a635/1103?version=1" TargetMode="External"/><Relationship Id="rId10" Type="http://schemas.openxmlformats.org/officeDocument/2006/relationships/hyperlink" Target="https://constructor.brusnika.ru/object-module/principled-decisions/project-solution-groups/f472917e-e70f-4437-950c-6f19a182e9d0/486?version=1" TargetMode="External"/><Relationship Id="rId31" Type="http://schemas.openxmlformats.org/officeDocument/2006/relationships/hyperlink" Target="https://constructor.brusnika.ru/object-module/principled-decisions/project-solution-groups/bcb43ca7-d18a-4c45-828a-c62c951b90dd/423?version=1" TargetMode="External"/><Relationship Id="rId52" Type="http://schemas.openxmlformats.org/officeDocument/2006/relationships/hyperlink" Target="https://constructor.brusnika.ru/object-module/principled-decisions/project-solution-groups/6af722ac-b8d9-4c24-ac2c-ba2f5a3f5c79/477?version=2" TargetMode="External"/><Relationship Id="rId73" Type="http://schemas.openxmlformats.org/officeDocument/2006/relationships/hyperlink" Target="https://constructor.brusnika.ru/object-module/principled-decisions/project-solution-groups/6af722ac-b8d9-4c24-ac2c-ba2f5a3f5c79/477?version=2" TargetMode="External"/><Relationship Id="rId94" Type="http://schemas.openxmlformats.org/officeDocument/2006/relationships/hyperlink" Target="https://constructor.brusnika.ru/object-module/construction-structures/project-solution-groups/e312f6ac-2c46-4017-a1aa-8c838a46fa22/515?version=2" TargetMode="External"/><Relationship Id="rId148" Type="http://schemas.openxmlformats.org/officeDocument/2006/relationships/hyperlink" Target="https://constructor.brusnika.ru/object-module/construction-structures/project-solution-groups/35fefcbd-8d39-4930-b7f1-f31910b06da1/1104?version=1" TargetMode="External"/><Relationship Id="rId169" Type="http://schemas.openxmlformats.org/officeDocument/2006/relationships/hyperlink" Target="https://constructor.brusnika.ru/object-module/construction-structures/project-solution-groups/35fefcbd-8d39-4930-b7f1-f31910b06da1/1104?version=1" TargetMode="External"/><Relationship Id="rId4" Type="http://schemas.openxmlformats.org/officeDocument/2006/relationships/hyperlink" Target="https://constructor.brusnika.ru/object-module/principled-decisions/project-solution-groups/bcb43ca7-d18a-4c45-828a-c62c951b90dd/294?archiveCode=223-03-04-V01" TargetMode="External"/><Relationship Id="rId180" Type="http://schemas.openxmlformats.org/officeDocument/2006/relationships/hyperlink" Target="https://constructor.brusnika.ru/object-module/construction-structures/project-solution-groups/b89b4b81-3186-46b9-9fd9-f0031d8a98d4/217" TargetMode="External"/><Relationship Id="rId215" Type="http://schemas.openxmlformats.org/officeDocument/2006/relationships/hyperlink" Target="https://constructor.brusnika.ru/object-module/construction-structures/project-solution-groups/7b9674d8-20d5-431b-98af-db4fa0736191/1105?version=1" TargetMode="External"/><Relationship Id="rId236" Type="http://schemas.openxmlformats.org/officeDocument/2006/relationships/hyperlink" Target="https://constructor.brusnika.ru/object-module/construction-structures/project-solution-groups/7b9674d8-20d5-431b-98af-db4fa0736191/1105?version=1" TargetMode="External"/><Relationship Id="rId257" Type="http://schemas.openxmlformats.org/officeDocument/2006/relationships/hyperlink" Target="https://constructor.brusnika.ru/object-module/construction-nodes/project-documentations/unknown/20?version=15" TargetMode="External"/><Relationship Id="rId42" Type="http://schemas.openxmlformats.org/officeDocument/2006/relationships/hyperlink" Target="https://constructor.brusnika.ru/object-module/principled-decisions/project-solution-groups/bcb43ca7-d18a-4c45-828a-c62c951b90dd/432?version=1" TargetMode="External"/><Relationship Id="rId84" Type="http://schemas.openxmlformats.org/officeDocument/2006/relationships/hyperlink" Target="https://constructor.brusnika.ru/object-module/construction-structures/project-solution-groups/3753653b-6fc7-4d0f-8017-79d61e5cc684/474?version=4" TargetMode="External"/><Relationship Id="rId138" Type="http://schemas.openxmlformats.org/officeDocument/2006/relationships/hyperlink" Target="https://constructor.brusnika.ru/object-module/construction-structures/project-solution-groups/f8850f64-db9d-47b1-9c7b-5b7c621126a7/1102?version=1" TargetMode="External"/><Relationship Id="rId191" Type="http://schemas.openxmlformats.org/officeDocument/2006/relationships/hyperlink" Target="https://constructor.brusnika.ru/object-module/construction-structures/project-solution-groups/35fefcbd-8d39-4930-b7f1-f31910b06da1/1104?version=1" TargetMode="External"/><Relationship Id="rId205" Type="http://schemas.openxmlformats.org/officeDocument/2006/relationships/hyperlink" Target="https://constructor.brusnika.ru/object-module/construction-structures/project-solution-groups/f8850f64-db9d-47b1-9c7b-5b7c621126a7/1102?version=1" TargetMode="External"/><Relationship Id="rId247" Type="http://schemas.openxmlformats.org/officeDocument/2006/relationships/hyperlink" Target="https://constructor.brusnika.ru/object-module/construction-structures/project-solution-groups/2838c65e-2b8e-4e35-aeca-0680f2be768c/174?version=4" TargetMode="External"/><Relationship Id="rId107" Type="http://schemas.openxmlformats.org/officeDocument/2006/relationships/hyperlink" Target="https://constructor.brusnika.ru/object-module/principled-decisions/project-solution-groups/1fafc35f-de80-4a3c-abf1-231d695a8701/472?version=1" TargetMode="External"/><Relationship Id="rId11" Type="http://schemas.openxmlformats.org/officeDocument/2006/relationships/hyperlink" Target="https://constructor.brusnika.ru/object-module/principled-decisions/project-solution-groups/f472917e-e70f-4437-950c-6f19a182e9d0/487?version=1" TargetMode="External"/><Relationship Id="rId53" Type="http://schemas.openxmlformats.org/officeDocument/2006/relationships/hyperlink" Target="https://constructor.brusnika.ru/object-module/construction-structures/project-solution-groups/752a433f-afbf-469e-898b-1d3da7d40ef1/276?version=2" TargetMode="External"/><Relationship Id="rId149" Type="http://schemas.openxmlformats.org/officeDocument/2006/relationships/hyperlink" Target="https://constructor.brusnika.ru/object-module/construction-structures/project-solution-groups/7b9674d8-20d5-431b-98af-db4fa0736191/1105?version=1" TargetMode="External"/></Relationships>
</file>

<file path=xl/worksheets/_rels/sheet5.xml.rels><?xml version="1.0" encoding="UTF-8" standalone="yes"?>
<Relationships xmlns="http://schemas.openxmlformats.org/package/2006/relationships"><Relationship Id="rId26" Type="http://schemas.openxmlformats.org/officeDocument/2006/relationships/hyperlink" Target="https://constructor.brusnika.ru/object-module/principled-decisions/project-solution-groups/fc279583-2c82-4ea3-8309-7bad6a747ef3/2813?version=5" TargetMode="External"/><Relationship Id="rId21" Type="http://schemas.openxmlformats.org/officeDocument/2006/relationships/hyperlink" Target="https://constructor.brusnika.ru/object-module/principled-decisions/project-solution-groups/7f517705-bb45-47d4-af11-7372c2ad3bf4/3728?version=1" TargetMode="External"/><Relationship Id="rId42" Type="http://schemas.openxmlformats.org/officeDocument/2006/relationships/hyperlink" Target="https://constructor.brusnika.ru/object-module/principled-decisions/project-solution-groups/314feade-56ae-481c-893d-faada104fa43/3372" TargetMode="External"/><Relationship Id="rId47" Type="http://schemas.openxmlformats.org/officeDocument/2006/relationships/hyperlink" Target="https://constructor.brusnika.ru/object-module/principled-decisions/project-solution-groups/f9cccf2c-ab56-4fa2-bce5-09cbc44758e8/3420?version=1" TargetMode="External"/><Relationship Id="rId63" Type="http://schemas.openxmlformats.org/officeDocument/2006/relationships/hyperlink" Target="https://constructor.brusnika.ru/object-module/principled-decisions/project-solution-groups/12e2b3b3-8e6d-4a4b-a71e-4c2e26cd3e28/3513?version=2" TargetMode="External"/><Relationship Id="rId68" Type="http://schemas.openxmlformats.org/officeDocument/2006/relationships/hyperlink" Target="https://constructor.brusnika.ru/object-module/principled-decisions/project-solution-groups/df151d60-daaa-4c0a-899c-cca0a05b4903/3536" TargetMode="External"/><Relationship Id="rId16" Type="http://schemas.openxmlformats.org/officeDocument/2006/relationships/hyperlink" Target="https://constructor.brusnika.ru/object-module/principled-decisions/project-solution-groups/2bf34450-10b9-4133-bf4d-d8090c8d7688/477" TargetMode="External"/><Relationship Id="rId11" Type="http://schemas.openxmlformats.org/officeDocument/2006/relationships/hyperlink" Target="https://constructor.brusnika.ru/object-module/principled-decisions/project-solution-groups/7f517705-bb45-47d4-af11-7372c2ad3bf4/2854?version=2" TargetMode="External"/><Relationship Id="rId24" Type="http://schemas.openxmlformats.org/officeDocument/2006/relationships/hyperlink" Target="https://constructor.brusnika.ru/object-module/principled-decisions/project-solution-groups/2c6c91ef-0f44-4f17-b48d-ce95dfb03120/2608?version=1" TargetMode="External"/><Relationship Id="rId32" Type="http://schemas.openxmlformats.org/officeDocument/2006/relationships/hyperlink" Target="https://constructor.brusnika.ru/object-module/principled-decisions/project-solution-groups/01c5c480-02f0-4f83-86a8-60bf7f513bae/2599?version=2" TargetMode="External"/><Relationship Id="rId37" Type="http://schemas.openxmlformats.org/officeDocument/2006/relationships/hyperlink" Target="https://constructor.brusnika.ru/object-module/principled-decisions/project-solution-groups/d30645b8-2ef2-4e34-876f-6d3ce77dbd14/3283?version=1" TargetMode="External"/><Relationship Id="rId40" Type="http://schemas.openxmlformats.org/officeDocument/2006/relationships/hyperlink" Target="https://constructor.brusnika.ru/object-module/principled-decisions/project-solution-groups/57892c69-a3ea-4fa8-8bcf-fa8c1391fef0/3322?version=2" TargetMode="External"/><Relationship Id="rId45" Type="http://schemas.openxmlformats.org/officeDocument/2006/relationships/hyperlink" Target="https://constructor.brusnika.ru/object-module/principled-decisions/project-solution-groups/6f54c887-70e8-4f8d-a03d-e86c02678e02/3409?version=2" TargetMode="External"/><Relationship Id="rId53" Type="http://schemas.openxmlformats.org/officeDocument/2006/relationships/hyperlink" Target="https://constructor.brusnika.ru/object-module/principled-decisions/project-solution-groups/5faa806b-cb5c-477a-91e6-483f5477203b/139" TargetMode="External"/><Relationship Id="rId58" Type="http://schemas.openxmlformats.org/officeDocument/2006/relationships/hyperlink" Target="https://constructor.brusnika.ru/object-module/principled-decisions/project-solution-groups/25faccbc-8860-45ec-99c7-94bea5d40926/3494?version=1" TargetMode="External"/><Relationship Id="rId66" Type="http://schemas.openxmlformats.org/officeDocument/2006/relationships/hyperlink" Target="https://constructor.brusnika.ru/object-module/principled-decisions/project-solution-groups/df151d60-daaa-4c0a-899c-cca0a05b4903/3534" TargetMode="External"/><Relationship Id="rId74" Type="http://schemas.openxmlformats.org/officeDocument/2006/relationships/hyperlink" Target="https://constructor.brusnika.ru/object-module/principled-decisions/project-solution-groups/709b84c4-e9e6-46ea-869c-1cc1237ffda1/3580" TargetMode="External"/><Relationship Id="rId5" Type="http://schemas.openxmlformats.org/officeDocument/2006/relationships/hyperlink" Target="https://constructor.brusnika.ru/object-module/principled-decisions/project-solution-groups/e744792a-aa43-4fa0-aced-b3bb0f4faadb/2605?version=4" TargetMode="External"/><Relationship Id="rId61" Type="http://schemas.openxmlformats.org/officeDocument/2006/relationships/hyperlink" Target="https://constructor.brusnika.ru/object-module/principled-decisions/project-solution-groups/80b48a2e-901b-4580-8cba-704f14d9b278/3369?version=1" TargetMode="External"/><Relationship Id="rId19" Type="http://schemas.openxmlformats.org/officeDocument/2006/relationships/hyperlink" Target="https://constructor.brusnika.ru/object-module/principled-decisions/project-solution-groups/5c3aa6ac-dfa0-4ce5-a9c6-882adc6ab6b7/2847?version=1" TargetMode="External"/><Relationship Id="rId14" Type="http://schemas.openxmlformats.org/officeDocument/2006/relationships/hyperlink" Target="https://constructor.brusnika.ru/object-module/principled-decisions/project-solution-groups/2bf34450-10b9-4133-bf4d-d8090c8d7688/477" TargetMode="External"/><Relationship Id="rId22" Type="http://schemas.openxmlformats.org/officeDocument/2006/relationships/hyperlink" Target="https://constructor.brusnika.ru/object-module/principled-decisions/project-solution-groups/7f517705-bb45-47d4-af11-7372c2ad3bf4/2851" TargetMode="External"/><Relationship Id="rId27" Type="http://schemas.openxmlformats.org/officeDocument/2006/relationships/hyperlink" Target="https://constructor.brusnika.ru/object-module/principled-decisions/project-solution-groups/1cbc9afd-d1fe-4ee0-8308-fbe747479cee/2578" TargetMode="External"/><Relationship Id="rId30" Type="http://schemas.openxmlformats.org/officeDocument/2006/relationships/hyperlink" Target="https://constructor.brusnika.ru/object-module/principled-decisions/project-solution-groups/bf3ca84e-e84b-4b98-add4-6b54864b9726/3137" TargetMode="External"/><Relationship Id="rId35" Type="http://schemas.openxmlformats.org/officeDocument/2006/relationships/hyperlink" Target="https://constructor.brusnika.ru/object-module/principled-decisions/project-solution-groups/fc279583-2c82-4ea3-8309-7bad6a747ef3/2836" TargetMode="External"/><Relationship Id="rId43" Type="http://schemas.openxmlformats.org/officeDocument/2006/relationships/hyperlink" Target="https://constructor.brusnika.ru/object-module/principled-decisions/project-solution-groups/35ded755-90da-484b-afe9-9b6d27bafcac/3703?version=1" TargetMode="External"/><Relationship Id="rId48" Type="http://schemas.openxmlformats.org/officeDocument/2006/relationships/hyperlink" Target="https://constructor.brusnika.ru/object-module/principled-decisions/project-solution-groups/f9cccf2c-ab56-4fa2-bce5-09cbc44758e8/3424?version=1" TargetMode="External"/><Relationship Id="rId56" Type="http://schemas.openxmlformats.org/officeDocument/2006/relationships/hyperlink" Target="https://constructor.brusnika.ru/object-module/principled-decisions/project-solution-groups/0846c3c7-1398-46de-a44e-d2ca867ec834/3704?version=3" TargetMode="External"/><Relationship Id="rId64" Type="http://schemas.openxmlformats.org/officeDocument/2006/relationships/hyperlink" Target="https://constructor.brusnika.ru/object-module/principled-decisions/project-solution-groups/1ca4dbb0-0929-4a91-878c-2e1d806f1efc/3515?version=1" TargetMode="External"/><Relationship Id="rId69" Type="http://schemas.openxmlformats.org/officeDocument/2006/relationships/hyperlink" Target="https://constructor.brusnika.ru/object-module/principled-decisions/project-solution-groups/ca360771-385f-45db-b569-956c3093faab/3529?version=2" TargetMode="External"/><Relationship Id="rId77" Type="http://schemas.openxmlformats.org/officeDocument/2006/relationships/hyperlink" Target="https://constructor.brusnika.ru/object-module/principled-decisions/project-solution-groups/37181cf4-557c-4284-b409-58dd2ade2384/3599?version=1" TargetMode="External"/><Relationship Id="rId8" Type="http://schemas.openxmlformats.org/officeDocument/2006/relationships/hyperlink" Target="https://constructor.brusnika.ru/object-module/principled-decisions/project-solution-groups/7f517705-bb45-47d4-af11-7372c2ad3bf4/2855?version=2" TargetMode="External"/><Relationship Id="rId51" Type="http://schemas.openxmlformats.org/officeDocument/2006/relationships/hyperlink" Target="https://constructor.brusnika.ru/object-module/principled-decisions/project-solution-groups/5faa806b-cb5c-477a-91e6-483f5477203b/139" TargetMode="External"/><Relationship Id="rId72" Type="http://schemas.openxmlformats.org/officeDocument/2006/relationships/hyperlink" Target="https://constructor.brusnika.ru/object-module/principled-decisions/project-solution-groups/8a1ef2f1-400a-4eb3-af77-ae36d174d969/3567" TargetMode="External"/><Relationship Id="rId3" Type="http://schemas.openxmlformats.org/officeDocument/2006/relationships/hyperlink" Target="https://constructor.brusnika.ru/object-module/principled-decisions/project-solution-groups/94a52525-c00b-410c-b6ec-23207a2da9b5/2539?version=1" TargetMode="External"/><Relationship Id="rId12" Type="http://schemas.openxmlformats.org/officeDocument/2006/relationships/hyperlink" Target="https://constructor.brusnika.ru/object-module/principled-decisions/project-solution-groups/7f517705-bb45-47d4-af11-7372c2ad3bf4/2855" TargetMode="External"/><Relationship Id="rId17" Type="http://schemas.openxmlformats.org/officeDocument/2006/relationships/hyperlink" Target="https://constructor.brusnika.ru/object-module/principled-decisions/project-solution-groups/2bf34450-10b9-4133-bf4d-d8090c8d7688/477" TargetMode="External"/><Relationship Id="rId25" Type="http://schemas.openxmlformats.org/officeDocument/2006/relationships/hyperlink" Target="https://constructor.brusnika.ru/object-module/principled-decisions/project-solution-groups/fc279583-2c82-4ea3-8309-7bad6a747ef3/2972?version=2" TargetMode="External"/><Relationship Id="rId33" Type="http://schemas.openxmlformats.org/officeDocument/2006/relationships/hyperlink" Target="https://constructor.brusnika.ru/object-module/principled-decisions/project-solution-groups/76ce6ece-0335-4719-8cce-65edad34fb31/3295" TargetMode="External"/><Relationship Id="rId38" Type="http://schemas.openxmlformats.org/officeDocument/2006/relationships/hyperlink" Target="https://constructor.brusnika.ru/object-module/principled-decisions/project-solution-groups/e6ab6f08-a5a4-4c31-8130-158d9dea1af5/3329?version=1" TargetMode="External"/><Relationship Id="rId46" Type="http://schemas.openxmlformats.org/officeDocument/2006/relationships/hyperlink" Target="https://constructor.brusnika.ru/object-module/principled-decisions/project-solution-groups/def1c4de-c460-4f1d-b8e1-8441d220ccec/3414?version=1" TargetMode="External"/><Relationship Id="rId59" Type="http://schemas.openxmlformats.org/officeDocument/2006/relationships/hyperlink" Target="https://constructor.brusnika.ru/object-module/principled-decisions/project-solution-groups/12f7f874-4a88-4851-8028-face18965a06/3705?version=2" TargetMode="External"/><Relationship Id="rId67" Type="http://schemas.openxmlformats.org/officeDocument/2006/relationships/hyperlink" Target="https://constructor.brusnika.ru/object-module/principled-decisions/project-solution-groups/df151d60-daaa-4c0a-899c-cca0a05b4903/3534" TargetMode="External"/><Relationship Id="rId20" Type="http://schemas.openxmlformats.org/officeDocument/2006/relationships/hyperlink" Target="https://constructor.brusnika.ru/object-module/principled-decisions/project-solution-groups/5c3aa6ac-dfa0-4ce5-a9c6-882adc6ab6b7/2848?version=1" TargetMode="External"/><Relationship Id="rId41" Type="http://schemas.openxmlformats.org/officeDocument/2006/relationships/hyperlink" Target="https://constructor.brusnika.ru/object-module/principled-decisions/project-solution-groups/314feade-56ae-481c-893d-faada104fa43/3372" TargetMode="External"/><Relationship Id="rId54" Type="http://schemas.openxmlformats.org/officeDocument/2006/relationships/hyperlink" Target="https://constructor.brusnika.ru/object-module/principled-decisions/project-solution-groups/5faa806b-cb5c-477a-91e6-483f5477203b/139" TargetMode="External"/><Relationship Id="rId62" Type="http://schemas.openxmlformats.org/officeDocument/2006/relationships/hyperlink" Target="https://constructor.brusnika.ru/object-module/principled-decisions/project-solution-groups/31a3cf4c-9e42-4832-860e-92fe2bc996ef/3511?version=2" TargetMode="External"/><Relationship Id="rId70" Type="http://schemas.openxmlformats.org/officeDocument/2006/relationships/hyperlink" Target="https://constructor.brusnika.ru/object-module/principled-decisions/project-solution-groups/2b355253-eecd-4823-8e2f-9c72d62ed217/3706?version=1" TargetMode="External"/><Relationship Id="rId75" Type="http://schemas.openxmlformats.org/officeDocument/2006/relationships/hyperlink" Target="https://constructor.brusnika.ru/object-module/principled-decisions/project-solution-groups/7f854998-2ba0-4bbf-b52b-d8f54bd2540b/3585" TargetMode="External"/><Relationship Id="rId1" Type="http://schemas.openxmlformats.org/officeDocument/2006/relationships/hyperlink" Target="https://constructor.brusnika.ru/object-module/principled-decisions/project-solution-groups/97d8c11b-01a0-4633-8301-991fd69cf2fa/3622?version=5" TargetMode="External"/><Relationship Id="rId6" Type="http://schemas.openxmlformats.org/officeDocument/2006/relationships/hyperlink" Target="https://constructor.brusnika.ru/object-module/principled-decisions/project-solution-groups/e744792a-aa43-4fa0-aced-b3bb0f4faadb/2606?version=4" TargetMode="External"/><Relationship Id="rId15" Type="http://schemas.openxmlformats.org/officeDocument/2006/relationships/hyperlink" Target="https://constructor.brusnika.ru/object-module/principled-decisions/project-solution-groups/2bf34450-10b9-4133-bf4d-d8090c8d7688/477" TargetMode="External"/><Relationship Id="rId23" Type="http://schemas.openxmlformats.org/officeDocument/2006/relationships/hyperlink" Target="https://constructor.brusnika.ru/object-module/principled-decisions/project-solution-groups/7f517705-bb45-47d4-af11-7372c2ad3bf4/2851" TargetMode="External"/><Relationship Id="rId28" Type="http://schemas.openxmlformats.org/officeDocument/2006/relationships/hyperlink" Target="https://constructor.brusnika.ru/object-module/principled-decisions/project-solution-groups/bf3ca84e-e84b-4b98-add4-6b54864b9726/3137" TargetMode="External"/><Relationship Id="rId36" Type="http://schemas.openxmlformats.org/officeDocument/2006/relationships/hyperlink" Target="https://constructor.brusnika.ru/object-module/principled-decisions/project-solution-groups/4be730dd-121f-48f8-ae80-604bc353ca2c/3279?version=1" TargetMode="External"/><Relationship Id="rId49" Type="http://schemas.openxmlformats.org/officeDocument/2006/relationships/hyperlink" Target="https://constructor.brusnika.ru/object-module/principled-decisions/project-solution-groups/a22c7221-7cde-403b-bec9-394887e5d220/3432?version=2" TargetMode="External"/><Relationship Id="rId57" Type="http://schemas.openxmlformats.org/officeDocument/2006/relationships/hyperlink" Target="https://constructor.brusnika.ru/object-module/principled-decisions/project-solution-groups/9306a28e-d785-4f4f-89bd-a78dde0f0c2f/3492?version=2" TargetMode="External"/><Relationship Id="rId10" Type="http://schemas.openxmlformats.org/officeDocument/2006/relationships/hyperlink" Target="https://constructor.brusnika.ru/object-module/principled-decisions/project-solution-groups/01c5c480-02f0-4f83-86a8-60bf7f513bae/2599" TargetMode="External"/><Relationship Id="rId31" Type="http://schemas.openxmlformats.org/officeDocument/2006/relationships/hyperlink" Target="https://constructor.brusnika.ru/object-module/principled-decisions/project-solution-groups/bf3ca84e-e84b-4b98-add4-6b54864b9726/3137" TargetMode="External"/><Relationship Id="rId44" Type="http://schemas.openxmlformats.org/officeDocument/2006/relationships/hyperlink" Target="https://constructor.brusnika.ru/object-module/principled-decisions/project-solution-groups/6276fcaa-d7d5-409e-88bd-737a04c21797/3404?version=1" TargetMode="External"/><Relationship Id="rId52" Type="http://schemas.openxmlformats.org/officeDocument/2006/relationships/hyperlink" Target="https://constructor.brusnika.ru/object-module/principled-decisions/project-solution-groups/5faa806b-cb5c-477a-91e6-483f5477203b/139" TargetMode="External"/><Relationship Id="rId60" Type="http://schemas.openxmlformats.org/officeDocument/2006/relationships/hyperlink" Target="https://constructor.brusnika.ru/object-module/principled-decisions/project-solution-groups/12f7f874-4a88-4851-8028-face18965a06/3505?version=1" TargetMode="External"/><Relationship Id="rId65" Type="http://schemas.openxmlformats.org/officeDocument/2006/relationships/hyperlink" Target="https://constructor.brusnika.ru/object-module/principled-decisions/project-solution-groups/41ea100d-762c-4df7-91e1-b405a7f6ba24/2613?version=2" TargetMode="External"/><Relationship Id="rId73" Type="http://schemas.openxmlformats.org/officeDocument/2006/relationships/hyperlink" Target="https://constructor.brusnika.ru/object-module/principled-decisions/project-solution-groups/d9808ba3-5836-4ac7-aecf-ba97d264916f/3572" TargetMode="External"/><Relationship Id="rId4" Type="http://schemas.openxmlformats.org/officeDocument/2006/relationships/hyperlink" Target="https://constructor.brusnika.ru/object-module/principled-decisions/project-solution-groups/e744792a-aa43-4fa0-aced-b3bb0f4faadb/2603?version=4" TargetMode="External"/><Relationship Id="rId9" Type="http://schemas.openxmlformats.org/officeDocument/2006/relationships/hyperlink" Target="https://constructor.brusnika.ru/object-module/principled-decisions/project-solution-groups/01c5c480-02f0-4f83-86a8-60bf7f513bae/2599" TargetMode="External"/><Relationship Id="rId13" Type="http://schemas.openxmlformats.org/officeDocument/2006/relationships/hyperlink" Target="https://constructor.brusnika.ru/object-module/principled-decisions/project-solution-groups/7f517705-bb45-47d4-af11-7372c2ad3bf4/2855" TargetMode="External"/><Relationship Id="rId18" Type="http://schemas.openxmlformats.org/officeDocument/2006/relationships/hyperlink" Target="https://constructor.brusnika.ru/object-module/principled-decisions/project-solution-groups/899dda0b-cd61-48f1-aeb3-1b2d1b9838cd/2829" TargetMode="External"/><Relationship Id="rId39" Type="http://schemas.openxmlformats.org/officeDocument/2006/relationships/hyperlink" Target="https://constructor.brusnika.ru/object-module/principled-decisions/project-solution-groups/5046c14f-acad-45f3-a6f8-d58c27f0ad55/3339?version=2" TargetMode="External"/><Relationship Id="rId34" Type="http://schemas.openxmlformats.org/officeDocument/2006/relationships/hyperlink" Target="https://constructor.brusnika.ru/object-module/principled-decisions/project-solution-groups/93a41d46-ace2-4672-8b93-425f394169dd/3106" TargetMode="External"/><Relationship Id="rId50" Type="http://schemas.openxmlformats.org/officeDocument/2006/relationships/hyperlink" Target="https://constructor.brusnika.ru/object-module/principled-decisions/project-solution-groups/a22c7221-7cde-403b-bec9-394887e5d220/3437?version=2" TargetMode="External"/><Relationship Id="rId55" Type="http://schemas.openxmlformats.org/officeDocument/2006/relationships/hyperlink" Target="https://constructor.brusnika.ru/object-module/principled-decisions/project-solution-groups/6f3ef02e-1dc2-46f5-bc5a-7c9d1252b45a/3461?version=1" TargetMode="External"/><Relationship Id="rId76" Type="http://schemas.openxmlformats.org/officeDocument/2006/relationships/hyperlink" Target="https://constructor.brusnika.ru/object-module/principled-decisions/project-solution-groups/aacf9c42-646a-4850-a0ac-50951e8618e5/3593" TargetMode="External"/><Relationship Id="rId7" Type="http://schemas.openxmlformats.org/officeDocument/2006/relationships/hyperlink" Target="https://constructor.brusnika.ru/object-module/principled-decisions/project-solution-groups/2bf34450-10b9-4133-bf4d-d8090c8d7688/477?version=2" TargetMode="External"/><Relationship Id="rId71" Type="http://schemas.openxmlformats.org/officeDocument/2006/relationships/hyperlink" Target="https://constructor.brusnika.ru/object-module/principled-decisions/project-solution-groups/2f574c6c-1818-4f6a-8768-3e5cc7ab582e/3561" TargetMode="External"/><Relationship Id="rId2" Type="http://schemas.openxmlformats.org/officeDocument/2006/relationships/hyperlink" Target="https://constructor.brusnika.ru/object-module/principled-decisions/project-solution-groups/64e55300-6ea1-437e-98df-e6c8d81467e5/3627?version=2" TargetMode="External"/><Relationship Id="rId29" Type="http://schemas.openxmlformats.org/officeDocument/2006/relationships/hyperlink" Target="https://constructor.brusnika.ru/object-module/principled-decisions/project-solution-groups/333bf17d-7204-480f-9d11-b0179e279d2b/369" TargetMode="External"/></Relationships>
</file>

<file path=xl/worksheets/_rels/sheet6.xml.rels><?xml version="1.0" encoding="UTF-8" standalone="yes"?>
<Relationships xmlns="http://schemas.openxmlformats.org/package/2006/relationships"><Relationship Id="rId13" Type="http://schemas.openxmlformats.org/officeDocument/2006/relationships/hyperlink" Target="https://clck.ru/38kLjB" TargetMode="External"/><Relationship Id="rId18" Type="http://schemas.openxmlformats.org/officeDocument/2006/relationships/hyperlink" Target="https://clck.ru/38kNNg" TargetMode="External"/><Relationship Id="rId26" Type="http://schemas.openxmlformats.org/officeDocument/2006/relationships/hyperlink" Target="https://clck.ru/38kXzZ" TargetMode="External"/><Relationship Id="rId39" Type="http://schemas.openxmlformats.org/officeDocument/2006/relationships/hyperlink" Target="https://clck.ru/38kdgz" TargetMode="External"/><Relationship Id="rId21" Type="http://schemas.openxmlformats.org/officeDocument/2006/relationships/hyperlink" Target="https://clck.ru/38pmRi" TargetMode="External"/><Relationship Id="rId34" Type="http://schemas.openxmlformats.org/officeDocument/2006/relationships/hyperlink" Target="https://clck.ru/3947cj" TargetMode="External"/><Relationship Id="rId42" Type="http://schemas.openxmlformats.org/officeDocument/2006/relationships/hyperlink" Target="https://clck.ru/38pp9L" TargetMode="External"/><Relationship Id="rId47" Type="http://schemas.openxmlformats.org/officeDocument/2006/relationships/hyperlink" Target="https://clck.ru/393sT4" TargetMode="External"/><Relationship Id="rId50" Type="http://schemas.openxmlformats.org/officeDocument/2006/relationships/hyperlink" Target="https://clck.ru/393t3d" TargetMode="External"/><Relationship Id="rId7" Type="http://schemas.openxmlformats.org/officeDocument/2006/relationships/hyperlink" Target="https://clck.ru/39aAVa" TargetMode="External"/><Relationship Id="rId2" Type="http://schemas.openxmlformats.org/officeDocument/2006/relationships/hyperlink" Target="https://clck.ru/39ZCPL" TargetMode="External"/><Relationship Id="rId16" Type="http://schemas.openxmlformats.org/officeDocument/2006/relationships/hyperlink" Target="https://clck.ru/38kMLX" TargetMode="External"/><Relationship Id="rId29" Type="http://schemas.openxmlformats.org/officeDocument/2006/relationships/hyperlink" Target="https://clck.ru/38PzzP" TargetMode="External"/><Relationship Id="rId11" Type="http://schemas.openxmlformats.org/officeDocument/2006/relationships/hyperlink" Target="https://clck.ru/38kKCL" TargetMode="External"/><Relationship Id="rId24" Type="http://schemas.openxmlformats.org/officeDocument/2006/relationships/hyperlink" Target="https://clck.ru/38Q2rH" TargetMode="External"/><Relationship Id="rId32" Type="http://schemas.openxmlformats.org/officeDocument/2006/relationships/hyperlink" Target="https://clck.ru/3947zM" TargetMode="External"/><Relationship Id="rId37" Type="http://schemas.openxmlformats.org/officeDocument/2006/relationships/hyperlink" Target="https://clck.ru/38kdLs" TargetMode="External"/><Relationship Id="rId40" Type="http://schemas.openxmlformats.org/officeDocument/2006/relationships/hyperlink" Target="https://clck.ru/38kdob" TargetMode="External"/><Relationship Id="rId45" Type="http://schemas.openxmlformats.org/officeDocument/2006/relationships/hyperlink" Target="https://clck.ru/393sGS" TargetMode="External"/><Relationship Id="rId53" Type="http://schemas.openxmlformats.org/officeDocument/2006/relationships/hyperlink" Target="https://clck.ru/3945nd" TargetMode="External"/><Relationship Id="rId5" Type="http://schemas.openxmlformats.org/officeDocument/2006/relationships/hyperlink" Target="https://clck.ru/39a98Z" TargetMode="External"/><Relationship Id="rId10" Type="http://schemas.openxmlformats.org/officeDocument/2006/relationships/hyperlink" Target="https://clck.ru/38kKWH" TargetMode="External"/><Relationship Id="rId19" Type="http://schemas.openxmlformats.org/officeDocument/2006/relationships/hyperlink" Target="https://clck.ru/38y6Zs" TargetMode="External"/><Relationship Id="rId31" Type="http://schemas.openxmlformats.org/officeDocument/2006/relationships/hyperlink" Target="https://clck.ru/39486m" TargetMode="External"/><Relationship Id="rId44" Type="http://schemas.openxmlformats.org/officeDocument/2006/relationships/hyperlink" Target="https://clck.ru/38r3aT" TargetMode="External"/><Relationship Id="rId52" Type="http://schemas.openxmlformats.org/officeDocument/2006/relationships/hyperlink" Target="https://clck.ru/3945jD" TargetMode="External"/><Relationship Id="rId4" Type="http://schemas.openxmlformats.org/officeDocument/2006/relationships/hyperlink" Target="https://clck.ru/39a92H" TargetMode="External"/><Relationship Id="rId9" Type="http://schemas.openxmlformats.org/officeDocument/2006/relationships/hyperlink" Target="https://clck.ru/38kJg7" TargetMode="External"/><Relationship Id="rId14" Type="http://schemas.openxmlformats.org/officeDocument/2006/relationships/hyperlink" Target="https://clck.ru/38kLz9" TargetMode="External"/><Relationship Id="rId22" Type="http://schemas.openxmlformats.org/officeDocument/2006/relationships/hyperlink" Target="https://clck.ru/38kXHX" TargetMode="External"/><Relationship Id="rId27" Type="http://schemas.openxmlformats.org/officeDocument/2006/relationships/hyperlink" Target="https://clck.ru/38kY8a" TargetMode="External"/><Relationship Id="rId30" Type="http://schemas.openxmlformats.org/officeDocument/2006/relationships/hyperlink" Target="https://clck.ru/38Q2Xa" TargetMode="External"/><Relationship Id="rId35" Type="http://schemas.openxmlformats.org/officeDocument/2006/relationships/hyperlink" Target="https://clck.ru/393rvM" TargetMode="External"/><Relationship Id="rId43" Type="http://schemas.openxmlformats.org/officeDocument/2006/relationships/hyperlink" Target="https://clck.ru/38r3Pv" TargetMode="External"/><Relationship Id="rId48" Type="http://schemas.openxmlformats.org/officeDocument/2006/relationships/hyperlink" Target="https://clck.ru/393sdK" TargetMode="External"/><Relationship Id="rId8" Type="http://schemas.openxmlformats.org/officeDocument/2006/relationships/hyperlink" Target="https://clck.ru/38kJL9" TargetMode="External"/><Relationship Id="rId51" Type="http://schemas.openxmlformats.org/officeDocument/2006/relationships/hyperlink" Target="https://clck.ru/3945ey" TargetMode="External"/><Relationship Id="rId3" Type="http://schemas.openxmlformats.org/officeDocument/2006/relationships/hyperlink" Target="https://clck.ru/39a8yC" TargetMode="External"/><Relationship Id="rId12" Type="http://schemas.openxmlformats.org/officeDocument/2006/relationships/hyperlink" Target="https://clck.ru/38kLHN" TargetMode="External"/><Relationship Id="rId17" Type="http://schemas.openxmlformats.org/officeDocument/2006/relationships/hyperlink" Target="https://clck.ru/36vCoZ" TargetMode="External"/><Relationship Id="rId25" Type="http://schemas.openxmlformats.org/officeDocument/2006/relationships/hyperlink" Target="https://clck.ru/38Q33e" TargetMode="External"/><Relationship Id="rId33" Type="http://schemas.openxmlformats.org/officeDocument/2006/relationships/hyperlink" Target="https://clck.ru/3947iu" TargetMode="External"/><Relationship Id="rId38" Type="http://schemas.openxmlformats.org/officeDocument/2006/relationships/hyperlink" Target="https://clck.ru/38kdQx" TargetMode="External"/><Relationship Id="rId46" Type="http://schemas.openxmlformats.org/officeDocument/2006/relationships/hyperlink" Target="https://clck.ru/393sMo" TargetMode="External"/><Relationship Id="rId20" Type="http://schemas.openxmlformats.org/officeDocument/2006/relationships/hyperlink" Target="https://clck.ru/38y6LA" TargetMode="External"/><Relationship Id="rId41" Type="http://schemas.openxmlformats.org/officeDocument/2006/relationships/hyperlink" Target="https://clck.ru/38r2HR" TargetMode="External"/><Relationship Id="rId1" Type="http://schemas.openxmlformats.org/officeDocument/2006/relationships/hyperlink" Target="https://clck.ru/39ZC8o" TargetMode="External"/><Relationship Id="rId6" Type="http://schemas.openxmlformats.org/officeDocument/2006/relationships/hyperlink" Target="https://clck.ru/39a9D5" TargetMode="External"/><Relationship Id="rId15" Type="http://schemas.openxmlformats.org/officeDocument/2006/relationships/hyperlink" Target="https://clck.ru/38kM3S" TargetMode="External"/><Relationship Id="rId23" Type="http://schemas.openxmlformats.org/officeDocument/2006/relationships/hyperlink" Target="https://clck.ru/38Q2gP" TargetMode="External"/><Relationship Id="rId28" Type="http://schemas.openxmlformats.org/officeDocument/2006/relationships/hyperlink" Target="https://clck.ru/38Q2PW" TargetMode="External"/><Relationship Id="rId36" Type="http://schemas.openxmlformats.org/officeDocument/2006/relationships/hyperlink" Target="https://clck.ru/38kdFC" TargetMode="External"/><Relationship Id="rId49" Type="http://schemas.openxmlformats.org/officeDocument/2006/relationships/hyperlink" Target="https://clck.ru/393stK"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outlinePr summaryBelow="0" summaryRight="0"/>
  </sheetPr>
  <dimension ref="A1:Y270"/>
  <sheetViews>
    <sheetView workbookViewId="0">
      <selection sqref="A1:E1"/>
    </sheetView>
  </sheetViews>
  <sheetFormatPr defaultColWidth="12.6640625" defaultRowHeight="15.75" customHeight="1"/>
  <cols>
    <col min="1" max="1" width="6.44140625" customWidth="1"/>
    <col min="2" max="2" width="25.109375" customWidth="1"/>
    <col min="3" max="3" width="15.77734375" customWidth="1"/>
    <col min="4" max="4" width="28.21875" customWidth="1"/>
    <col min="5" max="5" width="18.88671875" customWidth="1"/>
    <col min="6" max="25" width="12.6640625" hidden="1"/>
  </cols>
  <sheetData>
    <row r="1" spans="1:5" ht="13.2">
      <c r="A1" s="344" t="s">
        <v>0</v>
      </c>
      <c r="B1" s="345"/>
      <c r="C1" s="345"/>
      <c r="D1" s="345"/>
      <c r="E1" s="345"/>
    </row>
    <row r="2" spans="1:5" ht="13.2">
      <c r="A2" s="346" t="s">
        <v>1</v>
      </c>
      <c r="B2" s="345"/>
      <c r="C2" s="345"/>
      <c r="D2" s="345"/>
      <c r="E2" s="345"/>
    </row>
    <row r="3" spans="1:5" ht="13.2">
      <c r="A3" s="347" t="s">
        <v>2</v>
      </c>
      <c r="B3" s="345"/>
      <c r="C3" s="347" t="s">
        <v>3</v>
      </c>
      <c r="D3" s="345"/>
      <c r="E3" s="345"/>
    </row>
    <row r="4" spans="1:5" ht="13.2">
      <c r="A4" s="347" t="s">
        <v>4</v>
      </c>
      <c r="B4" s="345"/>
      <c r="C4" s="347" t="s">
        <v>5</v>
      </c>
      <c r="D4" s="345"/>
      <c r="E4" s="345"/>
    </row>
    <row r="5" spans="1:5" ht="13.2">
      <c r="A5" s="1"/>
      <c r="B5" s="2"/>
      <c r="C5" s="1"/>
      <c r="D5" s="1"/>
      <c r="E5" s="1"/>
    </row>
    <row r="6" spans="1:5" ht="13.2">
      <c r="A6" s="348" t="s">
        <v>6</v>
      </c>
      <c r="B6" s="345"/>
      <c r="C6" s="345"/>
      <c r="D6" s="345"/>
      <c r="E6" s="345"/>
    </row>
    <row r="7" spans="1:5" ht="13.2">
      <c r="A7" s="1"/>
      <c r="B7" s="2"/>
      <c r="C7" s="1"/>
      <c r="D7" s="1"/>
      <c r="E7" s="1"/>
    </row>
    <row r="8" spans="1:5" ht="30.6">
      <c r="A8" s="3" t="s">
        <v>7</v>
      </c>
      <c r="B8" s="3" t="s">
        <v>8</v>
      </c>
      <c r="C8" s="349" t="s">
        <v>9</v>
      </c>
      <c r="D8" s="350"/>
      <c r="E8" s="351"/>
    </row>
    <row r="9" spans="1:5" ht="16.5" customHeight="1">
      <c r="A9" s="352" t="s">
        <v>10</v>
      </c>
      <c r="B9" s="350"/>
      <c r="C9" s="350"/>
      <c r="D9" s="350"/>
      <c r="E9" s="351"/>
    </row>
    <row r="10" spans="1:5" ht="13.2">
      <c r="A10" s="352" t="s">
        <v>11</v>
      </c>
      <c r="B10" s="350"/>
      <c r="C10" s="350"/>
      <c r="D10" s="350"/>
      <c r="E10" s="351"/>
    </row>
    <row r="11" spans="1:5" ht="13.2">
      <c r="A11" s="4" t="s">
        <v>12</v>
      </c>
      <c r="B11" s="5" t="str">
        <f>HYPERLINK("https://constructor.brusnika.ru/object-module/principled-decisions/project-solution-groups/5cc19ed1-b3d6-407e-8a06-f4b3d2b6c9c6/2503?version=3", "Наименование этажей")</f>
        <v>Наименование этажей</v>
      </c>
      <c r="C11" s="353" t="s">
        <v>13</v>
      </c>
      <c r="D11" s="350"/>
      <c r="E11" s="351"/>
    </row>
    <row r="12" spans="1:5" ht="13.2">
      <c r="A12" s="4" t="s">
        <v>14</v>
      </c>
      <c r="B12" s="5" t="str">
        <f>HYPERLINK("https://constructor.brusnika.ru/object-module/principled-decisions/project-solution-groups/5cc19ed1-b3d6-407e-8a06-f4b3d2b6c9c6/2502?version=2", "Наименование помещений")</f>
        <v>Наименование помещений</v>
      </c>
      <c r="C12" s="353" t="s">
        <v>15</v>
      </c>
      <c r="D12" s="350"/>
      <c r="E12" s="351"/>
    </row>
    <row r="13" spans="1:5" ht="13.2">
      <c r="A13" s="354" t="s">
        <v>16</v>
      </c>
      <c r="B13" s="350"/>
      <c r="C13" s="350"/>
      <c r="D13" s="350"/>
      <c r="E13" s="351"/>
    </row>
    <row r="14" spans="1:5" ht="20.399999999999999">
      <c r="A14" s="4" t="s">
        <v>17</v>
      </c>
      <c r="B14" s="5" t="str">
        <f>HYPERLINK("https://constructor.brusnika.ru/object-module/principled-decisions/project-solution-groups/173f0f37-9b98-4b3c-90a4-15387b7c8d42/2504?version=3", "Определение пожарно-технической высоты здания до 75 м")</f>
        <v>Определение пожарно-технической высоты здания до 75 м</v>
      </c>
      <c r="C14" s="353" t="s">
        <v>18</v>
      </c>
      <c r="D14" s="350"/>
      <c r="E14" s="351"/>
    </row>
    <row r="15" spans="1:5" ht="40.799999999999997">
      <c r="A15" s="4" t="s">
        <v>19</v>
      </c>
      <c r="B15" s="6" t="s">
        <v>20</v>
      </c>
      <c r="C15" s="355" t="s">
        <v>21</v>
      </c>
      <c r="D15" s="350"/>
      <c r="E15" s="351"/>
    </row>
    <row r="16" spans="1:5" ht="40.799999999999997">
      <c r="A16" s="4" t="s">
        <v>22</v>
      </c>
      <c r="B16" s="7" t="s">
        <v>23</v>
      </c>
      <c r="C16" s="353" t="s">
        <v>24</v>
      </c>
      <c r="D16" s="350"/>
      <c r="E16" s="351"/>
    </row>
    <row r="17" spans="1:5" ht="51">
      <c r="A17" s="4" t="s">
        <v>25</v>
      </c>
      <c r="B17" s="5" t="str">
        <f>HYPERLINK("https://constructor.brusnika.ru/object-module/principled-decisions/project-solution-groups/9becccc6-7d10-44fb-9ebf-942c74046aaf/2516?version=1", "Принцип организации технического чердака с эксплуатируемой кровлей в секциях до 75 метров Екатеринбург, Новосибирск, Тюмень, Сургут, Омск, Курган")</f>
        <v>Принцип организации технического чердака с эксплуатируемой кровлей в секциях до 75 метров Екатеринбург, Новосибирск, Тюмень, Сургут, Омск, Курган</v>
      </c>
      <c r="C17" s="353" t="s">
        <v>26</v>
      </c>
      <c r="D17" s="350"/>
      <c r="E17" s="351"/>
    </row>
    <row r="18" spans="1:5" ht="51">
      <c r="A18" s="4" t="s">
        <v>27</v>
      </c>
      <c r="B18" s="5" t="str">
        <f>HYPERLINK("https://constructor.brusnika.ru/object-module/principled-decisions/project-solution-groups/9becccc6-7d10-44fb-9ebf-942c74046aaf/2509?version=1", "Принцип организации технического чердака с неэксплуатируемой кровлей в секциях до 100 метров Екатеринбург, Новосибирск, Тюмень, Сургут, Омск, Курган")</f>
        <v>Принцип организации технического чердака с неэксплуатируемой кровлей в секциях до 100 метров Екатеринбург, Новосибирск, Тюмень, Сургут, Омск, Курган</v>
      </c>
      <c r="C18" s="353" t="s">
        <v>28</v>
      </c>
      <c r="D18" s="350"/>
      <c r="E18" s="351"/>
    </row>
    <row r="19" spans="1:5" ht="13.2">
      <c r="A19" s="354" t="s">
        <v>29</v>
      </c>
      <c r="B19" s="350"/>
      <c r="C19" s="350"/>
      <c r="D19" s="350"/>
      <c r="E19" s="351"/>
    </row>
    <row r="20" spans="1:5" ht="30.6">
      <c r="A20" s="4" t="s">
        <v>30</v>
      </c>
      <c r="B20" s="8" t="s">
        <v>31</v>
      </c>
      <c r="C20" s="353" t="s">
        <v>32</v>
      </c>
      <c r="D20" s="350"/>
      <c r="E20" s="351"/>
    </row>
    <row r="21" spans="1:5" ht="13.2">
      <c r="A21" s="354" t="s">
        <v>33</v>
      </c>
      <c r="B21" s="350"/>
      <c r="C21" s="350"/>
      <c r="D21" s="350"/>
      <c r="E21" s="351"/>
    </row>
    <row r="22" spans="1:5" ht="30.6">
      <c r="A22" s="4" t="s">
        <v>34</v>
      </c>
      <c r="B22" s="5" t="str">
        <f>HYPERLINK("https://constructor.brusnika.ru/object-module/principled-decisions/project-solution-groups/5ea6013a-4aa7-440d-9438-f18e91c5d043/2534?version=3", "Размещение технических помещений кварталов нижнего этажа")</f>
        <v>Размещение технических помещений кварталов нижнего этажа</v>
      </c>
      <c r="C22" s="353" t="s">
        <v>35</v>
      </c>
      <c r="D22" s="350"/>
      <c r="E22" s="351"/>
    </row>
    <row r="23" spans="1:5" ht="13.2">
      <c r="A23" s="4" t="s">
        <v>36</v>
      </c>
      <c r="B23" s="5" t="str">
        <f>HYPERLINK("https://constructor.brusnika.ru/object-module/principled-decisions/project-solution-groups/cc6d1a66-e41b-4927-899d-ba7f0bc841fa/2535?version=1", "Общее коммерческие помещения")</f>
        <v>Общее коммерческие помещения</v>
      </c>
      <c r="C23" s="353" t="s">
        <v>37</v>
      </c>
      <c r="D23" s="350"/>
      <c r="E23" s="351"/>
    </row>
    <row r="24" spans="1:5" ht="13.2">
      <c r="A24" s="354" t="s">
        <v>38</v>
      </c>
      <c r="B24" s="350"/>
      <c r="C24" s="350"/>
      <c r="D24" s="350"/>
      <c r="E24" s="351"/>
    </row>
    <row r="25" spans="1:5" ht="13.2">
      <c r="A25" s="354" t="s">
        <v>39</v>
      </c>
      <c r="B25" s="350"/>
      <c r="C25" s="350"/>
      <c r="D25" s="350"/>
      <c r="E25" s="351"/>
    </row>
    <row r="26" spans="1:5" ht="13.2">
      <c r="A26" s="4" t="s">
        <v>40</v>
      </c>
      <c r="B26" s="5" t="str">
        <f>HYPERLINK("https://constructor.brusnika.ru/object-module/principled-decisions/project-solution-groups/34d84b00-287d-44cb-bdd2-7ce3d10999e3/2518?version=1", "Управляющая компания")</f>
        <v>Управляющая компания</v>
      </c>
      <c r="C26" s="353" t="s">
        <v>41</v>
      </c>
      <c r="D26" s="350"/>
      <c r="E26" s="351"/>
    </row>
    <row r="27" spans="1:5" ht="13.2">
      <c r="A27" s="354" t="s">
        <v>42</v>
      </c>
      <c r="B27" s="350"/>
      <c r="C27" s="350"/>
      <c r="D27" s="350"/>
      <c r="E27" s="351"/>
    </row>
    <row r="28" spans="1:5" ht="13.2">
      <c r="A28" s="354" t="s">
        <v>43</v>
      </c>
      <c r="B28" s="350"/>
      <c r="C28" s="350"/>
      <c r="D28" s="350"/>
      <c r="E28" s="351"/>
    </row>
    <row r="29" spans="1:5" ht="13.2">
      <c r="A29" s="354" t="s">
        <v>44</v>
      </c>
      <c r="B29" s="350"/>
      <c r="C29" s="350"/>
      <c r="D29" s="350"/>
      <c r="E29" s="351"/>
    </row>
    <row r="30" spans="1:5" ht="13.2">
      <c r="A30" s="4" t="s">
        <v>45</v>
      </c>
      <c r="B30" s="5" t="str">
        <f>HYPERLINK("https://constructor.brusnika.ru/object-module/principled-decisions/project-solution-groups/01c5c480-02f0-4f83-86a8-60bf7f513bae/2599?version=3", "Излом плит первого этажа")</f>
        <v>Излом плит первого этажа</v>
      </c>
      <c r="C30" s="353" t="s">
        <v>46</v>
      </c>
      <c r="D30" s="350"/>
      <c r="E30" s="351"/>
    </row>
    <row r="31" spans="1:5" ht="40.799999999999997">
      <c r="A31" s="4" t="s">
        <v>47</v>
      </c>
      <c r="B31" s="8" t="s">
        <v>48</v>
      </c>
      <c r="C31" s="353" t="s">
        <v>49</v>
      </c>
      <c r="D31" s="350"/>
      <c r="E31" s="351"/>
    </row>
    <row r="32" spans="1:5" ht="13.2">
      <c r="A32" s="4" t="s">
        <v>50</v>
      </c>
      <c r="B32" s="5" t="str">
        <f>HYPERLINK("https://constructor.brusnika.ru/object-module/principled-decisions/project-solution-groups/c4cc1051-4e75-44bd-9223-56e76120cf9a/2607?version=1", "Арка общие требования")</f>
        <v>Арка общие требования</v>
      </c>
      <c r="C32" s="353" t="s">
        <v>51</v>
      </c>
      <c r="D32" s="350"/>
      <c r="E32" s="351"/>
    </row>
    <row r="33" spans="1:5" ht="13.2">
      <c r="A33" s="4" t="s">
        <v>52</v>
      </c>
      <c r="B33" s="5" t="str">
        <f>HYPERLINK("https://constructor.brusnika.ru/object-module/principled-decisions/project-solution-groups/2c6c91ef-0f44-4f17-b48d-ce95dfb03120/2608?version=1", "Стандарт массинга")</f>
        <v>Стандарт массинга</v>
      </c>
      <c r="C33" s="353" t="s">
        <v>53</v>
      </c>
      <c r="D33" s="350"/>
      <c r="E33" s="351"/>
    </row>
    <row r="34" spans="1:5" ht="20.399999999999999">
      <c r="A34" s="4" t="s">
        <v>54</v>
      </c>
      <c r="B34" s="5" t="str">
        <f>HYPERLINK("https://constructor.brusnika.ru/object-module/principled-decisions/project-solution-groups/2c6c91ef-0f44-4f17-b48d-ce95dfb03120/2609?version=2", "Методика разработки архитектурного облика")</f>
        <v>Методика разработки архитектурного облика</v>
      </c>
      <c r="C34" s="353" t="s">
        <v>55</v>
      </c>
      <c r="D34" s="350"/>
      <c r="E34" s="351"/>
    </row>
    <row r="35" spans="1:5" ht="13.2">
      <c r="A35" s="4" t="s">
        <v>56</v>
      </c>
      <c r="B35" s="5" t="str">
        <f>HYPERLINK("https://constructor.brusnika.ru/object-module/principled-decisions/project-solution-groups/2c6c91ef-0f44-4f17-b48d-ce95dfb03120/2610?version=2", "Стандарт микромассинга СФТК")</f>
        <v>Стандарт микромассинга СФТК</v>
      </c>
      <c r="C35" s="353" t="s">
        <v>57</v>
      </c>
      <c r="D35" s="350"/>
      <c r="E35" s="351"/>
    </row>
    <row r="36" spans="1:5" ht="13.2">
      <c r="A36" s="4" t="s">
        <v>58</v>
      </c>
      <c r="B36" s="5" t="str">
        <f>HYPERLINK("https://constructor.brusnika.ru/object-module/principled-decisions/project-solution-groups/2c6c91ef-0f44-4f17-b48d-ce95dfb03120/2611?version=2", "Стандарт микромассинга НВФ")</f>
        <v>Стандарт микромассинга НВФ</v>
      </c>
      <c r="C36" s="356" t="s">
        <v>59</v>
      </c>
      <c r="D36" s="350"/>
      <c r="E36" s="351"/>
    </row>
    <row r="37" spans="1:5" ht="20.399999999999999">
      <c r="A37" s="4" t="s">
        <v>60</v>
      </c>
      <c r="B37" s="5" t="str">
        <f>HYPERLINK("https://constructor.brusnika.ru/object-module/principled-decisions/project-solution-groups/41ea100d-762c-4df7-91e1-b405a7f6ba24/2612?version=2", "Кондиционирование жилых помещений")</f>
        <v>Кондиционирование жилых помещений</v>
      </c>
      <c r="C37" s="353" t="s">
        <v>61</v>
      </c>
      <c r="D37" s="350"/>
      <c r="E37" s="351"/>
    </row>
    <row r="38" spans="1:5" ht="20.399999999999999">
      <c r="A38" s="4" t="s">
        <v>62</v>
      </c>
      <c r="B38" s="5" t="str">
        <f>HYPERLINK("https://constructor.brusnika.ru/object-module/principled-decisions/project-solution-groups/41ea100d-762c-4df7-91e1-b405a7f6ba24/2613?version=3", "Кондиционирование коммерческих помещений")</f>
        <v>Кондиционирование коммерческих помещений</v>
      </c>
      <c r="C38" s="353" t="s">
        <v>63</v>
      </c>
      <c r="D38" s="350"/>
      <c r="E38" s="351"/>
    </row>
    <row r="39" spans="1:5" ht="20.399999999999999">
      <c r="A39" s="4" t="s">
        <v>64</v>
      </c>
      <c r="B39" s="5" t="str">
        <f>HYPERLINK("https://constructor.brusnika.ru/object-module/principled-decisions/project-solution-groups/131d5c91-fc54-4bf3-97c6-b3d1c9760e47/2614?version=1", "Общие требования кладовых помещений")</f>
        <v>Общие требования кладовых помещений</v>
      </c>
      <c r="C39" s="353" t="s">
        <v>65</v>
      </c>
      <c r="D39" s="350"/>
      <c r="E39" s="351"/>
    </row>
    <row r="40" spans="1:5" ht="13.2">
      <c r="A40" s="354" t="s">
        <v>66</v>
      </c>
      <c r="B40" s="350"/>
      <c r="C40" s="350"/>
      <c r="D40" s="350"/>
      <c r="E40" s="351"/>
    </row>
    <row r="41" spans="1:5" ht="13.2">
      <c r="A41" s="4" t="s">
        <v>67</v>
      </c>
      <c r="B41" s="5" t="str">
        <f>HYPERLINK("https://constructor.brusnika.ru/object-module/principled-decisions/project-solution-groups/110f0e46-f1b6-4ce0-8465-8fe65a39191c/2615?version=1", "Общие требования зона МОП")</f>
        <v>Общие требования зона МОП</v>
      </c>
      <c r="C41" s="353" t="s">
        <v>68</v>
      </c>
      <c r="D41" s="350"/>
      <c r="E41" s="351"/>
    </row>
    <row r="42" spans="1:5" ht="20.399999999999999">
      <c r="A42" s="4" t="s">
        <v>69</v>
      </c>
      <c r="B42" s="5" t="str">
        <f>HYPERLINK("https://constructor.brusnika.ru/object-module/principled-decisions/project-solution-groups/110f0e46-f1b6-4ce0-8465-8fe65a39191c/2617?version=2", "Зона инженерно технических помещений")</f>
        <v>Зона инженерно технических помещений</v>
      </c>
      <c r="C42" s="356" t="s">
        <v>70</v>
      </c>
      <c r="D42" s="350"/>
      <c r="E42" s="351"/>
    </row>
    <row r="43" spans="1:5" ht="13.2">
      <c r="A43" s="4" t="s">
        <v>71</v>
      </c>
      <c r="B43" s="5" t="str">
        <f>HYPERLINK("https://constructor.brusnika.ru/object-module/principled-decisions/project-solution-groups/110f0e46-f1b6-4ce0-8465-8fe65a39191c/2618?version=1", "Зона ЛЛУ для секций до 28 метров")</f>
        <v>Зона ЛЛУ для секций до 28 метров</v>
      </c>
      <c r="C43" s="353" t="s">
        <v>72</v>
      </c>
      <c r="D43" s="350"/>
      <c r="E43" s="351"/>
    </row>
    <row r="44" spans="1:5" ht="20.399999999999999">
      <c r="A44" s="4" t="s">
        <v>73</v>
      </c>
      <c r="B44" s="5" t="str">
        <f>HYPERLINK("https://constructor.brusnika.ru/object-module/principled-decisions/project-solution-groups/110f0e46-f1b6-4ce0-8465-8fe65a39191c/2619?version=1", "Зона ЛЛУ для секций более 28 метров и менее 50 метров")</f>
        <v>Зона ЛЛУ для секций более 28 метров и менее 50 метров</v>
      </c>
      <c r="C44" s="353" t="s">
        <v>74</v>
      </c>
      <c r="D44" s="350"/>
      <c r="E44" s="351"/>
    </row>
    <row r="45" spans="1:5" ht="13.2">
      <c r="A45" s="4" t="s">
        <v>75</v>
      </c>
      <c r="B45" s="5" t="str">
        <f>HYPERLINK("https://constructor.brusnika.ru/object-module/principled-decisions/project-solution-groups/110f0e46-f1b6-4ce0-8465-8fe65a39191c/2621?version=1", "Технический чердак")</f>
        <v>Технический чердак</v>
      </c>
      <c r="C45" s="353" t="s">
        <v>76</v>
      </c>
      <c r="D45" s="350"/>
      <c r="E45" s="351"/>
    </row>
    <row r="46" spans="1:5" ht="13.2">
      <c r="A46" s="4" t="s">
        <v>77</v>
      </c>
      <c r="B46" s="5" t="str">
        <f>HYPERLINK("https://constructor.brusnika.ru/object-module/principled-decisions/project-solution-groups/110f0e46-f1b6-4ce0-8465-8fe65a39191c/2623?version=1", "Жилые надстройки")</f>
        <v>Жилые надстройки</v>
      </c>
      <c r="C46" s="353" t="s">
        <v>78</v>
      </c>
      <c r="D46" s="350"/>
      <c r="E46" s="351"/>
    </row>
    <row r="47" spans="1:5" ht="13.2">
      <c r="A47" s="4" t="s">
        <v>79</v>
      </c>
      <c r="B47" s="5" t="str">
        <f>HYPERLINK("https://constructor.brusnika.ru/object-module/principled-decisions/project-solution-groups/110f0e46-f1b6-4ce0-8465-8fe65a39191c/2624?version=1", "Коммерческие помещения")</f>
        <v>Коммерческие помещения</v>
      </c>
      <c r="C47" s="353" t="s">
        <v>80</v>
      </c>
      <c r="D47" s="350"/>
      <c r="E47" s="351"/>
    </row>
    <row r="48" spans="1:5" ht="13.2">
      <c r="A48" s="4" t="s">
        <v>81</v>
      </c>
      <c r="B48" s="5" t="str">
        <f>HYPERLINK("https://constructor.brusnika.ru/object-module/principled-decisions/project-solution-groups/91a188b4-c3c2-4fef-8140-9e8a2404c03f/2625?version=2", "Зонирование паркинга в 1 уровень")</f>
        <v>Зонирование паркинга в 1 уровень</v>
      </c>
      <c r="C48" s="356" t="s">
        <v>82</v>
      </c>
      <c r="D48" s="350"/>
      <c r="E48" s="351"/>
    </row>
    <row r="49" spans="1:5" ht="13.2">
      <c r="A49" s="4" t="s">
        <v>83</v>
      </c>
      <c r="B49" s="5" t="str">
        <f>HYPERLINK("https://constructor.brusnika.ru/object-module/principled-decisions/project-solution-groups/91a188b4-c3c2-4fef-8140-9e8a2404c03f/2627?version=2", "Водоприемные лотки в паркинге")</f>
        <v>Водоприемные лотки в паркинге</v>
      </c>
      <c r="C49" s="353" t="s">
        <v>84</v>
      </c>
      <c r="D49" s="350"/>
      <c r="E49" s="351"/>
    </row>
    <row r="50" spans="1:5" ht="13.2">
      <c r="A50" s="4" t="s">
        <v>85</v>
      </c>
      <c r="B50" s="5" t="str">
        <f>HYPERLINK("https://constructor.brusnika.ru/object-module/principled-decisions/project-solution-groups/fd8b7947-0106-4464-9332-58ff6914d50b/2597?version=1", "Зонирование нижнего этажа С28")</f>
        <v>Зонирование нижнего этажа С28</v>
      </c>
      <c r="C50" s="353" t="s">
        <v>86</v>
      </c>
      <c r="D50" s="350"/>
      <c r="E50" s="351"/>
    </row>
    <row r="51" spans="1:5" ht="20.399999999999999">
      <c r="A51" s="4" t="s">
        <v>87</v>
      </c>
      <c r="B51" s="5" t="str">
        <f>HYPERLINK("https://constructor.brusnika.ru/object-module/principled-decisions/project-solution-groups/fd8b7947-0106-4464-9332-58ff6914d50b/2630?version=1", "Компоновка ЛЛУ нижнего этажа С28 монолит")</f>
        <v>Компоновка ЛЛУ нижнего этажа С28 монолит</v>
      </c>
      <c r="C51" s="353" t="s">
        <v>88</v>
      </c>
      <c r="D51" s="350"/>
      <c r="E51" s="351"/>
    </row>
    <row r="52" spans="1:5" ht="13.2">
      <c r="A52" s="4" t="s">
        <v>89</v>
      </c>
      <c r="B52" s="5" t="str">
        <f>HYPERLINK("https://constructor.brusnika.ru/object-module/principled-decisions/project-solution-groups/fd8b7947-0106-4464-9332-58ff6914d50b/2631?version=1", "Зонирование нижнего этажа C50")</f>
        <v>Зонирование нижнего этажа C50</v>
      </c>
      <c r="C52" s="353" t="s">
        <v>90</v>
      </c>
      <c r="D52" s="350"/>
      <c r="E52" s="351"/>
    </row>
    <row r="53" spans="1:5" ht="20.399999999999999">
      <c r="A53" s="4" t="s">
        <v>91</v>
      </c>
      <c r="B53" s="5" t="str">
        <f>HYPERLINK("https://constructor.brusnika.ru/object-module/principled-decisions/project-solution-groups/fd8b7947-0106-4464-9332-58ff6914d50b/2633?version=1", "Компоновка ЛЛУ нижнего этажа C50 монолит")</f>
        <v>Компоновка ЛЛУ нижнего этажа C50 монолит</v>
      </c>
      <c r="C53" s="353" t="s">
        <v>92</v>
      </c>
      <c r="D53" s="350"/>
      <c r="E53" s="351"/>
    </row>
    <row r="54" spans="1:5" ht="13.2">
      <c r="A54" s="4" t="s">
        <v>93</v>
      </c>
      <c r="B54" s="5" t="str">
        <f>HYPERLINK("https://constructor.brusnika.ru/object-module/principled-decisions/project-solution-groups/e7a12055-33d3-4d9b-afa4-97805923d1cf/2654?version=2", "Зонирование первого этажа С28")</f>
        <v>Зонирование первого этажа С28</v>
      </c>
      <c r="C54" s="356" t="s">
        <v>94</v>
      </c>
      <c r="D54" s="350"/>
      <c r="E54" s="351"/>
    </row>
    <row r="55" spans="1:5" ht="20.399999999999999">
      <c r="A55" s="4" t="s">
        <v>95</v>
      </c>
      <c r="B55" s="5" t="str">
        <f>HYPERLINK("https://constructor.brusnika.ru/object-module/principled-decisions/project-solution-groups/e7a12055-33d3-4d9b-afa4-97805923d1cf/2656?version=1", "Компоновка ЛЛУ первого этажа С28 монолит")</f>
        <v>Компоновка ЛЛУ первого этажа С28 монолит</v>
      </c>
      <c r="C55" s="353" t="s">
        <v>88</v>
      </c>
      <c r="D55" s="350"/>
      <c r="E55" s="351"/>
    </row>
    <row r="56" spans="1:5" ht="13.2">
      <c r="A56" s="4" t="s">
        <v>96</v>
      </c>
      <c r="B56" s="5" t="str">
        <f>HYPERLINK("https://constructor.brusnika.ru/object-module/principled-decisions/project-solution-groups/e7a12055-33d3-4d9b-afa4-97805923d1cf/2657?version=1", "Зонирование первого этажа C50")</f>
        <v>Зонирование первого этажа C50</v>
      </c>
      <c r="C56" s="353" t="s">
        <v>97</v>
      </c>
      <c r="D56" s="350"/>
      <c r="E56" s="351"/>
    </row>
    <row r="57" spans="1:5" ht="20.399999999999999">
      <c r="A57" s="4" t="s">
        <v>98</v>
      </c>
      <c r="B57" s="5" t="str">
        <f>HYPERLINK("https://constructor.brusnika.ru/object-module/principled-decisions/project-solution-groups/e7a12055-33d3-4d9b-afa4-97805923d1cf/2659?version=1", "Компоновка ЛЛУ первого этажа C50 монолит")</f>
        <v>Компоновка ЛЛУ первого этажа C50 монолит</v>
      </c>
      <c r="C57" s="353" t="s">
        <v>99</v>
      </c>
      <c r="D57" s="350"/>
      <c r="E57" s="351"/>
    </row>
    <row r="58" spans="1:5" ht="13.2">
      <c r="A58" s="4" t="s">
        <v>100</v>
      </c>
      <c r="B58" s="5" t="str">
        <f>HYPERLINK("https://constructor.brusnika.ru/object-module/principled-decisions/project-solution-groups/cbaeb262-6188-4d0d-b8bd-1c6ec4bc14f3/2680?version=2", "Зонирование типового этажа С28")</f>
        <v>Зонирование типового этажа С28</v>
      </c>
      <c r="C58" s="356" t="s">
        <v>101</v>
      </c>
      <c r="D58" s="350"/>
      <c r="E58" s="351"/>
    </row>
    <row r="59" spans="1:5" ht="20.399999999999999">
      <c r="A59" s="4" t="s">
        <v>102</v>
      </c>
      <c r="B59" s="5" t="str">
        <f>HYPERLINK("https://constructor.brusnika.ru/object-module/principled-decisions/project-solution-groups/cbaeb262-6188-4d0d-b8bd-1c6ec4bc14f3/2683?version=1", "Компоновка ЛЛУ типового этажа С28 монолит")</f>
        <v>Компоновка ЛЛУ типового этажа С28 монолит</v>
      </c>
      <c r="C59" s="353" t="s">
        <v>88</v>
      </c>
      <c r="D59" s="350"/>
      <c r="E59" s="351"/>
    </row>
    <row r="60" spans="1:5" ht="13.2">
      <c r="A60" s="4" t="s">
        <v>103</v>
      </c>
      <c r="B60" s="5" t="str">
        <f>HYPERLINK("https://constructor.brusnika.ru/object-module/principled-decisions/project-solution-groups/cbaeb262-6188-4d0d-b8bd-1c6ec4bc14f3/2684?version=1", "Зонирование типового этажа C50")</f>
        <v>Зонирование типового этажа C50</v>
      </c>
      <c r="C60" s="353" t="s">
        <v>104</v>
      </c>
      <c r="D60" s="350"/>
      <c r="E60" s="351"/>
    </row>
    <row r="61" spans="1:5" ht="20.399999999999999">
      <c r="A61" s="4" t="s">
        <v>105</v>
      </c>
      <c r="B61" s="5" t="str">
        <f>HYPERLINK("https://constructor.brusnika.ru/object-module/principled-decisions/project-solution-groups/cbaeb262-6188-4d0d-b8bd-1c6ec4bc14f3/2686?version=1", "Компоновка ЛЛУ типового этажа C50 монолит")</f>
        <v>Компоновка ЛЛУ типового этажа C50 монолит</v>
      </c>
      <c r="C61" s="353" t="s">
        <v>99</v>
      </c>
      <c r="D61" s="350"/>
      <c r="E61" s="351"/>
    </row>
    <row r="62" spans="1:5" ht="13.2">
      <c r="A62" s="4" t="s">
        <v>106</v>
      </c>
      <c r="B62" s="5" t="str">
        <f>HYPERLINK("https://constructor.brusnika.ru/object-module/principled-decisions/project-solution-groups/e8a3707c-1850-4968-a1ad-bbb20eaef665/2708?version=1", "Зонирование особенного этажа С28")</f>
        <v>Зонирование особенного этажа С28</v>
      </c>
      <c r="C62" s="353" t="s">
        <v>107</v>
      </c>
      <c r="D62" s="350"/>
      <c r="E62" s="351"/>
    </row>
    <row r="63" spans="1:5" ht="20.399999999999999">
      <c r="A63" s="4" t="s">
        <v>108</v>
      </c>
      <c r="B63" s="5" t="str">
        <f>HYPERLINK("https://constructor.brusnika.ru/object-module/principled-decisions/project-solution-groups/e8a3707c-1850-4968-a1ad-bbb20eaef665/2711?version=1", "Компоновка ЛЛУ особенного этажа С28 монолит")</f>
        <v>Компоновка ЛЛУ особенного этажа С28 монолит</v>
      </c>
      <c r="C63" s="353" t="s">
        <v>88</v>
      </c>
      <c r="D63" s="350"/>
      <c r="E63" s="351"/>
    </row>
    <row r="64" spans="1:5" ht="13.2">
      <c r="A64" s="4" t="s">
        <v>109</v>
      </c>
      <c r="B64" s="5" t="str">
        <f>HYPERLINK("https://constructor.brusnika.ru/object-module/principled-decisions/project-solution-groups/e8a3707c-1850-4968-a1ad-bbb20eaef665/2712?version=1", "Зонирование особенного этажа C50")</f>
        <v>Зонирование особенного этажа C50</v>
      </c>
      <c r="C64" s="353" t="s">
        <v>110</v>
      </c>
      <c r="D64" s="350"/>
      <c r="E64" s="351"/>
    </row>
    <row r="65" spans="1:5" ht="20.399999999999999">
      <c r="A65" s="4" t="s">
        <v>111</v>
      </c>
      <c r="B65" s="5" t="str">
        <f>HYPERLINK("https://constructor.brusnika.ru/object-module/principled-decisions/project-solution-groups/e8a3707c-1850-4968-a1ad-bbb20eaef665/2714?version=1", "Компоновка ЛЛУ особенного этажа C50 монолит")</f>
        <v>Компоновка ЛЛУ особенного этажа C50 монолит</v>
      </c>
      <c r="C65" s="353" t="s">
        <v>99</v>
      </c>
      <c r="D65" s="350"/>
      <c r="E65" s="351"/>
    </row>
    <row r="66" spans="1:5" ht="13.2">
      <c r="A66" s="4" t="s">
        <v>112</v>
      </c>
      <c r="B66" s="5" t="str">
        <f>HYPERLINK("https://constructor.brusnika.ru/object-module/principled-decisions/project-solution-groups/96078808-27d5-42b8-a07b-6efe1035c415/2735?version=1", "Зонирование верхнего этажа С28")</f>
        <v>Зонирование верхнего этажа С28</v>
      </c>
      <c r="C66" s="353" t="s">
        <v>113</v>
      </c>
      <c r="D66" s="350"/>
      <c r="E66" s="351"/>
    </row>
    <row r="67" spans="1:5" ht="13.2">
      <c r="A67" s="4" t="s">
        <v>114</v>
      </c>
      <c r="B67" s="5" t="str">
        <f>HYPERLINK("https://constructor.brusnika.ru/object-module/principled-decisions/project-solution-groups/96078808-27d5-42b8-a07b-6efe1035c415/2736?version=1", "Зонирование верхнего этажа C50")</f>
        <v>Зонирование верхнего этажа C50</v>
      </c>
      <c r="C67" s="353" t="s">
        <v>115</v>
      </c>
      <c r="D67" s="350"/>
      <c r="E67" s="351"/>
    </row>
    <row r="68" spans="1:5" ht="13.2">
      <c r="A68" s="354" t="s">
        <v>116</v>
      </c>
      <c r="B68" s="350"/>
      <c r="C68" s="350"/>
      <c r="D68" s="350"/>
      <c r="E68" s="351"/>
    </row>
    <row r="69" spans="1:5" ht="13.2">
      <c r="A69" s="4" t="s">
        <v>117</v>
      </c>
      <c r="B69" s="5" t="str">
        <f>HYPERLINK("https://constructor.brusnika.ru/object-module/principled-decisions/project-solution-groups/2a42c1b6-9bbb-474d-95f3-7a16a9378f5a/2744?version=2", "Размерность и модули кладовых")</f>
        <v>Размерность и модули кладовых</v>
      </c>
      <c r="C69" s="353" t="s">
        <v>118</v>
      </c>
      <c r="D69" s="350"/>
      <c r="E69" s="351"/>
    </row>
    <row r="70" spans="1:5" ht="13.2">
      <c r="A70" s="4" t="s">
        <v>119</v>
      </c>
      <c r="B70" s="5" t="str">
        <f>HYPERLINK("https://constructor.brusnika.ru/object-module/principled-decisions/project-solution-groups/2a42c1b6-9bbb-474d-95f3-7a16a9378f5a/2745?version=1", "Планировка лобби")</f>
        <v>Планировка лобби</v>
      </c>
      <c r="C70" s="353" t="s">
        <v>120</v>
      </c>
      <c r="D70" s="350"/>
      <c r="E70" s="351"/>
    </row>
    <row r="71" spans="1:5" ht="13.2">
      <c r="A71" s="4" t="s">
        <v>121</v>
      </c>
      <c r="B71" s="5" t="str">
        <f>HYPERLINK("https://constructor.brusnika.ru/object-module/principled-decisions/project-solution-groups/2a42c1b6-9bbb-474d-95f3-7a16a9378f5a/2746?version=1", "Планировка колясочной")</f>
        <v>Планировка колясочной</v>
      </c>
      <c r="C71" s="353" t="s">
        <v>122</v>
      </c>
      <c r="D71" s="350"/>
      <c r="E71" s="351"/>
    </row>
    <row r="72" spans="1:5" ht="13.2">
      <c r="A72" s="4" t="s">
        <v>123</v>
      </c>
      <c r="B72" s="5" t="str">
        <f>HYPERLINK("https://constructor.brusnika.ru/object-module/principled-decisions/project-solution-groups/2a42c1b6-9bbb-474d-95f3-7a16a9378f5a/2747?version=1", "Планировка велосипедной")</f>
        <v>Планировка велосипедной</v>
      </c>
      <c r="C72" s="353" t="s">
        <v>124</v>
      </c>
      <c r="D72" s="350"/>
      <c r="E72" s="351"/>
    </row>
    <row r="73" spans="1:5" ht="20.399999999999999">
      <c r="A73" s="4" t="s">
        <v>125</v>
      </c>
      <c r="B73" s="5" t="str">
        <f>HYPERLINK("https://constructor.brusnika.ru/object-module/principled-decisions/project-solution-groups/2a42c1b6-9bbb-474d-95f3-7a16a9378f5a/2748?version=1", "Планировка коммерческих помещений")</f>
        <v>Планировка коммерческих помещений</v>
      </c>
      <c r="C73" s="353" t="s">
        <v>126</v>
      </c>
      <c r="D73" s="350"/>
      <c r="E73" s="351"/>
    </row>
    <row r="74" spans="1:5" ht="13.2">
      <c r="A74" s="4" t="s">
        <v>127</v>
      </c>
      <c r="B74" s="5" t="str">
        <f>HYPERLINK("https://constructor.brusnika.ru/object-module/principled-decisions/project-solution-groups/2a42c1b6-9bbb-474d-95f3-7a16a9378f5a/2749?version=1", "Планировка соседских центров")</f>
        <v>Планировка соседских центров</v>
      </c>
      <c r="C74" s="353" t="s">
        <v>128</v>
      </c>
      <c r="D74" s="350"/>
      <c r="E74" s="351"/>
    </row>
    <row r="75" spans="1:5" ht="20.399999999999999">
      <c r="A75" s="4" t="s">
        <v>129</v>
      </c>
      <c r="B75" s="5" t="str">
        <f>HYPERLINK("https://constructor.brusnika.ru/object-module/principled-decisions/project-solution-groups/2a42c1b6-9bbb-474d-95f3-7a16a9378f5a/2751?version=1", "Планировка управляющей компании")</f>
        <v>Планировка управляющей компании</v>
      </c>
      <c r="C75" s="353" t="s">
        <v>130</v>
      </c>
      <c r="D75" s="350"/>
      <c r="E75" s="351"/>
    </row>
    <row r="76" spans="1:5" ht="13.2">
      <c r="A76" s="4" t="s">
        <v>131</v>
      </c>
      <c r="B76" s="5" t="str">
        <f>HYPERLINK("https://constructor.brusnika.ru/object-module/principled-decisions/project-solution-groups/2a42c1b6-9bbb-474d-95f3-7a16a9378f5a/2752?version=1", "Планировка террасы первого этажа")</f>
        <v>Планировка террасы первого этажа</v>
      </c>
      <c r="C76" s="353" t="s">
        <v>132</v>
      </c>
      <c r="D76" s="350"/>
      <c r="E76" s="351"/>
    </row>
    <row r="77" spans="1:5" ht="13.2">
      <c r="A77" s="4" t="s">
        <v>133</v>
      </c>
      <c r="B77" s="5" t="str">
        <f>HYPERLINK("https://constructor.brusnika.ru/object-module/principled-decisions/project-solution-groups/2a42c1b6-9bbb-474d-95f3-7a16a9378f5a/2753?version=1", "Планировка террасы жилых этажей")</f>
        <v>Планировка террасы жилых этажей</v>
      </c>
      <c r="C77" s="353" t="s">
        <v>134</v>
      </c>
      <c r="D77" s="350"/>
      <c r="E77" s="351"/>
    </row>
    <row r="78" spans="1:5" ht="13.2">
      <c r="A78" s="4" t="s">
        <v>135</v>
      </c>
      <c r="B78" s="5" t="str">
        <f>HYPERLINK("https://constructor.brusnika.ru/object-module/principled-decisions/project-solution-groups/2a42c1b6-9bbb-474d-95f3-7a16a9378f5a/2754?version=2", "Планировки квартир")</f>
        <v>Планировки квартир</v>
      </c>
      <c r="C78" s="356" t="s">
        <v>136</v>
      </c>
      <c r="D78" s="350"/>
      <c r="E78" s="351"/>
    </row>
    <row r="79" spans="1:5" ht="13.2">
      <c r="A79" s="4" t="s">
        <v>137</v>
      </c>
      <c r="B79" s="5" t="str">
        <f>HYPERLINK("https://constructor.brusnika.ru/object-module/principled-decisions/project-solution-groups/09c6bc88-567c-495c-85ed-239118d5c1f1/2755?version=1", "Планировки нижнего этажа С28")</f>
        <v>Планировки нижнего этажа С28</v>
      </c>
      <c r="C79" s="353" t="s">
        <v>138</v>
      </c>
      <c r="D79" s="350"/>
      <c r="E79" s="351"/>
    </row>
    <row r="80" spans="1:5" ht="13.2">
      <c r="A80" s="4" t="s">
        <v>139</v>
      </c>
      <c r="B80" s="5" t="str">
        <f>HYPERLINK("https://constructor.brusnika.ru/object-module/principled-decisions/project-solution-groups/09c6bc88-567c-495c-85ed-239118d5c1f1/2757?version=1", "Планировки нижнего этажа C50")</f>
        <v>Планировки нижнего этажа C50</v>
      </c>
      <c r="C80" s="353" t="s">
        <v>140</v>
      </c>
      <c r="D80" s="350"/>
      <c r="E80" s="351"/>
    </row>
    <row r="81" spans="1:5" ht="13.2">
      <c r="A81" s="4" t="s">
        <v>141</v>
      </c>
      <c r="B81" s="5" t="str">
        <f>HYPERLINK("https://constructor.brusnika.ru/object-module/principled-decisions/project-solution-groups/db9729cc-b17c-45ea-b154-1c99896419df/2764?version=1", "Планировки первого этажа С28")</f>
        <v>Планировки первого этажа С28</v>
      </c>
      <c r="C81" s="353" t="s">
        <v>142</v>
      </c>
      <c r="D81" s="350"/>
      <c r="E81" s="351"/>
    </row>
    <row r="82" spans="1:5" ht="20.399999999999999">
      <c r="A82" s="4" t="s">
        <v>143</v>
      </c>
      <c r="B82" s="5" t="str">
        <f>HYPERLINK("https://constructor.brusnika.ru/object-module/principled-decisions/project-solution-groups/db9729cc-b17c-45ea-b154-1c99896419df/2766?version=2", "Планировочное решение МОП первого этажа С28")</f>
        <v>Планировочное решение МОП первого этажа С28</v>
      </c>
      <c r="C82" s="356" t="s">
        <v>144</v>
      </c>
      <c r="D82" s="350"/>
      <c r="E82" s="351"/>
    </row>
    <row r="83" spans="1:5" ht="13.2">
      <c r="A83" s="4" t="s">
        <v>145</v>
      </c>
      <c r="B83" s="5" t="str">
        <f>HYPERLINK("https://constructor.brusnika.ru/object-module/principled-decisions/project-solution-groups/db9729cc-b17c-45ea-b154-1c99896419df/2767?version=1", "Планировки первого этажа C50")</f>
        <v>Планировки первого этажа C50</v>
      </c>
      <c r="C83" s="353" t="s">
        <v>146</v>
      </c>
      <c r="D83" s="350"/>
      <c r="E83" s="351"/>
    </row>
    <row r="84" spans="1:5" ht="20.399999999999999">
      <c r="A84" s="4" t="s">
        <v>147</v>
      </c>
      <c r="B84" s="5" t="str">
        <f>HYPERLINK("https://constructor.brusnika.ru/object-module/principled-decisions/project-solution-groups/db9729cc-b17c-45ea-b154-1c99896419df/2768?version=2", "Планировочное решение МОП первого этажа С50")</f>
        <v>Планировочное решение МОП первого этажа С50</v>
      </c>
      <c r="C84" s="356" t="s">
        <v>148</v>
      </c>
      <c r="D84" s="350"/>
      <c r="E84" s="351"/>
    </row>
    <row r="85" spans="1:5" ht="20.399999999999999">
      <c r="A85" s="4" t="s">
        <v>149</v>
      </c>
      <c r="B85" s="5" t="str">
        <f>HYPERLINK("https://constructor.brusnika.ru/object-module/principled-decisions/project-solution-groups/2c3ea2db-bc3c-433c-b0f0-a5dfa58d9cf1/2772?version=2", "Планировки квартир типового этажа С28")</f>
        <v>Планировки квартир типового этажа С28</v>
      </c>
      <c r="C85" s="356" t="s">
        <v>150</v>
      </c>
      <c r="D85" s="350"/>
      <c r="E85" s="351"/>
    </row>
    <row r="86" spans="1:5" ht="13.2">
      <c r="A86" s="4" t="s">
        <v>151</v>
      </c>
      <c r="B86" s="5" t="str">
        <f>HYPERLINK("https://constructor.brusnika.ru/object-module/principled-decisions/project-solution-groups/2c3ea2db-bc3c-433c-b0f0-a5dfa58d9cf1/2773?version=1", "Планировки типового этажа C50")</f>
        <v>Планировки типового этажа C50</v>
      </c>
      <c r="C86" s="353" t="s">
        <v>152</v>
      </c>
      <c r="D86" s="350"/>
      <c r="E86" s="351"/>
    </row>
    <row r="87" spans="1:5" ht="13.2">
      <c r="A87" s="4" t="s">
        <v>153</v>
      </c>
      <c r="B87" s="5" t="str">
        <f>HYPERLINK("https://constructor.brusnika.ru/object-module/principled-decisions/project-solution-groups/6d3e37d6-b9bc-44fb-8caf-0932a7ab9339/2781?version=2", "Планировки особенного этажа С28")</f>
        <v>Планировки особенного этажа С28</v>
      </c>
      <c r="C87" s="356" t="s">
        <v>154</v>
      </c>
      <c r="D87" s="350"/>
      <c r="E87" s="351"/>
    </row>
    <row r="88" spans="1:5" ht="13.2">
      <c r="A88" s="4" t="s">
        <v>155</v>
      </c>
      <c r="B88" s="5" t="str">
        <f>HYPERLINK("https://constructor.brusnika.ru/object-module/principled-decisions/project-solution-groups/6d3e37d6-b9bc-44fb-8caf-0932a7ab9339/2782?version=2", "Планировки особенного этажа C50")</f>
        <v>Планировки особенного этажа C50</v>
      </c>
      <c r="C88" s="356" t="s">
        <v>156</v>
      </c>
      <c r="D88" s="350"/>
      <c r="E88" s="351"/>
    </row>
    <row r="89" spans="1:5" ht="13.2">
      <c r="A89" s="4" t="s">
        <v>157</v>
      </c>
      <c r="B89" s="5" t="str">
        <f>HYPERLINK("https://constructor.brusnika.ru/object-module/principled-decisions/project-solution-groups/7c34cce4-e531-48cc-b8bc-04fac4ff5878/2790?version=1", "Типоразмеры жилых надстроек С28")</f>
        <v>Типоразмеры жилых надстроек С28</v>
      </c>
      <c r="C89" s="353" t="s">
        <v>158</v>
      </c>
      <c r="D89" s="350"/>
      <c r="E89" s="351"/>
    </row>
    <row r="90" spans="1:5" ht="13.2">
      <c r="A90" s="4" t="s">
        <v>159</v>
      </c>
      <c r="B90" s="5" t="str">
        <f>HYPERLINK("https://constructor.brusnika.ru/object-module/principled-decisions/project-solution-groups/7c34cce4-e531-48cc-b8bc-04fac4ff5878/2791?version=1", "Планировки верхнего этажа С28")</f>
        <v>Планировки верхнего этажа С28</v>
      </c>
      <c r="C90" s="353" t="s">
        <v>160</v>
      </c>
      <c r="D90" s="350"/>
      <c r="E90" s="351"/>
    </row>
    <row r="91" spans="1:5" ht="13.2">
      <c r="A91" s="4" t="s">
        <v>161</v>
      </c>
      <c r="B91" s="5" t="str">
        <f>HYPERLINK("https://constructor.brusnika.ru/object-module/principled-decisions/project-solution-groups/7c34cce4-e531-48cc-b8bc-04fac4ff5878/2792?version=1", "Планировки верхнего этажа C50")</f>
        <v>Планировки верхнего этажа C50</v>
      </c>
      <c r="C91" s="353" t="s">
        <v>162</v>
      </c>
      <c r="D91" s="350"/>
      <c r="E91" s="351"/>
    </row>
    <row r="92" spans="1:5" ht="51">
      <c r="A92" s="4" t="s">
        <v>163</v>
      </c>
      <c r="B92" s="6" t="s">
        <v>164</v>
      </c>
      <c r="C92" s="355" t="s">
        <v>165</v>
      </c>
      <c r="D92" s="350"/>
      <c r="E92" s="351"/>
    </row>
    <row r="93" spans="1:5" ht="13.2">
      <c r="A93" s="354" t="s">
        <v>166</v>
      </c>
      <c r="B93" s="350"/>
      <c r="C93" s="350"/>
      <c r="D93" s="350"/>
      <c r="E93" s="351"/>
    </row>
    <row r="94" spans="1:5" ht="13.2">
      <c r="A94" s="4" t="s">
        <v>167</v>
      </c>
      <c r="B94" s="5" t="str">
        <f>HYPERLINK("https://constructor.brusnika.ru/object-module/principled-decisions/project-solution-groups/eb044fbf-f0b6-4ee4-b3ca-a938cacc1bb1/2807?version=1", "Устройство фасадного модуля")</f>
        <v>Устройство фасадного модуля</v>
      </c>
      <c r="C94" s="353" t="s">
        <v>168</v>
      </c>
      <c r="D94" s="350"/>
      <c r="E94" s="351"/>
    </row>
    <row r="95" spans="1:5" ht="20.399999999999999">
      <c r="A95" s="4" t="s">
        <v>169</v>
      </c>
      <c r="B95" s="5" t="str">
        <f>HYPERLINK("https://constructor.brusnika.ru/object-module/principled-decisions/project-solution-groups/eb044fbf-f0b6-4ee4-b3ca-a938cacc1bb1/2808?version=1", "Правила проектирования фасадного модуля")</f>
        <v>Правила проектирования фасадного модуля</v>
      </c>
      <c r="C95" s="353" t="s">
        <v>170</v>
      </c>
      <c r="D95" s="350"/>
      <c r="E95" s="351"/>
    </row>
    <row r="96" spans="1:5" ht="20.399999999999999">
      <c r="A96" s="4" t="s">
        <v>171</v>
      </c>
      <c r="B96" s="5" t="str">
        <f>HYPERLINK("https://constructor.brusnika.ru/object-module/principled-decisions/project-solution-groups/eb044fbf-f0b6-4ee4-b3ca-a938cacc1bb1/2809?version=2", "Правила подбора толщины теплоизоляционного слоя")</f>
        <v>Правила подбора толщины теплоизоляционного слоя</v>
      </c>
      <c r="C96" s="353" t="s">
        <v>172</v>
      </c>
      <c r="D96" s="350"/>
      <c r="E96" s="351"/>
    </row>
    <row r="97" spans="1:5" ht="13.2">
      <c r="A97" s="4" t="s">
        <v>173</v>
      </c>
      <c r="B97" s="5" t="str">
        <f>HYPERLINK("https://constructor.brusnika.ru/object-module/principled-decisions/project-solution-groups/eb044fbf-f0b6-4ee4-b3ca-a938cacc1bb1/2810?version=2", "Устройство тамбура")</f>
        <v>Устройство тамбура</v>
      </c>
      <c r="C97" s="356" t="s">
        <v>174</v>
      </c>
      <c r="D97" s="350"/>
      <c r="E97" s="351"/>
    </row>
    <row r="98" spans="1:5" ht="13.2">
      <c r="A98" s="4" t="s">
        <v>175</v>
      </c>
      <c r="B98" s="5" t="str">
        <f>HYPERLINK("https://constructor.brusnika.ru/object-module/principled-decisions/project-solution-groups/eb044fbf-f0b6-4ee4-b3ca-a938cacc1bb1/2811?version=2", "Устройство цоколя")</f>
        <v>Устройство цоколя</v>
      </c>
      <c r="C98" s="353" t="s">
        <v>176</v>
      </c>
      <c r="D98" s="350"/>
      <c r="E98" s="351"/>
    </row>
    <row r="99" spans="1:5" ht="13.2">
      <c r="A99" s="4" t="s">
        <v>177</v>
      </c>
      <c r="B99" s="5" t="str">
        <f>HYPERLINK("https://constructor.brusnika.ru/object-module/principled-decisions/project-solution-groups/eb044fbf-f0b6-4ee4-b3ca-a938cacc1bb1/2812?version=2", "Устройство штукатурного фасада")</f>
        <v>Устройство штукатурного фасада</v>
      </c>
      <c r="C99" s="356" t="s">
        <v>178</v>
      </c>
      <c r="D99" s="350"/>
      <c r="E99" s="351"/>
    </row>
    <row r="100" spans="1:5" ht="20.399999999999999">
      <c r="A100" s="4" t="s">
        <v>179</v>
      </c>
      <c r="B100" s="5" t="str">
        <f>HYPERLINK("https://constructor.brusnika.ru/object-module/principled-decisions/project-solution-groups/eb044fbf-f0b6-4ee4-b3ca-a938cacc1bb1/2814?version=2", "Устройство навесного фасада (клинкер, кирпич, HPL)")</f>
        <v>Устройство навесного фасада (клинкер, кирпич, HPL)</v>
      </c>
      <c r="C100" s="356" t="s">
        <v>180</v>
      </c>
      <c r="D100" s="350"/>
      <c r="E100" s="351"/>
    </row>
    <row r="101" spans="1:5" ht="20.399999999999999">
      <c r="A101" s="4" t="s">
        <v>181</v>
      </c>
      <c r="B101" s="5" t="str">
        <f>HYPERLINK("https://constructor.brusnika.ru/object-module/principled-decisions/project-solution-groups/eb044fbf-f0b6-4ee4-b3ca-a938cacc1bb1/2815?version=2", "Устройство навесного фасада (аквапанель)")</f>
        <v>Устройство навесного фасада (аквапанель)</v>
      </c>
      <c r="C101" s="356" t="s">
        <v>182</v>
      </c>
      <c r="D101" s="350"/>
      <c r="E101" s="351"/>
    </row>
    <row r="102" spans="1:5" ht="13.2">
      <c r="A102" s="4" t="s">
        <v>183</v>
      </c>
      <c r="B102" s="5" t="str">
        <f>HYPERLINK("https://constructor.brusnika.ru/object-module/principled-decisions/project-solution-groups/eb044fbf-f0b6-4ee4-b3ca-a938cacc1bb1/2816?version=1", "Устройство фасадов первого этажа")</f>
        <v>Устройство фасадов первого этажа</v>
      </c>
      <c r="C102" s="353" t="s">
        <v>184</v>
      </c>
      <c r="D102" s="350"/>
      <c r="E102" s="351"/>
    </row>
    <row r="103" spans="1:5" ht="13.2">
      <c r="A103" s="4" t="s">
        <v>185</v>
      </c>
      <c r="B103" s="5" t="str">
        <f>HYPERLINK("https://constructor.brusnika.ru/object-module/principled-decisions/project-solution-groups/eb044fbf-f0b6-4ee4-b3ca-a938cacc1bb1/2817?version=1", "Перголы")</f>
        <v>Перголы</v>
      </c>
      <c r="C103" s="353" t="s">
        <v>186</v>
      </c>
      <c r="D103" s="350"/>
      <c r="E103" s="351"/>
    </row>
    <row r="104" spans="1:5" ht="13.2">
      <c r="A104" s="4" t="s">
        <v>187</v>
      </c>
      <c r="B104" s="5" t="str">
        <f>HYPERLINK("https://constructor.brusnika.ru/object-module/principled-decisions/project-solution-groups/eb044fbf-f0b6-4ee4-b3ca-a938cacc1bb1/2818?version=1", "Дивайдеры")</f>
        <v>Дивайдеры</v>
      </c>
      <c r="C104" s="353" t="s">
        <v>188</v>
      </c>
      <c r="D104" s="350"/>
      <c r="E104" s="351"/>
    </row>
    <row r="105" spans="1:5" ht="13.2">
      <c r="A105" s="4" t="s">
        <v>189</v>
      </c>
      <c r="B105" s="5" t="str">
        <f>HYPERLINK("https://constructor.brusnika.ru/object-module/principled-decisions/project-solution-groups/eb044fbf-f0b6-4ee4-b3ca-a938cacc1bb1/2819?version=1", "Маркизы")</f>
        <v>Маркизы</v>
      </c>
      <c r="C105" s="353" t="s">
        <v>190</v>
      </c>
      <c r="D105" s="350"/>
      <c r="E105" s="351"/>
    </row>
    <row r="106" spans="1:5" ht="13.2">
      <c r="A106" s="4" t="s">
        <v>191</v>
      </c>
      <c r="B106" s="5" t="str">
        <f>HYPERLINK("https://constructor.brusnika.ru/object-module/principled-decisions/project-solution-groups/eb044fbf-f0b6-4ee4-b3ca-a938cacc1bb1/2820?version=1", "Козырьки")</f>
        <v>Козырьки</v>
      </c>
      <c r="C106" s="353" t="s">
        <v>192</v>
      </c>
      <c r="D106" s="350"/>
      <c r="E106" s="351"/>
    </row>
    <row r="107" spans="1:5" ht="13.2">
      <c r="A107" s="4" t="s">
        <v>193</v>
      </c>
      <c r="B107" s="5" t="str">
        <f>HYPERLINK("https://constructor.brusnika.ru/object-module/principled-decisions/project-solution-groups/eb044fbf-f0b6-4ee4-b3ca-a938cacc1bb1/2821?version=1", "Жалюзи")</f>
        <v>Жалюзи</v>
      </c>
      <c r="C107" s="353" t="s">
        <v>194</v>
      </c>
      <c r="D107" s="350"/>
      <c r="E107" s="351"/>
    </row>
    <row r="108" spans="1:5" ht="13.2">
      <c r="A108" s="4" t="s">
        <v>195</v>
      </c>
      <c r="B108" s="5" t="str">
        <f>HYPERLINK("https://constructor.brusnika.ru/object-module/principled-decisions/project-solution-groups/eb044fbf-f0b6-4ee4-b3ca-a938cacc1bb1/2822?version=1", "Ставни")</f>
        <v>Ставни</v>
      </c>
      <c r="C108" s="353" t="s">
        <v>196</v>
      </c>
      <c r="D108" s="350"/>
      <c r="E108" s="351"/>
    </row>
    <row r="109" spans="1:5" ht="13.2">
      <c r="A109" s="4" t="s">
        <v>197</v>
      </c>
      <c r="B109" s="5" t="str">
        <f>HYPERLINK("https://constructor.brusnika.ru/object-module/principled-decisions/project-solution-groups/eb044fbf-f0b6-4ee4-b3ca-a938cacc1bb1/2823?version=1", "Фасадное освещение")</f>
        <v>Фасадное освещение</v>
      </c>
      <c r="C109" s="353" t="s">
        <v>198</v>
      </c>
      <c r="D109" s="350"/>
      <c r="E109" s="351"/>
    </row>
    <row r="110" spans="1:5" ht="13.2">
      <c r="A110" s="4" t="s">
        <v>199</v>
      </c>
      <c r="B110" s="5" t="str">
        <f>HYPERLINK("https://constructor.brusnika.ru/object-module/principled-decisions/project-solution-groups/eb044fbf-f0b6-4ee4-b3ca-a938cacc1bb1/2802?version=2", "Отлив оконный")</f>
        <v>Отлив оконный</v>
      </c>
      <c r="C110" s="353" t="s">
        <v>200</v>
      </c>
      <c r="D110" s="350"/>
      <c r="E110" s="351"/>
    </row>
    <row r="111" spans="1:5" ht="13.2">
      <c r="A111" s="4" t="s">
        <v>201</v>
      </c>
      <c r="B111" s="5" t="str">
        <f>HYPERLINK("https://constructor.brusnika.ru/object-module/principled-decisions/project-solution-groups/eb044fbf-f0b6-4ee4-b3ca-a938cacc1bb1/2825?version=2", "Отлив фасадный переходный")</f>
        <v>Отлив фасадный переходный</v>
      </c>
      <c r="C111" s="353" t="s">
        <v>202</v>
      </c>
      <c r="D111" s="350"/>
      <c r="E111" s="351"/>
    </row>
    <row r="112" spans="1:5" ht="13.2">
      <c r="A112" s="4" t="s">
        <v>203</v>
      </c>
      <c r="B112" s="5" t="str">
        <f>HYPERLINK("https://constructor.brusnika.ru/object-module/principled-decisions/project-solution-groups/eb044fbf-f0b6-4ee4-b3ca-a938cacc1bb1/2826?version=1", "Отлив фасадный декоративный")</f>
        <v>Отлив фасадный декоративный</v>
      </c>
      <c r="C112" s="353" t="s">
        <v>204</v>
      </c>
      <c r="D112" s="350"/>
      <c r="E112" s="351"/>
    </row>
    <row r="113" spans="1:5" ht="13.2">
      <c r="A113" s="4" t="s">
        <v>205</v>
      </c>
      <c r="B113" s="5" t="str">
        <f>HYPERLINK("https://constructor.brusnika.ru/object-module/principled-decisions/project-solution-groups/eb044fbf-f0b6-4ee4-b3ca-a938cacc1bb1/2827?version=3", "Отлив парапетный")</f>
        <v>Отлив парапетный</v>
      </c>
      <c r="C113" s="353" t="s">
        <v>206</v>
      </c>
      <c r="D113" s="350"/>
      <c r="E113" s="351"/>
    </row>
    <row r="114" spans="1:5" ht="13.2">
      <c r="A114" s="4" t="s">
        <v>207</v>
      </c>
      <c r="B114" s="5" t="str">
        <f>HYPERLINK("https://constructor.brusnika.ru/object-module/principled-decisions/project-solution-groups/eb044fbf-f0b6-4ee4-b3ca-a938cacc1bb1/2828?version=1", "Декоративные элементы Префаб")</f>
        <v>Декоративные элементы Префаб</v>
      </c>
      <c r="C114" s="353" t="s">
        <v>208</v>
      </c>
      <c r="D114" s="350"/>
      <c r="E114" s="351"/>
    </row>
    <row r="115" spans="1:5" ht="13.2">
      <c r="A115" s="4" t="s">
        <v>209</v>
      </c>
      <c r="B115" s="5" t="str">
        <f>HYPERLINK("https://constructor.brusnika.ru/object-module/principled-decisions/project-solution-groups/899dda0b-cd61-48f1-aeb3-1b2d1b9838cd/2829?version=3", "Корзина кондиционера на ЛП")</f>
        <v>Корзина кондиционера на ЛП</v>
      </c>
      <c r="C115" s="353" t="s">
        <v>210</v>
      </c>
      <c r="D115" s="350"/>
      <c r="E115" s="351"/>
    </row>
    <row r="116" spans="1:5" ht="13.2">
      <c r="A116" s="4" t="s">
        <v>211</v>
      </c>
      <c r="B116" s="5" t="str">
        <f>HYPERLINK("https://constructor.brusnika.ru/object-module/principled-decisions/project-solution-groups/899dda0b-cd61-48f1-aeb3-1b2d1b9838cd/2831?version=1", "Корзина кондиционера под окно")</f>
        <v>Корзина кондиционера под окно</v>
      </c>
      <c r="C116" s="353" t="s">
        <v>212</v>
      </c>
      <c r="D116" s="350"/>
      <c r="E116" s="351"/>
    </row>
    <row r="117" spans="1:5" ht="20.399999999999999">
      <c r="A117" s="4" t="s">
        <v>213</v>
      </c>
      <c r="B117" s="5" t="str">
        <f>HYPERLINK("https://constructor.brusnika.ru/object-module/principled-decisions/project-solution-groups/899dda0b-cd61-48f1-aeb3-1b2d1b9838cd/2832?version=2", "Каталог паттернов корзин кондиционера")</f>
        <v>Каталог паттернов корзин кондиционера</v>
      </c>
      <c r="C117" s="356" t="s">
        <v>214</v>
      </c>
      <c r="D117" s="350"/>
      <c r="E117" s="351"/>
    </row>
    <row r="118" spans="1:5" ht="30.6">
      <c r="A118" s="4" t="s">
        <v>215</v>
      </c>
      <c r="B118" s="5" t="str">
        <f>HYPERLINK("https://constructor.brusnika.ru/object-module/principled-decisions/project-solution-groups/899dda0b-cd61-48f1-aeb3-1b2d1b9838cd/2833?version=1", "Декоративные элементы для маскирования инженерного оборудования")</f>
        <v>Декоративные элементы для маскирования инженерного оборудования</v>
      </c>
      <c r="C118" s="353" t="s">
        <v>216</v>
      </c>
      <c r="D118" s="350"/>
      <c r="E118" s="351"/>
    </row>
    <row r="119" spans="1:5" ht="13.2">
      <c r="A119" s="4" t="s">
        <v>217</v>
      </c>
      <c r="B119" s="5" t="str">
        <f>HYPERLINK("https://constructor.brusnika.ru/object-module/principled-decisions/project-solution-groups/bf6f71c7-d26c-4617-8619-2d62b5494be3/2834?version=1", "Ограждения террас первого этажа")</f>
        <v>Ограждения террас первого этажа</v>
      </c>
      <c r="C119" s="353" t="s">
        <v>218</v>
      </c>
      <c r="D119" s="350"/>
      <c r="E119" s="351"/>
    </row>
    <row r="120" spans="1:5" ht="13.2">
      <c r="A120" s="4" t="s">
        <v>219</v>
      </c>
      <c r="B120" s="5" t="str">
        <f>HYPERLINK("https://constructor.brusnika.ru/object-module/principled-decisions/project-solution-groups/bf6f71c7-d26c-4617-8619-2d62b5494be3/2830?version=2", "Ограждение кровли")</f>
        <v>Ограждение кровли</v>
      </c>
      <c r="C120" s="353" t="s">
        <v>220</v>
      </c>
      <c r="D120" s="350"/>
      <c r="E120" s="351"/>
    </row>
    <row r="121" spans="1:5" ht="13.2">
      <c r="A121" s="4" t="s">
        <v>221</v>
      </c>
      <c r="B121" s="5" t="str">
        <f>HYPERLINK("https://constructor.brusnika.ru/object-module/principled-decisions/project-solution-groups/bf6f71c7-d26c-4617-8619-2d62b5494be3/2837?version=1", "Ограждение окна")</f>
        <v>Ограждение окна</v>
      </c>
      <c r="C121" s="353" t="s">
        <v>222</v>
      </c>
      <c r="D121" s="350"/>
      <c r="E121" s="351"/>
    </row>
    <row r="122" spans="1:5" ht="13.2">
      <c r="A122" s="4" t="s">
        <v>223</v>
      </c>
      <c r="B122" s="5" t="str">
        <f>HYPERLINK("https://constructor.brusnika.ru/object-module/principled-decisions/project-solution-groups/5c3aa6ac-dfa0-4ce5-a9c6-882adc6ab6b7/2838?version=1", "Пироги пола нижнего этажа")</f>
        <v>Пироги пола нижнего этажа</v>
      </c>
      <c r="C122" s="353" t="s">
        <v>224</v>
      </c>
      <c r="D122" s="350"/>
      <c r="E122" s="351"/>
    </row>
    <row r="123" spans="1:5" ht="13.2">
      <c r="A123" s="4" t="s">
        <v>225</v>
      </c>
      <c r="B123" s="5" t="str">
        <f>HYPERLINK("https://constructor.brusnika.ru/object-module/principled-decisions/project-solution-groups/5c3aa6ac-dfa0-4ce5-a9c6-882adc6ab6b7/2839?version=3", "Пироги пола первого этажа")</f>
        <v>Пироги пола первого этажа</v>
      </c>
      <c r="C123" s="353" t="s">
        <v>226</v>
      </c>
      <c r="D123" s="350"/>
      <c r="E123" s="351"/>
    </row>
    <row r="124" spans="1:5" ht="13.2">
      <c r="A124" s="4" t="s">
        <v>227</v>
      </c>
      <c r="B124" s="5" t="str">
        <f>HYPERLINK("https://constructor.brusnika.ru/object-module/principled-decisions/project-solution-groups/5c3aa6ac-dfa0-4ce5-a9c6-882adc6ab6b7/2840?version=1", "Пироги пола типового этажа")</f>
        <v>Пироги пола типового этажа</v>
      </c>
      <c r="C124" s="353" t="s">
        <v>228</v>
      </c>
      <c r="D124" s="350"/>
      <c r="E124" s="351"/>
    </row>
    <row r="125" spans="1:5" ht="13.2">
      <c r="A125" s="4" t="s">
        <v>229</v>
      </c>
      <c r="B125" s="5" t="str">
        <f>HYPERLINK("https://constructor.brusnika.ru/object-module/principled-decisions/project-solution-groups/5c3aa6ac-dfa0-4ce5-a9c6-882adc6ab6b7/2841?version=1", "Пироги пола особенного этажа")</f>
        <v>Пироги пола особенного этажа</v>
      </c>
      <c r="C125" s="353" t="s">
        <v>230</v>
      </c>
      <c r="D125" s="350"/>
      <c r="E125" s="351"/>
    </row>
    <row r="126" spans="1:5" ht="13.2">
      <c r="A126" s="4" t="s">
        <v>231</v>
      </c>
      <c r="B126" s="5" t="str">
        <f>HYPERLINK("https://constructor.brusnika.ru/object-module/principled-decisions/project-solution-groups/5c3aa6ac-dfa0-4ce5-a9c6-882adc6ab6b7/2842?version=1", "Пироги пола верхнего этажа")</f>
        <v>Пироги пола верхнего этажа</v>
      </c>
      <c r="C126" s="353" t="s">
        <v>232</v>
      </c>
      <c r="D126" s="350"/>
      <c r="E126" s="351"/>
    </row>
    <row r="127" spans="1:5" ht="13.2">
      <c r="A127" s="4" t="s">
        <v>233</v>
      </c>
      <c r="B127" s="5" t="str">
        <f>HYPERLINK("https://constructor.brusnika.ru/object-module/principled-decisions/project-solution-groups/5c3aa6ac-dfa0-4ce5-a9c6-882adc6ab6b7/2843?version=2", "Пироги кровли верхнего этажа")</f>
        <v>Пироги кровли верхнего этажа</v>
      </c>
      <c r="C127" s="353" t="s">
        <v>234</v>
      </c>
      <c r="D127" s="350"/>
      <c r="E127" s="351"/>
    </row>
    <row r="128" spans="1:5" ht="13.2">
      <c r="A128" s="4" t="s">
        <v>235</v>
      </c>
      <c r="B128" s="5" t="str">
        <f>HYPERLINK("https://constructor.brusnika.ru/object-module/principled-decisions/project-solution-groups/5c3aa6ac-dfa0-4ce5-a9c6-882adc6ab6b7/2844?version=3", "Пироги монолитных балконов")</f>
        <v>Пироги монолитных балконов</v>
      </c>
      <c r="C128" s="353" t="s">
        <v>236</v>
      </c>
      <c r="D128" s="350"/>
      <c r="E128" s="351"/>
    </row>
    <row r="129" spans="1:5" ht="13.2">
      <c r="A129" s="4" t="s">
        <v>237</v>
      </c>
      <c r="B129" s="5" t="str">
        <f>HYPERLINK("https://constructor.brusnika.ru/object-module/principled-decisions/project-solution-groups/5c3aa6ac-dfa0-4ce5-a9c6-882adc6ab6b7/2845?version=2", "Пироги террас")</f>
        <v>Пироги террас</v>
      </c>
      <c r="C129" s="353" t="s">
        <v>238</v>
      </c>
      <c r="D129" s="350"/>
      <c r="E129" s="351"/>
    </row>
    <row r="130" spans="1:5" ht="20.399999999999999">
      <c r="A130" s="4" t="s">
        <v>239</v>
      </c>
      <c r="B130" s="5" t="str">
        <f>HYPERLINK("https://constructor.brusnika.ru/object-module/principled-decisions/project-solution-groups/5c3aa6ac-dfa0-4ce5-a9c6-882adc6ab6b7/2847?version=1", "Пироги пола одноуровневого паркинга")</f>
        <v>Пироги пола одноуровневого паркинга</v>
      </c>
      <c r="C130" s="353" t="s">
        <v>240</v>
      </c>
      <c r="D130" s="350"/>
      <c r="E130" s="351"/>
    </row>
    <row r="131" spans="1:5" ht="13.2">
      <c r="A131" s="4" t="s">
        <v>241</v>
      </c>
      <c r="B131" s="5" t="str">
        <f>HYPERLINK("https://constructor.brusnika.ru/object-module/principled-decisions/project-solution-groups/5c3aa6ac-dfa0-4ce5-a9c6-882adc6ab6b7/2849?version=2", "Пироги кровли паркинга")</f>
        <v>Пироги кровли паркинга</v>
      </c>
      <c r="C131" s="353" t="s">
        <v>242</v>
      </c>
      <c r="D131" s="350"/>
      <c r="E131" s="351"/>
    </row>
    <row r="132" spans="1:5" ht="13.2">
      <c r="A132" s="4" t="s">
        <v>243</v>
      </c>
      <c r="B132" s="5" t="str">
        <f>HYPERLINK("https://constructor.brusnika.ru/object-module/principled-decisions/project-solution-groups/5c3aa6ac-dfa0-4ce5-a9c6-882adc6ab6b7/2850?version=3", "Террасная доска")</f>
        <v>Террасная доска</v>
      </c>
      <c r="C132" s="353" t="s">
        <v>244</v>
      </c>
      <c r="D132" s="350"/>
      <c r="E132" s="351"/>
    </row>
    <row r="133" spans="1:5" ht="20.399999999999999">
      <c r="A133" s="4" t="s">
        <v>245</v>
      </c>
      <c r="B133" s="5" t="str">
        <f>HYPERLINK("https://constructor.brusnika.ru/object-module/principled-decisions/project-solution-groups/7f517705-bb45-47d4-af11-7372c2ad3bf4/2851?version=2", "Внешние стены. Блок керамический.")</f>
        <v>Внешние стены. Блок керамический.</v>
      </c>
      <c r="C133" s="353" t="s">
        <v>246</v>
      </c>
      <c r="D133" s="350"/>
      <c r="E133" s="351"/>
    </row>
    <row r="134" spans="1:5" ht="13.2">
      <c r="A134" s="4" t="s">
        <v>247</v>
      </c>
      <c r="B134" s="5" t="str">
        <f>HYPERLINK("https://constructor.brusnika.ru/object-module/principled-decisions/project-solution-groups/7f517705-bb45-47d4-af11-7372c2ad3bf4/2852?version=2", "Монолитный борт первого этажа")</f>
        <v>Монолитный борт первого этажа</v>
      </c>
      <c r="C134" s="353" t="s">
        <v>248</v>
      </c>
      <c r="D134" s="350"/>
      <c r="E134" s="351"/>
    </row>
    <row r="135" spans="1:5" ht="13.2">
      <c r="A135" s="4" t="s">
        <v>249</v>
      </c>
      <c r="B135" s="5" t="str">
        <f>HYPERLINK("https://constructor.brusnika.ru/object-module/principled-decisions/project-solution-groups/7f517705-bb45-47d4-af11-7372c2ad3bf4/2853?version=3", "Монолитный парапет")</f>
        <v>Монолитный парапет</v>
      </c>
      <c r="C135" s="353" t="s">
        <v>250</v>
      </c>
      <c r="D135" s="350"/>
      <c r="E135" s="351"/>
    </row>
    <row r="136" spans="1:5" ht="20.399999999999999">
      <c r="A136" s="4" t="s">
        <v>251</v>
      </c>
      <c r="B136" s="5" t="str">
        <f>HYPERLINK("https://constructor.brusnika.ru/object-module/principled-decisions/project-solution-groups/7f517705-bb45-47d4-af11-7372c2ad3bf4/2854?version=2", "Внутренние стены. Блок керамический")</f>
        <v>Внутренние стены. Блок керамический</v>
      </c>
      <c r="C136" s="353" t="s">
        <v>252</v>
      </c>
      <c r="D136" s="350"/>
      <c r="E136" s="351"/>
    </row>
    <row r="137" spans="1:5" ht="13.2">
      <c r="A137" s="4" t="s">
        <v>253</v>
      </c>
      <c r="B137" s="5" t="str">
        <f>HYPERLINK("https://constructor.brusnika.ru/object-module/principled-decisions/project-solution-groups/7f517705-bb45-47d4-af11-7372c2ad3bf4/2855?version=2", "Перегородки")</f>
        <v>Перегородки</v>
      </c>
      <c r="C137" s="353" t="s">
        <v>254</v>
      </c>
      <c r="D137" s="350"/>
      <c r="E137" s="351"/>
    </row>
    <row r="138" spans="1:5" ht="13.2">
      <c r="A138" s="4" t="s">
        <v>255</v>
      </c>
      <c r="B138" s="8" t="s">
        <v>256</v>
      </c>
      <c r="C138" s="353" t="s">
        <v>257</v>
      </c>
      <c r="D138" s="350"/>
      <c r="E138" s="351"/>
    </row>
    <row r="139" spans="1:5" ht="13.2">
      <c r="A139" s="4" t="s">
        <v>258</v>
      </c>
      <c r="B139" s="5" t="str">
        <f>HYPERLINK("https://constructor.brusnika.ru/object-module/principled-decisions/project-solution-groups/077c638b-2559-42d5-bb5b-f3a69ba0699d/2856?version=1", "Оконные проемы первого этажа")</f>
        <v>Оконные проемы первого этажа</v>
      </c>
      <c r="C139" s="353" t="s">
        <v>259</v>
      </c>
      <c r="D139" s="350"/>
      <c r="E139" s="351"/>
    </row>
    <row r="140" spans="1:5" ht="20.399999999999999">
      <c r="A140" s="4" t="s">
        <v>260</v>
      </c>
      <c r="B140" s="7" t="s">
        <v>261</v>
      </c>
      <c r="C140" s="357" t="s">
        <v>262</v>
      </c>
      <c r="D140" s="350"/>
      <c r="E140" s="351"/>
    </row>
    <row r="141" spans="1:5" ht="20.399999999999999">
      <c r="A141" s="4" t="s">
        <v>263</v>
      </c>
      <c r="B141" s="5" t="str">
        <f>HYPERLINK("https://constructor.brusnika.ru/object-module/principled-decisions/project-solution-groups/077c638b-2559-42d5-bb5b-f3a69ba0699d/2862?version=2", "Оконные проемы верхнего (3.02 м) этажа.")</f>
        <v>Оконные проемы верхнего (3.02 м) этажа.</v>
      </c>
      <c r="C141" s="356" t="s">
        <v>264</v>
      </c>
      <c r="D141" s="350"/>
      <c r="E141" s="351"/>
    </row>
    <row r="142" spans="1:5" ht="20.399999999999999">
      <c r="A142" s="4" t="s">
        <v>265</v>
      </c>
      <c r="B142" s="5" t="str">
        <f>HYPERLINK("https://constructor.brusnika.ru/object-module/principled-decisions/project-solution-groups/077c638b-2559-42d5-bb5b-f3a69ba0699d/2863?version=1", "Дверные проемы и их заполнение на нижнем этаже С28, С50, Б50")</f>
        <v>Дверные проемы и их заполнение на нижнем этаже С28, С50, Б50</v>
      </c>
      <c r="C142" s="353" t="s">
        <v>266</v>
      </c>
      <c r="D142" s="350"/>
      <c r="E142" s="351"/>
    </row>
    <row r="143" spans="1:5" ht="20.399999999999999">
      <c r="A143" s="4" t="s">
        <v>267</v>
      </c>
      <c r="B143" s="5" t="str">
        <f>HYPERLINK("https://constructor.brusnika.ru/object-module/principled-decisions/project-solution-groups/077c638b-2559-42d5-bb5b-f3a69ba0699d/2867?version=1", "Дверные проемы и их заполнение на первом этаже С28, С50, Б50")</f>
        <v>Дверные проемы и их заполнение на первом этаже С28, С50, Б50</v>
      </c>
      <c r="C143" s="353" t="s">
        <v>268</v>
      </c>
      <c r="D143" s="350"/>
      <c r="E143" s="351"/>
    </row>
    <row r="144" spans="1:5" ht="20.399999999999999">
      <c r="A144" s="4" t="s">
        <v>269</v>
      </c>
      <c r="B144" s="5" t="str">
        <f>HYPERLINK("https://constructor.brusnika.ru/object-module/principled-decisions/project-solution-groups/077c638b-2559-42d5-bb5b-f3a69ba0699d/2872?version=1", "Дверные проемы и их заполнение на типовом этаже С28, С50, Б50")</f>
        <v>Дверные проемы и их заполнение на типовом этаже С28, С50, Б50</v>
      </c>
      <c r="C144" s="353" t="s">
        <v>270</v>
      </c>
      <c r="D144" s="350"/>
      <c r="E144" s="351"/>
    </row>
    <row r="145" spans="1:5" ht="20.399999999999999">
      <c r="A145" s="4" t="s">
        <v>271</v>
      </c>
      <c r="B145" s="5" t="str">
        <f>HYPERLINK("https://constructor.brusnika.ru/object-module/principled-decisions/project-solution-groups/077c638b-2559-42d5-bb5b-f3a69ba0699d/2876?version=1", "Дверные проемы и их заполнение на особенном этаже С28, С50, Б50")</f>
        <v>Дверные проемы и их заполнение на особенном этаже С28, С50, Б50</v>
      </c>
      <c r="C145" s="353" t="s">
        <v>272</v>
      </c>
      <c r="D145" s="350"/>
      <c r="E145" s="351"/>
    </row>
    <row r="146" spans="1:5" ht="20.399999999999999">
      <c r="A146" s="4" t="s">
        <v>273</v>
      </c>
      <c r="B146" s="5" t="str">
        <f>HYPERLINK("https://constructor.brusnika.ru/object-module/principled-decisions/project-solution-groups/077c638b-2559-42d5-bb5b-f3a69ba0699d/2871?version=1", "Дверные проемы и их заполнение на верхнем этаже С28, С50, Б50")</f>
        <v>Дверные проемы и их заполнение на верхнем этаже С28, С50, Б50</v>
      </c>
      <c r="C146" s="353" t="s">
        <v>274</v>
      </c>
      <c r="D146" s="350"/>
      <c r="E146" s="351"/>
    </row>
    <row r="147" spans="1:5" ht="13.2">
      <c r="A147" s="4" t="s">
        <v>275</v>
      </c>
      <c r="B147" s="5" t="str">
        <f>HYPERLINK("https://constructor.brusnika.ru/object-module/principled-decisions/project-solution-groups/077c638b-2559-42d5-bb5b-f3a69ba0699d/2881?version=4", "Перемычки оконных проемов")</f>
        <v>Перемычки оконных проемов</v>
      </c>
      <c r="C147" s="353" t="s">
        <v>276</v>
      </c>
      <c r="D147" s="350"/>
      <c r="E147" s="351"/>
    </row>
    <row r="148" spans="1:5" ht="13.2">
      <c r="A148" s="4" t="s">
        <v>277</v>
      </c>
      <c r="B148" s="5" t="str">
        <f>HYPERLINK("https://constructor.brusnika.ru/object-module/principled-decisions/project-solution-groups/077c638b-2559-42d5-bb5b-f3a69ba0699d/2882?version=1", "Перемычки дверных проемов")</f>
        <v>Перемычки дверных проемов</v>
      </c>
      <c r="C148" s="353" t="s">
        <v>278</v>
      </c>
      <c r="D148" s="350"/>
      <c r="E148" s="351"/>
    </row>
    <row r="149" spans="1:5" ht="13.2">
      <c r="A149" s="4" t="s">
        <v>279</v>
      </c>
      <c r="B149" s="5" t="str">
        <f>HYPERLINK("https://constructor.brusnika.ru/object-module/principled-decisions/project-solution-groups/077c638b-2559-42d5-bb5b-f3a69ba0699d/2883?version=1", "Инженерные ниши С28, С50")</f>
        <v>Инженерные ниши С28, С50</v>
      </c>
      <c r="C149" s="353" t="s">
        <v>280</v>
      </c>
      <c r="D149" s="350"/>
      <c r="E149" s="351"/>
    </row>
    <row r="150" spans="1:5" ht="20.399999999999999">
      <c r="A150" s="4" t="s">
        <v>281</v>
      </c>
      <c r="B150" s="5" t="str">
        <f>HYPERLINK("https://constructor.brusnika.ru/object-module/principled-decisions/project-solution-groups/90dd175d-a00d-4752-9f82-8544aa8c3cdd/2885?version=1", "Оконные конструкции ПВХ первого этажа")</f>
        <v>Оконные конструкции ПВХ первого этажа</v>
      </c>
      <c r="C150" s="353" t="s">
        <v>282</v>
      </c>
      <c r="D150" s="350"/>
      <c r="E150" s="351"/>
    </row>
    <row r="151" spans="1:5" ht="20.399999999999999">
      <c r="A151" s="4" t="s">
        <v>283</v>
      </c>
      <c r="B151" s="7" t="s">
        <v>284</v>
      </c>
      <c r="C151" s="353" t="s">
        <v>285</v>
      </c>
      <c r="D151" s="350"/>
      <c r="E151" s="351"/>
    </row>
    <row r="152" spans="1:5" ht="20.399999999999999">
      <c r="A152" s="4" t="s">
        <v>286</v>
      </c>
      <c r="B152" s="5" t="str">
        <f>HYPERLINK("https://constructor.brusnika.ru/object-module/principled-decisions/project-solution-groups/90dd175d-a00d-4752-9f82-8544aa8c3cdd/2889?version=1", "Оконные конструкции ПВХ верхнего этажа")</f>
        <v>Оконные конструкции ПВХ верхнего этажа</v>
      </c>
      <c r="C152" s="353" t="s">
        <v>287</v>
      </c>
      <c r="D152" s="350"/>
      <c r="E152" s="351"/>
    </row>
    <row r="153" spans="1:5" ht="20.399999999999999">
      <c r="A153" s="4" t="s">
        <v>288</v>
      </c>
      <c r="B153" s="5" t="str">
        <f>HYPERLINK("https://constructor.brusnika.ru/object-module/principled-decisions/project-solution-groups/90dd175d-a00d-4752-9f82-8544aa8c3cdd/2890?version=1", "Оконные конструкции ДВА первого этажа")</f>
        <v>Оконные конструкции ДВА первого этажа</v>
      </c>
      <c r="C153" s="353" t="s">
        <v>282</v>
      </c>
      <c r="D153" s="350"/>
      <c r="E153" s="351"/>
    </row>
    <row r="154" spans="1:5" ht="20.399999999999999">
      <c r="A154" s="4" t="s">
        <v>289</v>
      </c>
      <c r="B154" s="8" t="s">
        <v>290</v>
      </c>
      <c r="C154" s="353" t="s">
        <v>291</v>
      </c>
      <c r="D154" s="350"/>
      <c r="E154" s="351"/>
    </row>
    <row r="155" spans="1:5" ht="13.2">
      <c r="A155" s="4" t="s">
        <v>292</v>
      </c>
      <c r="B155" s="5" t="str">
        <f>HYPERLINK("https://constructor.brusnika.ru/object-module/principled-decisions/project-solution-groups/90dd175d-a00d-4752-9f82-8544aa8c3cdd/2896?version=1", "Витражи первого этажа")</f>
        <v>Витражи первого этажа</v>
      </c>
      <c r="C155" s="353" t="s">
        <v>293</v>
      </c>
      <c r="D155" s="350"/>
      <c r="E155" s="351"/>
    </row>
    <row r="156" spans="1:5" ht="13.2">
      <c r="A156" s="4" t="s">
        <v>294</v>
      </c>
      <c r="B156" s="5" t="str">
        <f>HYPERLINK("https://constructor.brusnika.ru/object-module/principled-decisions/project-solution-groups/90dd175d-a00d-4752-9f82-8544aa8c3cdd/2899?version=1", "Витражи типового этажа")</f>
        <v>Витражи типового этажа</v>
      </c>
      <c r="C156" s="353" t="s">
        <v>295</v>
      </c>
      <c r="D156" s="350"/>
      <c r="E156" s="351"/>
    </row>
    <row r="157" spans="1:5" ht="13.2">
      <c r="A157" s="4" t="s">
        <v>296</v>
      </c>
      <c r="B157" s="5" t="str">
        <f>HYPERLINK("https://constructor.brusnika.ru/object-module/principled-decisions/project-solution-groups/90dd175d-a00d-4752-9f82-8544aa8c3cdd/2900?version=1", "Витражи особенного этажа")</f>
        <v>Витражи особенного этажа</v>
      </c>
      <c r="C157" s="353" t="s">
        <v>297</v>
      </c>
      <c r="D157" s="350"/>
      <c r="E157" s="351"/>
    </row>
    <row r="158" spans="1:5" ht="13.2">
      <c r="A158" s="4" t="s">
        <v>298</v>
      </c>
      <c r="B158" s="5" t="str">
        <f>HYPERLINK("https://constructor.brusnika.ru/object-module/principled-decisions/project-solution-groups/90dd175d-a00d-4752-9f82-8544aa8c3cdd/2901?version=1", "Витражи верхнего этажа")</f>
        <v>Витражи верхнего этажа</v>
      </c>
      <c r="C158" s="353" t="s">
        <v>299</v>
      </c>
      <c r="D158" s="350"/>
      <c r="E158" s="351"/>
    </row>
    <row r="159" spans="1:5" ht="13.2">
      <c r="A159" s="4" t="s">
        <v>300</v>
      </c>
      <c r="B159" s="5" t="str">
        <f>HYPERLINK("https://constructor.brusnika.ru/object-module/principled-decisions/project-solution-groups/da527ee1-d29e-44cb-903d-b311adaf8f92/2903?version=1", "Входные двери")</f>
        <v>Входные двери</v>
      </c>
      <c r="C159" s="353" t="s">
        <v>301</v>
      </c>
      <c r="D159" s="350"/>
      <c r="E159" s="351"/>
    </row>
    <row r="160" spans="1:5" ht="13.2">
      <c r="A160" s="4" t="s">
        <v>302</v>
      </c>
      <c r="B160" s="5" t="str">
        <f>HYPERLINK("https://constructor.brusnika.ru/object-module/principled-decisions/project-solution-groups/da527ee1-d29e-44cb-903d-b311adaf8f92/2905?version=1", "Ворота паркинга")</f>
        <v>Ворота паркинга</v>
      </c>
      <c r="C160" s="353" t="s">
        <v>303</v>
      </c>
      <c r="D160" s="350"/>
      <c r="E160" s="351"/>
    </row>
    <row r="161" spans="1:5" ht="20.399999999999999">
      <c r="A161" s="4" t="s">
        <v>304</v>
      </c>
      <c r="B161" s="5" t="str">
        <f>HYPERLINK("https://constructor.brusnika.ru/object-module/principled-decisions/project-solution-groups/da527ee1-d29e-44cb-903d-b311adaf8f92/2906?version=1", "Отдельный вход в квартиру. Общая информация.")</f>
        <v>Отдельный вход в квартиру. Общая информация.</v>
      </c>
      <c r="C161" s="353" t="s">
        <v>305</v>
      </c>
      <c r="D161" s="350"/>
      <c r="E161" s="351"/>
    </row>
    <row r="162" spans="1:5" ht="20.399999999999999">
      <c r="A162" s="4" t="s">
        <v>306</v>
      </c>
      <c r="B162" s="5" t="str">
        <f>HYPERLINK("https://constructor.brusnika.ru/object-module/principled-decisions/project-solution-groups/da527ee1-d29e-44cb-903d-b311adaf8f92/2907?version=1", "Отдельный вход в квартиру. Заполнение.")</f>
        <v>Отдельный вход в квартиру. Заполнение.</v>
      </c>
      <c r="C162" s="353" t="s">
        <v>307</v>
      </c>
      <c r="D162" s="350"/>
      <c r="E162" s="351"/>
    </row>
    <row r="163" spans="1:5" ht="20.399999999999999">
      <c r="A163" s="4" t="s">
        <v>308</v>
      </c>
      <c r="B163" s="5" t="str">
        <f>HYPERLINK("https://constructor.brusnika.ru/object-module/principled-decisions/project-solution-groups/2e9ac9b9-40a3-4aaa-9b0f-48ec66016022/2910?version=2", "Матрица ограждений префабрицированных балконов")</f>
        <v>Матрица ограждений префабрицированных балконов</v>
      </c>
      <c r="C163" s="353" t="s">
        <v>309</v>
      </c>
      <c r="D163" s="350"/>
      <c r="E163" s="351"/>
    </row>
    <row r="164" spans="1:5" ht="20.399999999999999">
      <c r="A164" s="4" t="s">
        <v>310</v>
      </c>
      <c r="B164" s="5" t="str">
        <f>HYPERLINK("https://constructor.brusnika.ru/object-module/principled-decisions/project-solution-groups/2e9ac9b9-40a3-4aaa-9b0f-48ec66016022/2886?version=1", "Матрица ограждений монолитных балконов")</f>
        <v>Матрица ограждений монолитных балконов</v>
      </c>
      <c r="C164" s="353" t="s">
        <v>311</v>
      </c>
      <c r="D164" s="350"/>
      <c r="E164" s="351"/>
    </row>
    <row r="165" spans="1:5" ht="20.399999999999999">
      <c r="A165" s="4" t="s">
        <v>312</v>
      </c>
      <c r="B165" s="5" t="str">
        <f>HYPERLINK("https://constructor.brusnika.ru/object-module/principled-decisions/project-solution-groups/1960716b-b52b-45a2-ae53-dc0622423f6f/2912?version=1", "Ограждения префабрицированных лестниц лифтового узла")</f>
        <v>Ограждения префабрицированных лестниц лифтового узла</v>
      </c>
      <c r="C165" s="353" t="s">
        <v>313</v>
      </c>
      <c r="D165" s="350"/>
      <c r="E165" s="351"/>
    </row>
    <row r="166" spans="1:5" ht="20.399999999999999">
      <c r="A166" s="4" t="s">
        <v>314</v>
      </c>
      <c r="B166" s="5" t="str">
        <f>HYPERLINK("https://constructor.brusnika.ru/object-module/principled-decisions/project-solution-groups/1960716b-b52b-45a2-ae53-dc0622423f6f/2913?version=1", "Ограждения монолитных лестниц лифтового узла")</f>
        <v>Ограждения монолитных лестниц лифтового узла</v>
      </c>
      <c r="C166" s="353" t="s">
        <v>315</v>
      </c>
      <c r="D166" s="350"/>
      <c r="E166" s="351"/>
    </row>
    <row r="167" spans="1:5" ht="40.799999999999997">
      <c r="A167" s="4" t="s">
        <v>316</v>
      </c>
      <c r="B167" s="5" t="str">
        <f>HYPERLINK("https://constructor.brusnika.ru/object-module/principled-decisions/project-solution-groups/bf6f71c7-d26c-4617-8619-2d62b5494be3/2835?version=1", "Ограждения террас
типовых
особенных
и верхних этажей")</f>
        <v>Ограждения террас
типовых
особенных
и верхних этажей</v>
      </c>
      <c r="C167" s="353" t="s">
        <v>317</v>
      </c>
      <c r="D167" s="350"/>
      <c r="E167" s="351"/>
    </row>
    <row r="168" spans="1:5" ht="13.2">
      <c r="A168" s="4" t="s">
        <v>318</v>
      </c>
      <c r="B168" s="5" t="str">
        <f>HYPERLINK("https://constructor.brusnika.ru/object-module/principled-decisions/project-solution-groups/1960716b-b52b-45a2-ae53-dc0622423f6f/2914?version=2", "Пожарная лестница длиной до 6м")</f>
        <v>Пожарная лестница длиной до 6м</v>
      </c>
      <c r="C168" s="353" t="s">
        <v>319</v>
      </c>
      <c r="D168" s="350"/>
      <c r="E168" s="351"/>
    </row>
    <row r="169" spans="1:5" ht="13.2">
      <c r="A169" s="4" t="s">
        <v>320</v>
      </c>
      <c r="B169" s="5" t="str">
        <f>HYPERLINK("https://constructor.brusnika.ru/object-module/principled-decisions/project-solution-groups/1960716b-b52b-45a2-ae53-dc0622423f6f/2915?version=1", "Пожарная лестница длиной от 6м")</f>
        <v>Пожарная лестница длиной от 6м</v>
      </c>
      <c r="C169" s="353" t="s">
        <v>321</v>
      </c>
      <c r="D169" s="350"/>
      <c r="E169" s="351"/>
    </row>
    <row r="170" spans="1:5" ht="13.2">
      <c r="A170" s="354" t="s">
        <v>322</v>
      </c>
      <c r="B170" s="350"/>
      <c r="C170" s="350"/>
      <c r="D170" s="350"/>
      <c r="E170" s="351"/>
    </row>
    <row r="171" spans="1:5" ht="13.2">
      <c r="A171" s="354" t="s">
        <v>323</v>
      </c>
      <c r="B171" s="350"/>
      <c r="C171" s="350"/>
      <c r="D171" s="350"/>
      <c r="E171" s="351"/>
    </row>
    <row r="172" spans="1:5" ht="13.2">
      <c r="A172" s="354" t="s">
        <v>324</v>
      </c>
      <c r="B172" s="350"/>
      <c r="C172" s="350"/>
      <c r="D172" s="350"/>
      <c r="E172" s="351"/>
    </row>
    <row r="173" spans="1:5" ht="20.399999999999999">
      <c r="A173" s="4" t="s">
        <v>325</v>
      </c>
      <c r="B173" s="5" t="str">
        <f>HYPERLINK("https://constructor.brusnika.ru/object-module/principled-decisions/project-solution-groups/fc279583-2c82-4ea3-8309-7bad6a747ef3/3752?version=1", "Вертикальные несущие элементы массинга ")</f>
        <v xml:space="preserve">Вертикальные несущие элементы массинга </v>
      </c>
      <c r="C173" s="356" t="s">
        <v>326</v>
      </c>
      <c r="D173" s="350"/>
      <c r="E173" s="351"/>
    </row>
    <row r="174" spans="1:5" ht="13.2">
      <c r="A174" s="4" t="s">
        <v>327</v>
      </c>
      <c r="B174" s="5" t="str">
        <f>HYPERLINK("https://constructor.brusnika.ru/object-module/principled-decisions/project-solution-groups/fc279583-2c82-4ea3-8309-7bad6a747ef3/2813?version=5", "Каркас С28")</f>
        <v>Каркас С28</v>
      </c>
      <c r="C174" s="353" t="s">
        <v>328</v>
      </c>
      <c r="D174" s="350"/>
      <c r="E174" s="351"/>
    </row>
    <row r="175" spans="1:5" ht="13.2">
      <c r="A175" s="4" t="s">
        <v>329</v>
      </c>
      <c r="B175" s="5" t="str">
        <f>HYPERLINK("https://constructor.brusnika.ru/object-module/principled-decisions/project-solution-groups/fc279583-2c82-4ea3-8309-7bad6a747ef3/2836?version=2", "Каркас С50")</f>
        <v>Каркас С50</v>
      </c>
      <c r="C175" s="353" t="s">
        <v>330</v>
      </c>
      <c r="D175" s="350"/>
      <c r="E175" s="351"/>
    </row>
    <row r="176" spans="1:5" ht="367.2">
      <c r="A176" s="4" t="s">
        <v>331</v>
      </c>
      <c r="B176" s="6" t="s">
        <v>332</v>
      </c>
      <c r="C176" s="355" t="s">
        <v>333</v>
      </c>
      <c r="D176" s="350"/>
      <c r="E176" s="351"/>
    </row>
    <row r="177" spans="1:5" ht="13.2">
      <c r="A177" s="4" t="s">
        <v>334</v>
      </c>
      <c r="B177" s="5" t="str">
        <f>HYPERLINK("https://constructor.brusnika.ru/object-module/principled-decisions/project-solution-groups/cd25c060-e3ad-4832-a54f-69d44aac9f84/3113?version=2", "Стены ЛЛУ монолитные")</f>
        <v>Стены ЛЛУ монолитные</v>
      </c>
      <c r="C177" s="356" t="s">
        <v>335</v>
      </c>
      <c r="D177" s="350"/>
      <c r="E177" s="351"/>
    </row>
    <row r="178" spans="1:5" ht="13.2">
      <c r="A178" s="4" t="s">
        <v>336</v>
      </c>
      <c r="B178" s="5" t="str">
        <f>HYPERLINK("https://constructor.brusnika.ru/object-module/principled-decisions/project-solution-groups/cd25c060-e3ad-4832-a54f-69d44aac9f84/3115?version=1", "Стены монолитные")</f>
        <v>Стены монолитные</v>
      </c>
      <c r="C178" s="353" t="s">
        <v>337</v>
      </c>
      <c r="D178" s="350"/>
      <c r="E178" s="351"/>
    </row>
    <row r="179" spans="1:5" ht="13.2">
      <c r="A179" s="4" t="s">
        <v>338</v>
      </c>
      <c r="B179" s="5" t="str">
        <f>HYPERLINK("https://constructor.brusnika.ru/object-module/principled-decisions/project-solution-groups/cd25c060-e3ad-4832-a54f-69d44aac9f84/3116?version=1", "Парапет монолитный")</f>
        <v>Парапет монолитный</v>
      </c>
      <c r="C179" s="353" t="s">
        <v>339</v>
      </c>
      <c r="D179" s="350"/>
      <c r="E179" s="351"/>
    </row>
    <row r="180" spans="1:5" ht="13.2">
      <c r="A180" s="4" t="s">
        <v>340</v>
      </c>
      <c r="B180" s="5" t="str">
        <f>HYPERLINK("https://constructor.brusnika.ru/object-module/principled-decisions/project-solution-groups/cd25c060-e3ad-4832-a54f-69d44aac9f84/3117?version=2", "Борт монолитный")</f>
        <v>Борт монолитный</v>
      </c>
      <c r="C180" s="353" t="s">
        <v>341</v>
      </c>
      <c r="D180" s="350"/>
      <c r="E180" s="351"/>
    </row>
    <row r="181" spans="1:5" ht="13.2">
      <c r="A181" s="4" t="s">
        <v>342</v>
      </c>
      <c r="B181" s="5" t="str">
        <f>HYPERLINK("https://constructor.brusnika.ru/object-module/principled-decisions/project-solution-groups/1189d0c9-4a08-4540-9bd9-ae4420e9bd80/3119?version=1", "Фундаменты")</f>
        <v>Фундаменты</v>
      </c>
      <c r="C181" s="353" t="s">
        <v>343</v>
      </c>
      <c r="D181" s="350"/>
      <c r="E181" s="351"/>
    </row>
    <row r="182" spans="1:5" ht="20.399999999999999">
      <c r="A182" s="4" t="s">
        <v>344</v>
      </c>
      <c r="B182" s="5" t="str">
        <f>HYPERLINK("https://constructor.brusnika.ru/object-module/principled-decisions/project-solution-groups/1189d0c9-4a08-4540-9bd9-ae4420e9bd80/3120?version=2", "Фундаменты под малые архитектурные формы")</f>
        <v>Фундаменты под малые архитектурные формы</v>
      </c>
      <c r="C182" s="356" t="s">
        <v>345</v>
      </c>
      <c r="D182" s="350"/>
      <c r="E182" s="351"/>
    </row>
    <row r="183" spans="1:5" ht="20.399999999999999">
      <c r="A183" s="4" t="s">
        <v>346</v>
      </c>
      <c r="B183" s="5" t="str">
        <f>HYPERLINK("https://constructor.brusnika.ru/object-module/principled-decisions/project-solution-groups/1189d0c9-4a08-4540-9bd9-ae4420e9bd80/3124?version=2", "Монолитные плиты перекрытия, покрытия")</f>
        <v>Монолитные плиты перекрытия, покрытия</v>
      </c>
      <c r="C183" s="356" t="s">
        <v>347</v>
      </c>
      <c r="D183" s="350"/>
      <c r="E183" s="351"/>
    </row>
    <row r="184" spans="1:5" ht="13.2">
      <c r="A184" s="4" t="s">
        <v>348</v>
      </c>
      <c r="B184" s="5" t="str">
        <f>HYPERLINK("https://constructor.brusnika.ru/object-module/principled-decisions/project-solution-groups/1189d0c9-4a08-4540-9bd9-ae4420e9bd80/3125?version=1", "Монолитные балки")</f>
        <v>Монолитные балки</v>
      </c>
      <c r="C184" s="353" t="s">
        <v>349</v>
      </c>
      <c r="D184" s="350"/>
      <c r="E184" s="351"/>
    </row>
    <row r="185" spans="1:5" ht="13.2">
      <c r="A185" s="4" t="s">
        <v>350</v>
      </c>
      <c r="B185" s="5" t="str">
        <f>HYPERLINK("https://constructor.brusnika.ru/object-module/principled-decisions/project-solution-groups/cd25c060-e3ad-4832-a54f-69d44aac9f84/3131?version=1", "Монолитные пилоны")</f>
        <v>Монолитные пилоны</v>
      </c>
      <c r="C185" s="353" t="s">
        <v>351</v>
      </c>
      <c r="D185" s="350"/>
      <c r="E185" s="351"/>
    </row>
    <row r="186" spans="1:5" ht="13.2">
      <c r="A186" s="4" t="s">
        <v>352</v>
      </c>
      <c r="B186" s="5" t="str">
        <f>HYPERLINK("https://constructor.brusnika.ru/object-module/principled-decisions/project-solution-groups/d7c8b307-54bd-4941-80e9-3e2e8db42869/3134?version=2", "Деформационный шов жилой части")</f>
        <v>Деформационный шов жилой части</v>
      </c>
      <c r="C186" s="356" t="s">
        <v>353</v>
      </c>
      <c r="D186" s="350"/>
      <c r="E186" s="351"/>
    </row>
    <row r="187" spans="1:5" ht="13.2">
      <c r="A187" s="4" t="s">
        <v>354</v>
      </c>
      <c r="B187" s="5" t="str">
        <f>HYPERLINK("https://constructor.brusnika.ru/object-module/principled-decisions/project-solution-groups/d7c8b307-54bd-4941-80e9-3e2e8db42869/3135?version=3", "Деформационный шов паркинга")</f>
        <v>Деформационный шов паркинга</v>
      </c>
      <c r="C187" s="356" t="s">
        <v>355</v>
      </c>
      <c r="D187" s="350"/>
      <c r="E187" s="351"/>
    </row>
    <row r="188" spans="1:5" ht="20.399999999999999">
      <c r="A188" s="4" t="s">
        <v>356</v>
      </c>
      <c r="B188" s="5" t="str">
        <f>HYPERLINK("https://constructor.brusnika.ru/object-module/principled-decisions/project-solution-groups/d7c8b307-54bd-4941-80e9-3e2e8db42869/3136?version=2", "Деформационный шов между жилой частью и паркингом")</f>
        <v>Деформационный шов между жилой частью и паркингом</v>
      </c>
      <c r="C188" s="356" t="s">
        <v>357</v>
      </c>
      <c r="D188" s="350"/>
      <c r="E188" s="351"/>
    </row>
    <row r="189" spans="1:5" ht="20.399999999999999">
      <c r="A189" s="4" t="s">
        <v>358</v>
      </c>
      <c r="B189" s="5" t="str">
        <f>HYPERLINK("https://constructor.brusnika.ru/object-module/principled-decisions/project-solution-groups/fc279583-2c82-4ea3-8309-7bad6a747ef3/3748?version=1", "Излом (перепад) плит первого этажа")</f>
        <v>Излом (перепад) плит первого этажа</v>
      </c>
      <c r="C189" s="356" t="s">
        <v>359</v>
      </c>
      <c r="D189" s="350"/>
      <c r="E189" s="351"/>
    </row>
    <row r="190" spans="1:5" ht="13.2">
      <c r="A190" s="354" t="s">
        <v>360</v>
      </c>
      <c r="B190" s="350"/>
      <c r="C190" s="350"/>
      <c r="D190" s="350"/>
      <c r="E190" s="351"/>
    </row>
    <row r="191" spans="1:5" ht="13.2">
      <c r="A191" s="4" t="s">
        <v>361</v>
      </c>
      <c r="B191" s="5" t="str">
        <f>HYPERLINK("https://constructor.brusnika.ru/object-module/principled-decisions/project-solution-groups/ab0bee3a-32f1-4f60-978d-386e9ae9d051/3761?version=1", "Каркас нижнего этажа С28 класс С")</f>
        <v>Каркас нижнего этажа С28 класс С</v>
      </c>
      <c r="C191" s="356" t="s">
        <v>362</v>
      </c>
      <c r="D191" s="350"/>
      <c r="E191" s="351"/>
    </row>
    <row r="192" spans="1:5" ht="13.2">
      <c r="A192" s="4" t="s">
        <v>363</v>
      </c>
      <c r="B192" s="5" t="str">
        <f>HYPERLINK("https://constructor.brusnika.ru/object-module/principled-decisions/project-solution-groups/ab0bee3a-32f1-4f60-978d-386e9ae9d051/3144?version=1", "Каркас ЛЛУ нижнего этажа С28")</f>
        <v>Каркас ЛЛУ нижнего этажа С28</v>
      </c>
      <c r="C192" s="353" t="s">
        <v>364</v>
      </c>
      <c r="D192" s="350"/>
      <c r="E192" s="351"/>
    </row>
    <row r="193" spans="1:5" ht="13.2">
      <c r="A193" s="4" t="s">
        <v>365</v>
      </c>
      <c r="B193" s="5" t="str">
        <f>HYPERLINK("https://constructor.brusnika.ru/object-module/principled-decisions/project-solution-groups/ab0bee3a-32f1-4f60-978d-386e9ae9d051/3712?version=1", "Каркас нижнего этажа C50 класс С ")</f>
        <v xml:space="preserve">Каркас нижнего этажа C50 класс С </v>
      </c>
      <c r="C193" s="356" t="s">
        <v>366</v>
      </c>
      <c r="D193" s="350"/>
      <c r="E193" s="351"/>
    </row>
    <row r="194" spans="1:5" ht="13.2">
      <c r="A194" s="4" t="s">
        <v>367</v>
      </c>
      <c r="B194" s="5" t="str">
        <f>HYPERLINK("https://constructor.brusnika.ru/object-module/principled-decisions/project-solution-groups/ab0bee3a-32f1-4f60-978d-386e9ae9d051/3148?version=1", "Каркас ЛЛУ нижнего этажа C50")</f>
        <v>Каркас ЛЛУ нижнего этажа C50</v>
      </c>
      <c r="C194" s="353" t="s">
        <v>368</v>
      </c>
      <c r="D194" s="350"/>
      <c r="E194" s="351"/>
    </row>
    <row r="195" spans="1:5" ht="13.2">
      <c r="A195" s="4" t="s">
        <v>369</v>
      </c>
      <c r="B195" s="5" t="str">
        <f>HYPERLINK("https://constructor.brusnika.ru/object-module/principled-decisions/project-solution-groups/8cada7e9-2aa4-4116-ac4b-347c487bb9fa/3159?version=1", "Каркас первого этажа С28 класс С")</f>
        <v>Каркас первого этажа С28 класс С</v>
      </c>
      <c r="C195" s="353" t="s">
        <v>370</v>
      </c>
      <c r="D195" s="350"/>
      <c r="E195" s="351"/>
    </row>
    <row r="196" spans="1:5" ht="13.2">
      <c r="A196" s="4" t="s">
        <v>371</v>
      </c>
      <c r="B196" s="5" t="str">
        <f>HYPERLINK("https://constructor.brusnika.ru/object-module/principled-decisions/project-solution-groups/8cada7e9-2aa4-4116-ac4b-347c487bb9fa/3162?version=1", "Каркас ЛЛУ первого этажа С28")</f>
        <v>Каркас ЛЛУ первого этажа С28</v>
      </c>
      <c r="C196" s="353" t="s">
        <v>372</v>
      </c>
      <c r="D196" s="350"/>
      <c r="E196" s="351"/>
    </row>
    <row r="197" spans="1:5" ht="13.2">
      <c r="A197" s="4" t="s">
        <v>373</v>
      </c>
      <c r="B197" s="5" t="str">
        <f>HYPERLINK("https://constructor.brusnika.ru/object-module/principled-decisions/project-solution-groups/8cada7e9-2aa4-4116-ac4b-347c487bb9fa/3163?version=1", "Каркас первого этажа C50 класс С")</f>
        <v>Каркас первого этажа C50 класс С</v>
      </c>
      <c r="C197" s="353" t="s">
        <v>374</v>
      </c>
      <c r="D197" s="350"/>
      <c r="E197" s="351"/>
    </row>
    <row r="198" spans="1:5" ht="13.2">
      <c r="A198" s="4" t="s">
        <v>375</v>
      </c>
      <c r="B198" s="5" t="str">
        <f>HYPERLINK("https://constructor.brusnika.ru/object-module/principled-decisions/project-solution-groups/8cada7e9-2aa4-4116-ac4b-347c487bb9fa/3167?version=1", "Каркас ЛЛУ первого этажа C50")</f>
        <v>Каркас ЛЛУ первого этажа C50</v>
      </c>
      <c r="C198" s="353" t="s">
        <v>376</v>
      </c>
      <c r="D198" s="350"/>
      <c r="E198" s="351"/>
    </row>
    <row r="199" spans="1:5" ht="13.2">
      <c r="A199" s="4" t="s">
        <v>377</v>
      </c>
      <c r="B199" s="5" t="str">
        <f>HYPERLINK("https://constructor.brusnika.ru/object-module/principled-decisions/project-solution-groups/647539b7-5f35-454a-be74-5d1f9240ff39/3166?version=1", "Каркас типового этажа С28 класс С")</f>
        <v>Каркас типового этажа С28 класс С</v>
      </c>
      <c r="C199" s="353" t="s">
        <v>378</v>
      </c>
      <c r="D199" s="350"/>
      <c r="E199" s="351"/>
    </row>
    <row r="200" spans="1:5" ht="13.2">
      <c r="A200" s="4" t="s">
        <v>379</v>
      </c>
      <c r="B200" s="5" t="str">
        <f>HYPERLINK("https://constructor.brusnika.ru/object-module/principled-decisions/project-solution-groups/647539b7-5f35-454a-be74-5d1f9240ff39/3187?version=1", "Каркас ЛЛУ типового этажа С28")</f>
        <v>Каркас ЛЛУ типового этажа С28</v>
      </c>
      <c r="C200" s="353" t="s">
        <v>380</v>
      </c>
      <c r="D200" s="350"/>
      <c r="E200" s="351"/>
    </row>
    <row r="201" spans="1:5" ht="13.2">
      <c r="A201" s="4" t="s">
        <v>381</v>
      </c>
      <c r="B201" s="5" t="str">
        <f>HYPERLINK("https://constructor.brusnika.ru/object-module/principled-decisions/project-solution-groups/647539b7-5f35-454a-be74-5d1f9240ff39/3188?version=1", "Каркас типового этажа C50 класс С")</f>
        <v>Каркас типового этажа C50 класс С</v>
      </c>
      <c r="C201" s="353" t="s">
        <v>382</v>
      </c>
      <c r="D201" s="350"/>
      <c r="E201" s="351"/>
    </row>
    <row r="202" spans="1:5" ht="13.2">
      <c r="A202" s="4" t="s">
        <v>383</v>
      </c>
      <c r="B202" s="5" t="str">
        <f>HYPERLINK("https://constructor.brusnika.ru/object-module/principled-decisions/project-solution-groups/647539b7-5f35-454a-be74-5d1f9240ff39/3193?version=1", "Каркас ЛЛУ типового этажа C50")</f>
        <v>Каркас ЛЛУ типового этажа C50</v>
      </c>
      <c r="C202" s="353" t="s">
        <v>384</v>
      </c>
      <c r="D202" s="350"/>
      <c r="E202" s="351"/>
    </row>
    <row r="203" spans="1:5" ht="20.399999999999999">
      <c r="A203" s="4" t="s">
        <v>385</v>
      </c>
      <c r="B203" s="5" t="str">
        <f>HYPERLINK("https://constructor.brusnika.ru/object-module/principled-decisions/project-solution-groups/4d1e0264-7a18-49ba-9a7e-0542ce6cfd24/3209?version=2", "Каркас особенного этажа С28 класс С")</f>
        <v>Каркас особенного этажа С28 класс С</v>
      </c>
      <c r="C203" s="356" t="s">
        <v>386</v>
      </c>
      <c r="D203" s="350"/>
      <c r="E203" s="351"/>
    </row>
    <row r="204" spans="1:5" ht="13.2">
      <c r="A204" s="4" t="s">
        <v>387</v>
      </c>
      <c r="B204" s="5" t="str">
        <f>HYPERLINK("https://constructor.brusnika.ru/object-module/principled-decisions/project-solution-groups/4d1e0264-7a18-49ba-9a7e-0542ce6cfd24/3212?version=1", "Каркас ЛЛУ особенного этажа С28")</f>
        <v>Каркас ЛЛУ особенного этажа С28</v>
      </c>
      <c r="C204" s="353" t="s">
        <v>388</v>
      </c>
      <c r="D204" s="350"/>
      <c r="E204" s="351"/>
    </row>
    <row r="205" spans="1:5" ht="20.399999999999999">
      <c r="A205" s="4" t="s">
        <v>389</v>
      </c>
      <c r="B205" s="5" t="str">
        <f>HYPERLINK("https://constructor.brusnika.ru/object-module/principled-decisions/project-solution-groups/4d1e0264-7a18-49ba-9a7e-0542ce6cfd24/3213?version=1", "Каркас особенного этажа C50 класс С")</f>
        <v>Каркас особенного этажа C50 класс С</v>
      </c>
      <c r="C205" s="353" t="s">
        <v>390</v>
      </c>
      <c r="D205" s="350"/>
      <c r="E205" s="351"/>
    </row>
    <row r="206" spans="1:5" ht="13.2">
      <c r="A206" s="4" t="s">
        <v>391</v>
      </c>
      <c r="B206" s="5" t="str">
        <f>HYPERLINK("https://constructor.brusnika.ru/object-module/principled-decisions/project-solution-groups/4d1e0264-7a18-49ba-9a7e-0542ce6cfd24/3217?version=1", "Каркас ЛЛУ особенного этажа C50")</f>
        <v>Каркас ЛЛУ особенного этажа C50</v>
      </c>
      <c r="C206" s="353" t="s">
        <v>392</v>
      </c>
      <c r="D206" s="350"/>
      <c r="E206" s="351"/>
    </row>
    <row r="207" spans="1:5" ht="20.399999999999999">
      <c r="A207" s="4" t="s">
        <v>393</v>
      </c>
      <c r="B207" s="5" t="str">
        <f>HYPERLINK("https://constructor.brusnika.ru/object-module/principled-decisions/project-solution-groups/a547441b-24a1-40d4-b21e-1a0baa2f19c0/3232?version=1", "Каркас верхнего этажа С28 класс С")</f>
        <v>Каркас верхнего этажа С28 класс С</v>
      </c>
      <c r="C207" s="353" t="s">
        <v>394</v>
      </c>
      <c r="D207" s="350"/>
      <c r="E207" s="351"/>
    </row>
    <row r="208" spans="1:5" ht="20.399999999999999">
      <c r="A208" s="4" t="s">
        <v>395</v>
      </c>
      <c r="B208" s="5" t="str">
        <f>HYPERLINK("https://constructor.brusnika.ru/object-module/principled-decisions/project-solution-groups/a547441b-24a1-40d4-b21e-1a0baa2f19c0/3235?version=1", "Каркас надстроек верхнего этажа С28 класс С")</f>
        <v>Каркас надстроек верхнего этажа С28 класс С</v>
      </c>
      <c r="C208" s="353" t="s">
        <v>396</v>
      </c>
      <c r="D208" s="350"/>
      <c r="E208" s="351"/>
    </row>
    <row r="209" spans="1:5" ht="13.2">
      <c r="A209" s="4" t="s">
        <v>397</v>
      </c>
      <c r="B209" s="5" t="str">
        <f>HYPERLINK("https://constructor.brusnika.ru/object-module/principled-decisions/project-solution-groups/a547441b-24a1-40d4-b21e-1a0baa2f19c0/3239?version=1", "Каркас ЛЛУ верхнего этажа С28")</f>
        <v>Каркас ЛЛУ верхнего этажа С28</v>
      </c>
      <c r="C209" s="353" t="s">
        <v>398</v>
      </c>
      <c r="D209" s="350"/>
      <c r="E209" s="351"/>
    </row>
    <row r="210" spans="1:5" ht="20.399999999999999">
      <c r="A210" s="4" t="s">
        <v>399</v>
      </c>
      <c r="B210" s="5" t="str">
        <f>HYPERLINK("https://constructor.brusnika.ru/object-module/principled-decisions/project-solution-groups/a547441b-24a1-40d4-b21e-1a0baa2f19c0/3240?version=2", "Каркас верхнего этажа C50 класс С")</f>
        <v>Каркас верхнего этажа C50 класс С</v>
      </c>
      <c r="C210" s="356" t="s">
        <v>400</v>
      </c>
      <c r="D210" s="350"/>
      <c r="E210" s="351"/>
    </row>
    <row r="211" spans="1:5" ht="13.2">
      <c r="A211" s="4" t="s">
        <v>401</v>
      </c>
      <c r="B211" s="5" t="str">
        <f>HYPERLINK("https://constructor.brusnika.ru/object-module/principled-decisions/project-solution-groups/a547441b-24a1-40d4-b21e-1a0baa2f19c0/3247?version=1", "Каркас ЛЛУ верхнего этажа C50")</f>
        <v>Каркас ЛЛУ верхнего этажа C50</v>
      </c>
      <c r="C211" s="353" t="s">
        <v>402</v>
      </c>
      <c r="D211" s="350"/>
      <c r="E211" s="351"/>
    </row>
    <row r="212" spans="1:5" ht="20.399999999999999">
      <c r="A212" s="4" t="s">
        <v>403</v>
      </c>
      <c r="B212" s="5" t="str">
        <f>HYPERLINK("https://constructor.brusnika.ru/object-module/principled-decisions/project-solution-groups/a547441b-24a1-40d4-b21e-1a0baa2f19c0/3243?version=1", "Каркас надстроек верхнего этажа C50 класс С")</f>
        <v>Каркас надстроек верхнего этажа C50 класс С</v>
      </c>
      <c r="C212" s="353" t="s">
        <v>404</v>
      </c>
      <c r="D212" s="350"/>
      <c r="E212" s="351"/>
    </row>
    <row r="213" spans="1:5" ht="20.399999999999999">
      <c r="A213" s="4" t="s">
        <v>405</v>
      </c>
      <c r="B213" s="6" t="s">
        <v>406</v>
      </c>
      <c r="C213" s="355" t="s">
        <v>407</v>
      </c>
      <c r="D213" s="350"/>
      <c r="E213" s="351"/>
    </row>
    <row r="214" spans="1:5" ht="13.2">
      <c r="A214" s="4" t="s">
        <v>408</v>
      </c>
      <c r="B214" s="6" t="s">
        <v>409</v>
      </c>
      <c r="C214" s="360" t="s">
        <v>410</v>
      </c>
      <c r="D214" s="350"/>
      <c r="E214" s="351"/>
    </row>
    <row r="215" spans="1:5" ht="13.2">
      <c r="A215" s="4" t="s">
        <v>411</v>
      </c>
      <c r="B215" s="6" t="s">
        <v>412</v>
      </c>
      <c r="C215" s="355" t="s">
        <v>413</v>
      </c>
      <c r="D215" s="350"/>
      <c r="E215" s="351"/>
    </row>
    <row r="216" spans="1:5" ht="13.2">
      <c r="A216" s="4" t="s">
        <v>414</v>
      </c>
      <c r="B216" s="5" t="str">
        <f>HYPERLINK("https://constructor.brusnika.ru/object-module/principled-decisions/project-solution-groups/60ee4b17-7d7f-47df-95fa-d3e39635fd0b/3285?version=1", "Монолитные марши нижнего этажа")</f>
        <v>Монолитные марши нижнего этажа</v>
      </c>
      <c r="C216" s="353" t="s">
        <v>415</v>
      </c>
      <c r="D216" s="350"/>
      <c r="E216" s="351"/>
    </row>
    <row r="217" spans="1:5" ht="20.399999999999999">
      <c r="A217" s="4" t="s">
        <v>416</v>
      </c>
      <c r="B217" s="5" t="str">
        <f>HYPERLINK("https://constructor.brusnika.ru/object-module/principled-decisions/project-solution-groups/60ee4b17-7d7f-47df-95fa-d3e39635fd0b/3286?version=1", "Префаб марши и площадки нижнего этажа")</f>
        <v>Префаб марши и площадки нижнего этажа</v>
      </c>
      <c r="C217" s="353" t="s">
        <v>417</v>
      </c>
      <c r="D217" s="350"/>
      <c r="E217" s="351"/>
    </row>
    <row r="218" spans="1:5" ht="13.2">
      <c r="A218" s="4" t="s">
        <v>418</v>
      </c>
      <c r="B218" s="5" t="str">
        <f>HYPERLINK("https://constructor.brusnika.ru/object-module/principled-decisions/project-solution-groups/60ee4b17-7d7f-47df-95fa-d3e39635fd0b/3288?version=1", "Монолитные марши первого этажа")</f>
        <v>Монолитные марши первого этажа</v>
      </c>
      <c r="C218" s="353" t="s">
        <v>419</v>
      </c>
      <c r="D218" s="350"/>
      <c r="E218" s="351"/>
    </row>
    <row r="219" spans="1:5" ht="20.399999999999999">
      <c r="A219" s="4" t="s">
        <v>420</v>
      </c>
      <c r="B219" s="5" t="str">
        <f>HYPERLINK("https://constructor.brusnika.ru/object-module/principled-decisions/project-solution-groups/60ee4b17-7d7f-47df-95fa-d3e39635fd0b/3289?version=1", "Префаб марши и площадки первого этажа")</f>
        <v>Префаб марши и площадки первого этажа</v>
      </c>
      <c r="C219" s="353" t="s">
        <v>421</v>
      </c>
      <c r="D219" s="350"/>
      <c r="E219" s="351"/>
    </row>
    <row r="220" spans="1:5" ht="13.2">
      <c r="A220" s="4" t="s">
        <v>422</v>
      </c>
      <c r="B220" s="5" t="str">
        <f>HYPERLINK("https://constructor.brusnika.ru/object-module/principled-decisions/project-solution-groups/60ee4b17-7d7f-47df-95fa-d3e39635fd0b/3290?version=1", "Монолитные марши типового этажа")</f>
        <v>Монолитные марши типового этажа</v>
      </c>
      <c r="C220" s="353" t="s">
        <v>423</v>
      </c>
      <c r="D220" s="350"/>
      <c r="E220" s="351"/>
    </row>
    <row r="221" spans="1:5" ht="20.399999999999999">
      <c r="A221" s="4" t="s">
        <v>424</v>
      </c>
      <c r="B221" s="5" t="str">
        <f>HYPERLINK("https://constructor.brusnika.ru/object-module/principled-decisions/project-solution-groups/60ee4b17-7d7f-47df-95fa-d3e39635fd0b/3291?version=2", "Префаб марши и площадки типового этажа")</f>
        <v>Префаб марши и площадки типового этажа</v>
      </c>
      <c r="C221" s="353" t="s">
        <v>425</v>
      </c>
      <c r="D221" s="350"/>
      <c r="E221" s="351"/>
    </row>
    <row r="222" spans="1:5" ht="20.399999999999999">
      <c r="A222" s="4" t="s">
        <v>426</v>
      </c>
      <c r="B222" s="5" t="str">
        <f>HYPERLINK("https://constructor.brusnika.ru/object-module/principled-decisions/project-solution-groups/60ee4b17-7d7f-47df-95fa-d3e39635fd0b/3293?version=1", "Монолитные марши особенного этажа")</f>
        <v>Монолитные марши особенного этажа</v>
      </c>
      <c r="C222" s="353" t="s">
        <v>427</v>
      </c>
      <c r="D222" s="350"/>
      <c r="E222" s="351"/>
    </row>
    <row r="223" spans="1:5" ht="20.399999999999999">
      <c r="A223" s="4" t="s">
        <v>428</v>
      </c>
      <c r="B223" s="5" t="str">
        <f>HYPERLINK("https://constructor.brusnika.ru/object-module/principled-decisions/project-solution-groups/60ee4b17-7d7f-47df-95fa-d3e39635fd0b/3294?version=1", "Префаб марши и площадки особенного этажа")</f>
        <v>Префаб марши и площадки особенного этажа</v>
      </c>
      <c r="C223" s="353" t="s">
        <v>429</v>
      </c>
      <c r="D223" s="350"/>
      <c r="E223" s="351"/>
    </row>
    <row r="224" spans="1:5" ht="13.2">
      <c r="A224" s="4" t="s">
        <v>430</v>
      </c>
      <c r="B224" s="5" t="str">
        <f>HYPERLINK("https://constructor.brusnika.ru/object-module/principled-decisions/project-solution-groups/76ce6ece-0335-4719-8cce-65edad34fb31/3295?version=1", "Префаб балконы")</f>
        <v>Префаб балконы</v>
      </c>
      <c r="C224" s="353" t="s">
        <v>431</v>
      </c>
      <c r="D224" s="350"/>
      <c r="E224" s="351"/>
    </row>
    <row r="225" spans="1:5" ht="13.2">
      <c r="A225" s="4" t="s">
        <v>432</v>
      </c>
      <c r="B225" s="5" t="str">
        <f>HYPERLINK("https://constructor.brusnika.ru/object-module/principled-decisions/project-solution-groups/3c426a1f-3905-4db0-9954-dcee1650bd76/3297?version=1", "Префаб крышки вентшахт")</f>
        <v>Префаб крышки вентшахт</v>
      </c>
      <c r="C225" s="353" t="s">
        <v>433</v>
      </c>
      <c r="D225" s="350"/>
      <c r="E225" s="351"/>
    </row>
    <row r="226" spans="1:5" ht="13.2">
      <c r="A226" s="4" t="s">
        <v>434</v>
      </c>
      <c r="B226" s="5" t="str">
        <f>HYPERLINK("https://constructor.brusnika.ru/object-module/principled-decisions/project-solution-groups/76ce6ece-0335-4719-8cce-65edad34fb31/3296?version=1", "Монолитные балконы")</f>
        <v>Монолитные балконы</v>
      </c>
      <c r="C226" s="353" t="s">
        <v>435</v>
      </c>
      <c r="D226" s="350"/>
      <c r="E226" s="351"/>
    </row>
    <row r="227" spans="1:5" ht="20.399999999999999">
      <c r="A227" s="4" t="s">
        <v>436</v>
      </c>
      <c r="B227" s="5" t="str">
        <f>HYPERLINK("https://constructor.brusnika.ru/object-module/principled-decisions/project-solution-groups/c1eb9ab7-2074-4fe8-b24d-b1ee870f92f2/3292?version=1", "Вертикальные несущие конструкции арки")</f>
        <v>Вертикальные несущие конструкции арки</v>
      </c>
      <c r="C227" s="353" t="s">
        <v>437</v>
      </c>
      <c r="D227" s="350"/>
      <c r="E227" s="351"/>
    </row>
    <row r="228" spans="1:5" ht="20.399999999999999">
      <c r="A228" s="4" t="s">
        <v>438</v>
      </c>
      <c r="B228" s="5" t="str">
        <f>HYPERLINK("https://constructor.brusnika.ru/object-module/principled-decisions/project-solution-groups/c1eb9ab7-2074-4fe8-b24d-b1ee870f92f2/3298?version=1", "Горизонтальные несущие конструкции арки")</f>
        <v>Горизонтальные несущие конструкции арки</v>
      </c>
      <c r="C228" s="353" t="s">
        <v>439</v>
      </c>
      <c r="D228" s="350"/>
      <c r="E228" s="351"/>
    </row>
    <row r="229" spans="1:5" ht="20.399999999999999">
      <c r="A229" s="4" t="s">
        <v>440</v>
      </c>
      <c r="B229" s="5" t="str">
        <f>HYPERLINK("https://constructor.brusnika.ru/object-module/principled-decisions/project-solution-groups/5ed65795-e3b8-4b7a-bbb8-e24714e46c4b/3299?version=1", "Вертикальные несущие конструкции рампы")</f>
        <v>Вертикальные несущие конструкции рампы</v>
      </c>
      <c r="C229" s="353" t="s">
        <v>441</v>
      </c>
      <c r="D229" s="350"/>
      <c r="E229" s="351"/>
    </row>
    <row r="230" spans="1:5" ht="20.399999999999999">
      <c r="A230" s="4" t="s">
        <v>442</v>
      </c>
      <c r="B230" s="5" t="str">
        <f>HYPERLINK("https://constructor.brusnika.ru/object-module/principled-decisions/project-solution-groups/5ed65795-e3b8-4b7a-bbb8-e24714e46c4b/3300?version=1", "Горизонтальные несущие конструкции рампы")</f>
        <v>Горизонтальные несущие конструкции рампы</v>
      </c>
      <c r="C230" s="353" t="s">
        <v>443</v>
      </c>
      <c r="D230" s="350"/>
      <c r="E230" s="351"/>
    </row>
    <row r="231" spans="1:5" ht="13.2">
      <c r="A231" s="354" t="s">
        <v>444</v>
      </c>
      <c r="B231" s="350"/>
      <c r="C231" s="350"/>
      <c r="D231" s="350"/>
      <c r="E231" s="351"/>
    </row>
    <row r="232" spans="1:5" ht="13.2">
      <c r="A232" s="354" t="s">
        <v>445</v>
      </c>
      <c r="B232" s="350"/>
      <c r="C232" s="350"/>
      <c r="D232" s="350"/>
      <c r="E232" s="351"/>
    </row>
    <row r="233" spans="1:5" ht="13.2">
      <c r="A233" s="4" t="s">
        <v>446</v>
      </c>
      <c r="B233" s="5" t="str">
        <f>HYPERLINK("https://constructor.brusnika.ru/object-module/principled-decisions/project-solution-groups/ce2889d1-fa63-4bb3-906a-e7c283bb96f5/3520?version=2", "Кондиционирования Жилая часть")</f>
        <v>Кондиционирования Жилая часть</v>
      </c>
      <c r="C233" s="353" t="s">
        <v>447</v>
      </c>
      <c r="D233" s="350"/>
      <c r="E233" s="351"/>
    </row>
    <row r="234" spans="1:5" ht="20.399999999999999">
      <c r="A234" s="4" t="s">
        <v>448</v>
      </c>
      <c r="B234" s="5" t="str">
        <f>HYPERLINK("https://constructor.brusnika.ru/object-module/principled-decisions/project-solution-groups/ce2889d1-fa63-4bb3-906a-e7c283bb96f5/3521?version=3", "Кондиционирование Коммерческие помещения")</f>
        <v>Кондиционирование Коммерческие помещения</v>
      </c>
      <c r="C234" s="356" t="s">
        <v>449</v>
      </c>
      <c r="D234" s="350"/>
      <c r="E234" s="351"/>
    </row>
    <row r="235" spans="1:5" ht="13.2">
      <c r="A235" s="354" t="s">
        <v>450</v>
      </c>
      <c r="B235" s="350"/>
      <c r="C235" s="350"/>
      <c r="D235" s="350"/>
      <c r="E235" s="351"/>
    </row>
    <row r="236" spans="1:5" ht="13.2">
      <c r="A236" s="354" t="s">
        <v>451</v>
      </c>
      <c r="B236" s="350"/>
      <c r="C236" s="350"/>
      <c r="D236" s="350"/>
      <c r="E236" s="351"/>
    </row>
    <row r="237" spans="1:5" ht="20.399999999999999">
      <c r="A237" s="4" t="s">
        <v>452</v>
      </c>
      <c r="B237" s="5" t="str">
        <f>HYPERLINK("https://constructor.brusnika.ru/object-module/principled-decisions/project-solution-groups/30d35f5a-1535-4e83-b0db-82d7eb2016ae/3591?version=2", "Общее подъемно-транспортное оборудование")</f>
        <v>Общее подъемно-транспортное оборудование</v>
      </c>
      <c r="C237" s="353" t="s">
        <v>453</v>
      </c>
      <c r="D237" s="350"/>
      <c r="E237" s="351"/>
    </row>
    <row r="238" spans="1:5" ht="13.2">
      <c r="A238" s="354" t="s">
        <v>454</v>
      </c>
      <c r="B238" s="350"/>
      <c r="C238" s="350"/>
      <c r="D238" s="350"/>
      <c r="E238" s="351"/>
    </row>
    <row r="239" spans="1:5" ht="20.399999999999999">
      <c r="A239" s="4" t="s">
        <v>455</v>
      </c>
      <c r="B239" s="5" t="str">
        <f>HYPERLINK("https://constructor.brusnika.ru/object-module/principled-decisions/project-solution-groups/82abec89-81e2-425b-80af-c32c2d2ffb5f/3597?version=3", "Строй задание на лифты в зданиях до 50 м 2,4х2,5")</f>
        <v>Строй задание на лифты в зданиях до 50 м 2,4х2,5</v>
      </c>
      <c r="C239" s="353" t="s">
        <v>456</v>
      </c>
      <c r="D239" s="350"/>
      <c r="E239" s="351"/>
    </row>
    <row r="240" spans="1:5" ht="13.2">
      <c r="A240" s="358"/>
      <c r="B240" s="345"/>
      <c r="C240" s="345"/>
      <c r="D240" s="345"/>
      <c r="E240" s="345"/>
    </row>
    <row r="241" spans="1:5" ht="13.2">
      <c r="A241" s="361" t="s">
        <v>457</v>
      </c>
      <c r="B241" s="345"/>
      <c r="C241" s="345"/>
      <c r="D241" s="345"/>
      <c r="E241" s="345"/>
    </row>
    <row r="242" spans="1:5" ht="13.2">
      <c r="A242" s="358"/>
      <c r="B242" s="345"/>
      <c r="C242" s="345"/>
      <c r="D242" s="345"/>
      <c r="E242" s="345"/>
    </row>
    <row r="243" spans="1:5" ht="13.2">
      <c r="A243" s="358" t="s">
        <v>458</v>
      </c>
      <c r="B243" s="345"/>
      <c r="C243" s="345"/>
      <c r="D243" s="345"/>
      <c r="E243" s="345"/>
    </row>
    <row r="244" spans="1:5" ht="13.2">
      <c r="A244" s="358"/>
      <c r="B244" s="345"/>
      <c r="C244" s="345"/>
      <c r="D244" s="345"/>
      <c r="E244" s="345"/>
    </row>
    <row r="245" spans="1:5" ht="13.2">
      <c r="A245" s="361" t="s">
        <v>459</v>
      </c>
      <c r="B245" s="345"/>
      <c r="C245" s="345"/>
      <c r="D245" s="345"/>
      <c r="E245" s="345"/>
    </row>
    <row r="246" spans="1:5" ht="13.2">
      <c r="A246" s="358"/>
      <c r="B246" s="345"/>
      <c r="C246" s="345"/>
      <c r="D246" s="345"/>
      <c r="E246" s="345"/>
    </row>
    <row r="247" spans="1:5" ht="13.2">
      <c r="A247" s="358" t="s">
        <v>460</v>
      </c>
      <c r="B247" s="345"/>
      <c r="C247" s="345"/>
      <c r="D247" s="345"/>
      <c r="E247" s="345"/>
    </row>
    <row r="248" spans="1:5" ht="13.2">
      <c r="A248" s="358" t="s">
        <v>461</v>
      </c>
      <c r="B248" s="345"/>
      <c r="C248" s="358" t="s">
        <v>462</v>
      </c>
      <c r="D248" s="345"/>
      <c r="E248" s="345"/>
    </row>
    <row r="249" spans="1:5" ht="13.2">
      <c r="A249" s="358" t="s">
        <v>463</v>
      </c>
      <c r="B249" s="345"/>
      <c r="C249" s="345"/>
      <c r="D249" s="345"/>
      <c r="E249" s="345"/>
    </row>
    <row r="250" spans="1:5" ht="13.2">
      <c r="A250" s="358" t="s">
        <v>464</v>
      </c>
      <c r="B250" s="345"/>
      <c r="C250" s="345"/>
      <c r="D250" s="345"/>
      <c r="E250" s="345"/>
    </row>
    <row r="251" spans="1:5" ht="13.2">
      <c r="A251" s="358" t="s">
        <v>465</v>
      </c>
      <c r="B251" s="345"/>
      <c r="C251" s="345"/>
      <c r="D251" s="345"/>
      <c r="E251" s="345"/>
    </row>
    <row r="252" spans="1:5" ht="13.2">
      <c r="A252" s="348"/>
      <c r="B252" s="345"/>
      <c r="C252" s="345"/>
      <c r="D252" s="348"/>
      <c r="E252" s="345"/>
    </row>
    <row r="253" spans="1:5" ht="13.2">
      <c r="A253" s="348" t="s">
        <v>466</v>
      </c>
      <c r="B253" s="345"/>
      <c r="C253" s="345"/>
      <c r="D253" s="348" t="s">
        <v>467</v>
      </c>
      <c r="E253" s="345"/>
    </row>
    <row r="254" spans="1:5" ht="13.2">
      <c r="A254" s="359" t="s">
        <v>468</v>
      </c>
      <c r="B254" s="345"/>
      <c r="C254" s="345"/>
      <c r="D254" s="359" t="s">
        <v>469</v>
      </c>
      <c r="E254" s="345"/>
    </row>
    <row r="255" spans="1:5" ht="13.2">
      <c r="A255" s="359"/>
      <c r="B255" s="345"/>
      <c r="C255" s="345"/>
      <c r="D255" s="359"/>
      <c r="E255" s="345"/>
    </row>
    <row r="256" spans="1:5" ht="13.2">
      <c r="A256" s="359" t="s">
        <v>470</v>
      </c>
      <c r="B256" s="345"/>
      <c r="C256" s="345"/>
      <c r="D256" s="359" t="s">
        <v>470</v>
      </c>
      <c r="E256" s="345"/>
    </row>
    <row r="257" spans="1:5" ht="13.2">
      <c r="A257" s="359"/>
      <c r="B257" s="345"/>
      <c r="C257" s="345"/>
      <c r="D257" s="359"/>
      <c r="E257" s="345"/>
    </row>
    <row r="258" spans="1:5" ht="13.2">
      <c r="A258" s="359" t="s">
        <v>471</v>
      </c>
      <c r="B258" s="345"/>
      <c r="C258" s="345"/>
      <c r="D258" s="359" t="s">
        <v>471</v>
      </c>
      <c r="E258" s="345"/>
    </row>
    <row r="259" spans="1:5" ht="13.2">
      <c r="A259" s="359"/>
      <c r="B259" s="345"/>
      <c r="C259" s="345"/>
      <c r="D259" s="359"/>
      <c r="E259" s="345"/>
    </row>
    <row r="260" spans="1:5" ht="13.2" hidden="1">
      <c r="A260" s="359"/>
      <c r="B260" s="345"/>
      <c r="C260" s="345"/>
      <c r="D260" s="359"/>
      <c r="E260" s="345"/>
    </row>
    <row r="261" spans="1:5" ht="13.2" hidden="1"/>
    <row r="262" spans="1:5" ht="13.2" hidden="1"/>
    <row r="263" spans="1:5" ht="13.2" hidden="1"/>
    <row r="264" spans="1:5" ht="13.2" hidden="1"/>
    <row r="265" spans="1:5" ht="13.2" hidden="1"/>
    <row r="266" spans="1:5" ht="13.2" hidden="1"/>
    <row r="267" spans="1:5" ht="13.2" hidden="1"/>
    <row r="268" spans="1:5" ht="13.2" hidden="1"/>
    <row r="269" spans="1:5" ht="13.2" hidden="1"/>
    <row r="270" spans="1:5" ht="13.2" hidden="1"/>
  </sheetData>
  <mergeCells count="270">
    <mergeCell ref="C239:E239"/>
    <mergeCell ref="A240:E240"/>
    <mergeCell ref="A241:E241"/>
    <mergeCell ref="A242:E242"/>
    <mergeCell ref="A243:E243"/>
    <mergeCell ref="A244:E244"/>
    <mergeCell ref="A245:E245"/>
    <mergeCell ref="C230:E230"/>
    <mergeCell ref="A231:E231"/>
    <mergeCell ref="A232:E232"/>
    <mergeCell ref="C233:E233"/>
    <mergeCell ref="C234:E234"/>
    <mergeCell ref="A235:E235"/>
    <mergeCell ref="A236:E236"/>
    <mergeCell ref="C237:E237"/>
    <mergeCell ref="A238:E238"/>
    <mergeCell ref="C221:E221"/>
    <mergeCell ref="C222:E222"/>
    <mergeCell ref="C223:E223"/>
    <mergeCell ref="C224:E224"/>
    <mergeCell ref="C225:E225"/>
    <mergeCell ref="C226:E226"/>
    <mergeCell ref="C227:E227"/>
    <mergeCell ref="C228:E228"/>
    <mergeCell ref="C229:E229"/>
    <mergeCell ref="C212:E212"/>
    <mergeCell ref="C213:E213"/>
    <mergeCell ref="C214:E214"/>
    <mergeCell ref="C215:E215"/>
    <mergeCell ref="C216:E216"/>
    <mergeCell ref="C217:E217"/>
    <mergeCell ref="C218:E218"/>
    <mergeCell ref="C219:E219"/>
    <mergeCell ref="C220:E220"/>
    <mergeCell ref="A254:C254"/>
    <mergeCell ref="D254:E254"/>
    <mergeCell ref="D255:E255"/>
    <mergeCell ref="A259:C259"/>
    <mergeCell ref="D259:E259"/>
    <mergeCell ref="A260:C260"/>
    <mergeCell ref="D260:E260"/>
    <mergeCell ref="A255:C255"/>
    <mergeCell ref="A256:C256"/>
    <mergeCell ref="D256:E256"/>
    <mergeCell ref="A257:C257"/>
    <mergeCell ref="D257:E257"/>
    <mergeCell ref="A258:C258"/>
    <mergeCell ref="D258:E258"/>
    <mergeCell ref="A248:B248"/>
    <mergeCell ref="C248:E248"/>
    <mergeCell ref="A249:E249"/>
    <mergeCell ref="A250:E250"/>
    <mergeCell ref="A251:E251"/>
    <mergeCell ref="A252:C252"/>
    <mergeCell ref="D252:E252"/>
    <mergeCell ref="A253:C253"/>
    <mergeCell ref="D253:E253"/>
    <mergeCell ref="A190:E190"/>
    <mergeCell ref="C191:E191"/>
    <mergeCell ref="C192:E192"/>
    <mergeCell ref="C193:E193"/>
    <mergeCell ref="C194:E194"/>
    <mergeCell ref="C195:E195"/>
    <mergeCell ref="C196:E196"/>
    <mergeCell ref="A246:E246"/>
    <mergeCell ref="A247:E247"/>
    <mergeCell ref="C197:E197"/>
    <mergeCell ref="C198:E198"/>
    <mergeCell ref="C199:E199"/>
    <mergeCell ref="C200:E200"/>
    <mergeCell ref="C201:E201"/>
    <mergeCell ref="C202:E202"/>
    <mergeCell ref="C203:E203"/>
    <mergeCell ref="C204:E204"/>
    <mergeCell ref="C205:E205"/>
    <mergeCell ref="C206:E206"/>
    <mergeCell ref="C207:E207"/>
    <mergeCell ref="C208:E208"/>
    <mergeCell ref="C209:E209"/>
    <mergeCell ref="C210:E210"/>
    <mergeCell ref="C211:E211"/>
    <mergeCell ref="C181:E181"/>
    <mergeCell ref="C182:E182"/>
    <mergeCell ref="C183:E183"/>
    <mergeCell ref="C184:E184"/>
    <mergeCell ref="C185:E185"/>
    <mergeCell ref="C186:E186"/>
    <mergeCell ref="C187:E187"/>
    <mergeCell ref="C188:E188"/>
    <mergeCell ref="C189:E189"/>
    <mergeCell ref="A172:E172"/>
    <mergeCell ref="C173:E173"/>
    <mergeCell ref="C174:E174"/>
    <mergeCell ref="C175:E175"/>
    <mergeCell ref="C176:E176"/>
    <mergeCell ref="C177:E177"/>
    <mergeCell ref="C178:E178"/>
    <mergeCell ref="C179:E179"/>
    <mergeCell ref="C180:E180"/>
    <mergeCell ref="C163:E163"/>
    <mergeCell ref="C164:E164"/>
    <mergeCell ref="C165:E165"/>
    <mergeCell ref="C166:E166"/>
    <mergeCell ref="C167:E167"/>
    <mergeCell ref="C168:E168"/>
    <mergeCell ref="C169:E169"/>
    <mergeCell ref="A170:E170"/>
    <mergeCell ref="A171:E171"/>
    <mergeCell ref="C154:E154"/>
    <mergeCell ref="C155:E155"/>
    <mergeCell ref="C156:E156"/>
    <mergeCell ref="C157:E157"/>
    <mergeCell ref="C158:E158"/>
    <mergeCell ref="C159:E159"/>
    <mergeCell ref="C160:E160"/>
    <mergeCell ref="C161:E161"/>
    <mergeCell ref="C162:E162"/>
    <mergeCell ref="C145:E145"/>
    <mergeCell ref="C146:E146"/>
    <mergeCell ref="C147:E147"/>
    <mergeCell ref="C148:E148"/>
    <mergeCell ref="C149:E149"/>
    <mergeCell ref="C150:E150"/>
    <mergeCell ref="C151:E151"/>
    <mergeCell ref="C152:E152"/>
    <mergeCell ref="C153:E153"/>
    <mergeCell ref="C136:E136"/>
    <mergeCell ref="C137:E137"/>
    <mergeCell ref="C138:E138"/>
    <mergeCell ref="C139:E139"/>
    <mergeCell ref="C140:E140"/>
    <mergeCell ref="C141:E141"/>
    <mergeCell ref="C142:E142"/>
    <mergeCell ref="C143:E143"/>
    <mergeCell ref="C144:E144"/>
    <mergeCell ref="C127:E127"/>
    <mergeCell ref="C128:E128"/>
    <mergeCell ref="C129:E129"/>
    <mergeCell ref="C130:E130"/>
    <mergeCell ref="C131:E131"/>
    <mergeCell ref="C132:E132"/>
    <mergeCell ref="C133:E133"/>
    <mergeCell ref="C134:E134"/>
    <mergeCell ref="C135:E135"/>
    <mergeCell ref="C118:E118"/>
    <mergeCell ref="C119:E119"/>
    <mergeCell ref="C120:E120"/>
    <mergeCell ref="C121:E121"/>
    <mergeCell ref="C122:E122"/>
    <mergeCell ref="C123:E123"/>
    <mergeCell ref="C124:E124"/>
    <mergeCell ref="C125:E125"/>
    <mergeCell ref="C126:E126"/>
    <mergeCell ref="C109:E109"/>
    <mergeCell ref="C110:E110"/>
    <mergeCell ref="C111:E111"/>
    <mergeCell ref="C112:E112"/>
    <mergeCell ref="C113:E113"/>
    <mergeCell ref="C114:E114"/>
    <mergeCell ref="C115:E115"/>
    <mergeCell ref="C116:E116"/>
    <mergeCell ref="C117:E117"/>
    <mergeCell ref="C100:E100"/>
    <mergeCell ref="C101:E101"/>
    <mergeCell ref="C102:E102"/>
    <mergeCell ref="C103:E103"/>
    <mergeCell ref="C104:E104"/>
    <mergeCell ref="C105:E105"/>
    <mergeCell ref="C106:E106"/>
    <mergeCell ref="C107:E107"/>
    <mergeCell ref="C108:E108"/>
    <mergeCell ref="C91:E91"/>
    <mergeCell ref="C92:E92"/>
    <mergeCell ref="A93:E93"/>
    <mergeCell ref="C94:E94"/>
    <mergeCell ref="C95:E95"/>
    <mergeCell ref="C96:E96"/>
    <mergeCell ref="C97:E97"/>
    <mergeCell ref="C98:E98"/>
    <mergeCell ref="C99:E99"/>
    <mergeCell ref="C82:E82"/>
    <mergeCell ref="C83:E83"/>
    <mergeCell ref="C84:E84"/>
    <mergeCell ref="C85:E85"/>
    <mergeCell ref="C86:E86"/>
    <mergeCell ref="C87:E87"/>
    <mergeCell ref="C88:E88"/>
    <mergeCell ref="C89:E89"/>
    <mergeCell ref="C90:E90"/>
    <mergeCell ref="C73:E73"/>
    <mergeCell ref="C74:E74"/>
    <mergeCell ref="C75:E75"/>
    <mergeCell ref="C76:E76"/>
    <mergeCell ref="C77:E77"/>
    <mergeCell ref="C78:E78"/>
    <mergeCell ref="C79:E79"/>
    <mergeCell ref="C80:E80"/>
    <mergeCell ref="C81:E81"/>
    <mergeCell ref="C64:E64"/>
    <mergeCell ref="C65:E65"/>
    <mergeCell ref="C66:E66"/>
    <mergeCell ref="C67:E67"/>
    <mergeCell ref="A68:E68"/>
    <mergeCell ref="C69:E69"/>
    <mergeCell ref="C70:E70"/>
    <mergeCell ref="C71:E71"/>
    <mergeCell ref="C72:E72"/>
    <mergeCell ref="C55:E55"/>
    <mergeCell ref="C56:E56"/>
    <mergeCell ref="C57:E57"/>
    <mergeCell ref="C58:E58"/>
    <mergeCell ref="C59:E59"/>
    <mergeCell ref="C60:E60"/>
    <mergeCell ref="C61:E61"/>
    <mergeCell ref="C62:E62"/>
    <mergeCell ref="C63:E63"/>
    <mergeCell ref="C46:E46"/>
    <mergeCell ref="C47:E47"/>
    <mergeCell ref="C48:E48"/>
    <mergeCell ref="C49:E49"/>
    <mergeCell ref="C50:E50"/>
    <mergeCell ref="C51:E51"/>
    <mergeCell ref="C52:E52"/>
    <mergeCell ref="C53:E53"/>
    <mergeCell ref="C54:E54"/>
    <mergeCell ref="C37:E37"/>
    <mergeCell ref="C38:E38"/>
    <mergeCell ref="C39:E39"/>
    <mergeCell ref="A40:E40"/>
    <mergeCell ref="C41:E41"/>
    <mergeCell ref="C42:E42"/>
    <mergeCell ref="C43:E43"/>
    <mergeCell ref="C44:E44"/>
    <mergeCell ref="C45:E45"/>
    <mergeCell ref="A28:E28"/>
    <mergeCell ref="A29:E29"/>
    <mergeCell ref="C30:E30"/>
    <mergeCell ref="C31:E31"/>
    <mergeCell ref="C32:E32"/>
    <mergeCell ref="C33:E33"/>
    <mergeCell ref="C34:E34"/>
    <mergeCell ref="C35:E35"/>
    <mergeCell ref="C36:E36"/>
    <mergeCell ref="A19:E19"/>
    <mergeCell ref="C20:E20"/>
    <mergeCell ref="A21:E21"/>
    <mergeCell ref="C22:E22"/>
    <mergeCell ref="C23:E23"/>
    <mergeCell ref="A24:E24"/>
    <mergeCell ref="A25:E25"/>
    <mergeCell ref="C26:E26"/>
    <mergeCell ref="A27:E27"/>
    <mergeCell ref="A10:E10"/>
    <mergeCell ref="C11:E11"/>
    <mergeCell ref="C12:E12"/>
    <mergeCell ref="A13:E13"/>
    <mergeCell ref="C14:E14"/>
    <mergeCell ref="C15:E15"/>
    <mergeCell ref="C16:E16"/>
    <mergeCell ref="C17:E17"/>
    <mergeCell ref="C18:E18"/>
    <mergeCell ref="A1:E1"/>
    <mergeCell ref="A2:E2"/>
    <mergeCell ref="A3:B3"/>
    <mergeCell ref="C3:E3"/>
    <mergeCell ref="A4:B4"/>
    <mergeCell ref="C4:E4"/>
    <mergeCell ref="A6:E6"/>
    <mergeCell ref="C8:E8"/>
    <mergeCell ref="A9:E9"/>
  </mergeCells>
  <hyperlinks>
    <hyperlink ref="B15" r:id="rId1" xr:uid="{00000000-0004-0000-0000-000000000000}"/>
    <hyperlink ref="B20" r:id="rId2" xr:uid="{00000000-0004-0000-0000-000001000000}"/>
    <hyperlink ref="B31" r:id="rId3" xr:uid="{00000000-0004-0000-0000-000002000000}"/>
    <hyperlink ref="C36" r:id="rId4" xr:uid="{00000000-0004-0000-0000-000003000000}"/>
    <hyperlink ref="C42" r:id="rId5" xr:uid="{00000000-0004-0000-0000-000004000000}"/>
    <hyperlink ref="C48" r:id="rId6" xr:uid="{00000000-0004-0000-0000-000005000000}"/>
    <hyperlink ref="C54" r:id="rId7" xr:uid="{00000000-0004-0000-0000-000006000000}"/>
    <hyperlink ref="C58" r:id="rId8" xr:uid="{00000000-0004-0000-0000-000007000000}"/>
    <hyperlink ref="C78" r:id="rId9" xr:uid="{00000000-0004-0000-0000-000008000000}"/>
    <hyperlink ref="C82" r:id="rId10" xr:uid="{00000000-0004-0000-0000-000009000000}"/>
    <hyperlink ref="C84" r:id="rId11" xr:uid="{00000000-0004-0000-0000-00000A000000}"/>
    <hyperlink ref="C85" r:id="rId12" xr:uid="{00000000-0004-0000-0000-00000B000000}"/>
    <hyperlink ref="C87" r:id="rId13" xr:uid="{00000000-0004-0000-0000-00000C000000}"/>
    <hyperlink ref="C88" r:id="rId14" xr:uid="{00000000-0004-0000-0000-00000D000000}"/>
    <hyperlink ref="B92" r:id="rId15" xr:uid="{00000000-0004-0000-0000-00000E000000}"/>
    <hyperlink ref="C97" r:id="rId16" xr:uid="{00000000-0004-0000-0000-00000F000000}"/>
    <hyperlink ref="C99" r:id="rId17" xr:uid="{00000000-0004-0000-0000-000010000000}"/>
    <hyperlink ref="C100" r:id="rId18" xr:uid="{00000000-0004-0000-0000-000011000000}"/>
    <hyperlink ref="C101" r:id="rId19" xr:uid="{00000000-0004-0000-0000-000012000000}"/>
    <hyperlink ref="C117" r:id="rId20" xr:uid="{00000000-0004-0000-0000-000013000000}"/>
    <hyperlink ref="B138" r:id="rId21" xr:uid="{00000000-0004-0000-0000-000014000000}"/>
    <hyperlink ref="C140" r:id="rId22" xr:uid="{00000000-0004-0000-0000-000015000000}"/>
    <hyperlink ref="C141" r:id="rId23" xr:uid="{00000000-0004-0000-0000-000016000000}"/>
    <hyperlink ref="B154" r:id="rId24" xr:uid="{00000000-0004-0000-0000-000017000000}"/>
    <hyperlink ref="C173" r:id="rId25" xr:uid="{00000000-0004-0000-0000-000018000000}"/>
    <hyperlink ref="B176" r:id="rId26" xr:uid="{00000000-0004-0000-0000-000019000000}"/>
    <hyperlink ref="C177" r:id="rId27" xr:uid="{00000000-0004-0000-0000-00001A000000}"/>
    <hyperlink ref="C182" r:id="rId28" xr:uid="{00000000-0004-0000-0000-00001B000000}"/>
    <hyperlink ref="C183" r:id="rId29" xr:uid="{00000000-0004-0000-0000-00001C000000}"/>
    <hyperlink ref="C186" r:id="rId30" xr:uid="{00000000-0004-0000-0000-00001D000000}"/>
    <hyperlink ref="C187" r:id="rId31" xr:uid="{00000000-0004-0000-0000-00001E000000}"/>
    <hyperlink ref="C188" r:id="rId32" xr:uid="{00000000-0004-0000-0000-00001F000000}"/>
    <hyperlink ref="C189" r:id="rId33" xr:uid="{00000000-0004-0000-0000-000020000000}"/>
    <hyperlink ref="C191" r:id="rId34" xr:uid="{00000000-0004-0000-0000-000021000000}"/>
    <hyperlink ref="C193" r:id="rId35" xr:uid="{00000000-0004-0000-0000-000022000000}"/>
    <hyperlink ref="C203" r:id="rId36" xr:uid="{00000000-0004-0000-0000-000023000000}"/>
    <hyperlink ref="C210" r:id="rId37" xr:uid="{00000000-0004-0000-0000-000024000000}"/>
    <hyperlink ref="B213" r:id="rId38" xr:uid="{00000000-0004-0000-0000-000025000000}"/>
    <hyperlink ref="B214" r:id="rId39" xr:uid="{00000000-0004-0000-0000-000026000000}"/>
    <hyperlink ref="B215" r:id="rId40" xr:uid="{00000000-0004-0000-0000-000027000000}"/>
    <hyperlink ref="C234" r:id="rId41" xr:uid="{00000000-0004-0000-0000-000028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pageSetUpPr fitToPage="1"/>
  </sheetPr>
  <dimension ref="A1:C66"/>
  <sheetViews>
    <sheetView showGridLines="0" workbookViewId="0">
      <selection sqref="A1:C1"/>
    </sheetView>
  </sheetViews>
  <sheetFormatPr defaultColWidth="12.6640625" defaultRowHeight="15.75" customHeight="1"/>
  <cols>
    <col min="1" max="1" width="7.6640625" customWidth="1"/>
    <col min="2" max="2" width="23.88671875" customWidth="1"/>
    <col min="3" max="3" width="56.33203125" customWidth="1"/>
  </cols>
  <sheetData>
    <row r="1" spans="1:3">
      <c r="A1" s="362" t="s">
        <v>472</v>
      </c>
      <c r="B1" s="345"/>
      <c r="C1" s="345"/>
    </row>
    <row r="2" spans="1:3">
      <c r="A2" s="363" t="s">
        <v>473</v>
      </c>
      <c r="B2" s="345"/>
      <c r="C2" s="345"/>
    </row>
    <row r="3" spans="1:3">
      <c r="A3" s="10"/>
      <c r="B3" s="10"/>
      <c r="C3" s="11"/>
    </row>
    <row r="4" spans="1:3">
      <c r="A4" s="364" t="s">
        <v>474</v>
      </c>
      <c r="B4" s="345"/>
      <c r="C4" s="345"/>
    </row>
    <row r="5" spans="1:3">
      <c r="A5" s="10"/>
      <c r="B5" s="10"/>
      <c r="C5" s="12"/>
    </row>
    <row r="6" spans="1:3">
      <c r="A6" s="13" t="s">
        <v>475</v>
      </c>
      <c r="B6" s="13" t="s">
        <v>476</v>
      </c>
      <c r="C6" s="14" t="s">
        <v>477</v>
      </c>
    </row>
    <row r="7" spans="1:3">
      <c r="A7" s="365" t="s">
        <v>478</v>
      </c>
      <c r="B7" s="350"/>
      <c r="C7" s="351"/>
    </row>
    <row r="8" spans="1:3">
      <c r="A8" s="15">
        <v>1</v>
      </c>
      <c r="B8" s="16" t="s">
        <v>479</v>
      </c>
      <c r="C8" s="17" t="s">
        <v>480</v>
      </c>
    </row>
    <row r="9" spans="1:3">
      <c r="A9" s="15">
        <v>2</v>
      </c>
      <c r="B9" s="16" t="s">
        <v>466</v>
      </c>
      <c r="C9" s="18" t="s">
        <v>481</v>
      </c>
    </row>
    <row r="10" spans="1:3">
      <c r="A10" s="15">
        <v>3</v>
      </c>
      <c r="B10" s="16" t="s">
        <v>467</v>
      </c>
      <c r="C10" s="18" t="s">
        <v>481</v>
      </c>
    </row>
    <row r="11" spans="1:3">
      <c r="A11" s="15">
        <v>4</v>
      </c>
      <c r="B11" s="16" t="s">
        <v>482</v>
      </c>
      <c r="C11" s="17" t="s">
        <v>483</v>
      </c>
    </row>
    <row r="12" spans="1:3">
      <c r="A12" s="15">
        <v>5</v>
      </c>
      <c r="B12" s="16" t="s">
        <v>484</v>
      </c>
      <c r="C12" s="17" t="s">
        <v>485</v>
      </c>
    </row>
    <row r="13" spans="1:3">
      <c r="A13" s="15">
        <v>6</v>
      </c>
      <c r="B13" s="16" t="s">
        <v>486</v>
      </c>
      <c r="C13" s="17" t="s">
        <v>487</v>
      </c>
    </row>
    <row r="14" spans="1:3">
      <c r="A14" s="15">
        <v>7</v>
      </c>
      <c r="B14" s="19" t="s">
        <v>488</v>
      </c>
      <c r="C14" s="20" t="s">
        <v>489</v>
      </c>
    </row>
    <row r="15" spans="1:3">
      <c r="A15" s="15">
        <v>8</v>
      </c>
      <c r="B15" s="16" t="s">
        <v>490</v>
      </c>
      <c r="C15" s="17" t="s">
        <v>491</v>
      </c>
    </row>
    <row r="16" spans="1:3">
      <c r="A16" s="15">
        <v>9</v>
      </c>
      <c r="B16" s="17" t="s">
        <v>492</v>
      </c>
      <c r="C16" s="20" t="s">
        <v>493</v>
      </c>
    </row>
    <row r="17" spans="1:3">
      <c r="A17" s="15">
        <v>10</v>
      </c>
      <c r="B17" s="21" t="s">
        <v>494</v>
      </c>
      <c r="C17" s="20" t="s">
        <v>495</v>
      </c>
    </row>
    <row r="18" spans="1:3">
      <c r="A18" s="15">
        <v>11</v>
      </c>
      <c r="B18" s="22" t="s">
        <v>496</v>
      </c>
      <c r="C18" s="23" t="s">
        <v>497</v>
      </c>
    </row>
    <row r="19" spans="1:3">
      <c r="A19" s="15">
        <v>12</v>
      </c>
      <c r="B19" s="22" t="s">
        <v>498</v>
      </c>
      <c r="C19" s="24" t="s">
        <v>497</v>
      </c>
    </row>
    <row r="20" spans="1:3">
      <c r="A20" s="15">
        <v>13</v>
      </c>
      <c r="B20" s="25" t="s">
        <v>499</v>
      </c>
      <c r="C20" s="26" t="s">
        <v>500</v>
      </c>
    </row>
    <row r="21" spans="1:3">
      <c r="A21" s="366" t="s">
        <v>501</v>
      </c>
      <c r="B21" s="367"/>
      <c r="C21" s="368"/>
    </row>
    <row r="22" spans="1:3">
      <c r="A22" s="27">
        <v>44562</v>
      </c>
      <c r="B22" s="28" t="s">
        <v>502</v>
      </c>
      <c r="C22" s="29" t="s">
        <v>503</v>
      </c>
    </row>
    <row r="23" spans="1:3">
      <c r="A23" s="369" t="s">
        <v>504</v>
      </c>
      <c r="B23" s="367"/>
      <c r="C23" s="368"/>
    </row>
    <row r="24" spans="1:3">
      <c r="A24" s="27">
        <v>44563</v>
      </c>
      <c r="B24" s="28" t="s">
        <v>505</v>
      </c>
      <c r="C24" s="29" t="s">
        <v>506</v>
      </c>
    </row>
    <row r="25" spans="1:3">
      <c r="A25" s="369" t="s">
        <v>507</v>
      </c>
      <c r="B25" s="367"/>
      <c r="C25" s="368"/>
    </row>
    <row r="26" spans="1:3">
      <c r="A26" s="370">
        <v>44564</v>
      </c>
      <c r="B26" s="373" t="s">
        <v>508</v>
      </c>
      <c r="C26" s="30" t="s">
        <v>509</v>
      </c>
    </row>
    <row r="27" spans="1:3">
      <c r="A27" s="372"/>
      <c r="B27" s="372"/>
      <c r="C27" s="30" t="s">
        <v>510</v>
      </c>
    </row>
    <row r="28" spans="1:3">
      <c r="A28" s="374" t="s">
        <v>511</v>
      </c>
      <c r="B28" s="350"/>
      <c r="C28" s="351"/>
    </row>
    <row r="29" spans="1:3">
      <c r="A29" s="31">
        <v>44565</v>
      </c>
      <c r="B29" s="32" t="s">
        <v>512</v>
      </c>
      <c r="C29" s="30" t="s">
        <v>513</v>
      </c>
    </row>
    <row r="30" spans="1:3">
      <c r="A30" s="374" t="s">
        <v>514</v>
      </c>
      <c r="B30" s="350"/>
      <c r="C30" s="351"/>
    </row>
    <row r="31" spans="1:3">
      <c r="A31" s="33">
        <v>44566</v>
      </c>
      <c r="B31" s="34" t="s">
        <v>515</v>
      </c>
      <c r="C31" s="30" t="s">
        <v>516</v>
      </c>
    </row>
    <row r="32" spans="1:3">
      <c r="A32" s="374" t="s">
        <v>517</v>
      </c>
      <c r="B32" s="350"/>
      <c r="C32" s="351"/>
    </row>
    <row r="33" spans="1:3">
      <c r="A33" s="370">
        <v>44567</v>
      </c>
      <c r="B33" s="375" t="s">
        <v>518</v>
      </c>
      <c r="C33" s="20" t="s">
        <v>519</v>
      </c>
    </row>
    <row r="34" spans="1:3">
      <c r="A34" s="371"/>
      <c r="B34" s="371"/>
      <c r="C34" s="30" t="s">
        <v>520</v>
      </c>
    </row>
    <row r="35" spans="1:3">
      <c r="A35" s="372"/>
      <c r="B35" s="372"/>
      <c r="C35" s="20" t="s">
        <v>521</v>
      </c>
    </row>
    <row r="36" spans="1:3">
      <c r="A36" s="374" t="s">
        <v>522</v>
      </c>
      <c r="B36" s="350"/>
      <c r="C36" s="351"/>
    </row>
    <row r="37" spans="1:3">
      <c r="A37" s="370">
        <v>44568</v>
      </c>
      <c r="B37" s="381" t="s">
        <v>523</v>
      </c>
      <c r="C37" s="35" t="s">
        <v>524</v>
      </c>
    </row>
    <row r="38" spans="1:3">
      <c r="A38" s="372"/>
      <c r="B38" s="372"/>
      <c r="C38" s="30" t="s">
        <v>525</v>
      </c>
    </row>
    <row r="39" spans="1:3">
      <c r="A39" s="374" t="s">
        <v>526</v>
      </c>
      <c r="B39" s="350"/>
      <c r="C39" s="351"/>
    </row>
    <row r="40" spans="1:3">
      <c r="A40" s="33">
        <v>44569</v>
      </c>
      <c r="B40" s="34" t="s">
        <v>527</v>
      </c>
      <c r="C40" s="36" t="s">
        <v>528</v>
      </c>
    </row>
    <row r="41" spans="1:3">
      <c r="A41" s="374" t="s">
        <v>529</v>
      </c>
      <c r="B41" s="350"/>
      <c r="C41" s="351"/>
    </row>
    <row r="42" spans="1:3">
      <c r="A42" s="33">
        <v>44570</v>
      </c>
      <c r="B42" s="34" t="s">
        <v>530</v>
      </c>
      <c r="C42" s="29" t="s">
        <v>506</v>
      </c>
    </row>
    <row r="43" spans="1:3">
      <c r="A43" s="374" t="s">
        <v>531</v>
      </c>
      <c r="B43" s="350"/>
      <c r="C43" s="351"/>
    </row>
    <row r="44" spans="1:3">
      <c r="A44" s="33">
        <v>44571</v>
      </c>
      <c r="B44" s="34" t="s">
        <v>532</v>
      </c>
      <c r="C44" s="29" t="s">
        <v>506</v>
      </c>
    </row>
    <row r="45" spans="1:3">
      <c r="A45" s="374" t="s">
        <v>533</v>
      </c>
      <c r="B45" s="350"/>
      <c r="C45" s="351"/>
    </row>
    <row r="46" spans="1:3">
      <c r="A46" s="33">
        <v>44572</v>
      </c>
      <c r="B46" s="34" t="s">
        <v>534</v>
      </c>
      <c r="C46" s="29" t="s">
        <v>506</v>
      </c>
    </row>
    <row r="47" spans="1:3">
      <c r="A47" s="374" t="s">
        <v>535</v>
      </c>
      <c r="B47" s="350"/>
      <c r="C47" s="351"/>
    </row>
    <row r="48" spans="1:3">
      <c r="A48" s="33">
        <v>44573</v>
      </c>
      <c r="B48" s="34" t="s">
        <v>536</v>
      </c>
      <c r="C48" s="29" t="s">
        <v>506</v>
      </c>
    </row>
    <row r="49" spans="1:3">
      <c r="A49" s="374" t="s">
        <v>537</v>
      </c>
      <c r="B49" s="350"/>
      <c r="C49" s="351"/>
    </row>
    <row r="50" spans="1:3">
      <c r="A50" s="33">
        <v>44574</v>
      </c>
      <c r="B50" s="34" t="s">
        <v>538</v>
      </c>
      <c r="C50" s="29" t="s">
        <v>506</v>
      </c>
    </row>
    <row r="51" spans="1:3">
      <c r="A51" s="374" t="s">
        <v>539</v>
      </c>
      <c r="B51" s="350"/>
      <c r="C51" s="351"/>
    </row>
    <row r="52" spans="1:3">
      <c r="A52" s="37" t="s">
        <v>540</v>
      </c>
      <c r="B52" s="34" t="s">
        <v>541</v>
      </c>
      <c r="C52" s="38" t="s">
        <v>542</v>
      </c>
    </row>
    <row r="53" spans="1:3">
      <c r="A53" s="374" t="s">
        <v>543</v>
      </c>
      <c r="B53" s="350"/>
      <c r="C53" s="351"/>
    </row>
    <row r="54" spans="1:3">
      <c r="A54" s="37" t="s">
        <v>544</v>
      </c>
      <c r="B54" s="34" t="s">
        <v>545</v>
      </c>
      <c r="C54" s="29" t="s">
        <v>506</v>
      </c>
    </row>
    <row r="55" spans="1:3">
      <c r="A55" s="374" t="s">
        <v>546</v>
      </c>
      <c r="B55" s="350"/>
      <c r="C55" s="351"/>
    </row>
    <row r="56" spans="1:3">
      <c r="A56" s="33">
        <v>44577</v>
      </c>
      <c r="B56" s="39" t="s">
        <v>547</v>
      </c>
      <c r="C56" s="40" t="s">
        <v>548</v>
      </c>
    </row>
    <row r="57" spans="1:3">
      <c r="A57" s="41"/>
      <c r="B57" s="41"/>
      <c r="C57" s="42"/>
    </row>
    <row r="58" spans="1:3">
      <c r="A58" s="376" t="s">
        <v>549</v>
      </c>
      <c r="B58" s="345"/>
      <c r="C58" s="44" t="s">
        <v>550</v>
      </c>
    </row>
    <row r="59" spans="1:3">
      <c r="A59" s="43"/>
      <c r="B59" s="43"/>
      <c r="C59" s="44"/>
    </row>
    <row r="60" spans="1:3">
      <c r="A60" s="377" t="s">
        <v>551</v>
      </c>
      <c r="B60" s="345"/>
      <c r="C60" s="45" t="s">
        <v>552</v>
      </c>
    </row>
    <row r="61" spans="1:3">
      <c r="A61" s="378" t="s">
        <v>553</v>
      </c>
      <c r="B61" s="345"/>
      <c r="C61" s="47" t="s">
        <v>554</v>
      </c>
    </row>
    <row r="62" spans="1:3">
      <c r="A62" s="46"/>
      <c r="B62" s="46"/>
      <c r="C62" s="48"/>
    </row>
    <row r="63" spans="1:3">
      <c r="A63" s="379" t="s">
        <v>555</v>
      </c>
      <c r="B63" s="345"/>
      <c r="C63" s="50" t="s">
        <v>555</v>
      </c>
    </row>
    <row r="64" spans="1:3">
      <c r="A64" s="380" t="s">
        <v>556</v>
      </c>
      <c r="B64" s="345"/>
      <c r="C64" s="47" t="s">
        <v>556</v>
      </c>
    </row>
    <row r="65" spans="1:3">
      <c r="A65" s="51"/>
      <c r="B65" s="49" t="s">
        <v>471</v>
      </c>
      <c r="C65" s="52" t="s">
        <v>471</v>
      </c>
    </row>
    <row r="66" spans="1:3">
      <c r="A66" s="51"/>
      <c r="B66" s="49"/>
      <c r="C66" s="52"/>
    </row>
  </sheetData>
  <mergeCells count="31">
    <mergeCell ref="A61:B61"/>
    <mergeCell ref="A63:B63"/>
    <mergeCell ref="A64:B64"/>
    <mergeCell ref="B37:B38"/>
    <mergeCell ref="A39:C39"/>
    <mergeCell ref="A41:C41"/>
    <mergeCell ref="A43:C43"/>
    <mergeCell ref="A45:C45"/>
    <mergeCell ref="A47:C47"/>
    <mergeCell ref="A49:C49"/>
    <mergeCell ref="A51:C51"/>
    <mergeCell ref="A53:C53"/>
    <mergeCell ref="A55:C55"/>
    <mergeCell ref="A58:B58"/>
    <mergeCell ref="A60:B60"/>
    <mergeCell ref="A23:C23"/>
    <mergeCell ref="A25:C25"/>
    <mergeCell ref="A33:A35"/>
    <mergeCell ref="A37:A38"/>
    <mergeCell ref="A26:A27"/>
    <mergeCell ref="B26:B27"/>
    <mergeCell ref="A28:C28"/>
    <mergeCell ref="A30:C30"/>
    <mergeCell ref="A32:C32"/>
    <mergeCell ref="B33:B35"/>
    <mergeCell ref="A36:C36"/>
    <mergeCell ref="A1:C1"/>
    <mergeCell ref="A2:C2"/>
    <mergeCell ref="A4:C4"/>
    <mergeCell ref="A7:C7"/>
    <mergeCell ref="A21:C21"/>
  </mergeCells>
  <printOptions horizontalCentered="1" verticalCentered="1"/>
  <pageMargins left="0.7" right="0.7" top="0.75" bottom="0.75" header="0" footer="0"/>
  <pageSetup paperSize="9" fitToHeight="0" orientation="portrai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D892"/>
  <sheetViews>
    <sheetView workbookViewId="0"/>
  </sheetViews>
  <sheetFormatPr defaultColWidth="12.6640625" defaultRowHeight="15.75" customHeight="1" outlineLevelRow="1"/>
  <cols>
    <col min="1" max="1" width="6.33203125" customWidth="1"/>
    <col min="2" max="2" width="25.109375" customWidth="1"/>
    <col min="3" max="3" width="50.109375" customWidth="1"/>
    <col min="4" max="4" width="12.6640625" customWidth="1"/>
  </cols>
  <sheetData>
    <row r="1" spans="1:4">
      <c r="A1" s="397" t="s">
        <v>557</v>
      </c>
      <c r="B1" s="398"/>
      <c r="C1" s="398"/>
      <c r="D1" s="399"/>
    </row>
    <row r="2" spans="1:4">
      <c r="A2" s="400" t="s">
        <v>558</v>
      </c>
      <c r="B2" s="398"/>
      <c r="C2" s="398"/>
      <c r="D2" s="399"/>
    </row>
    <row r="3" spans="1:4">
      <c r="A3" s="401" t="s">
        <v>2</v>
      </c>
      <c r="B3" s="399"/>
      <c r="C3" s="401" t="s">
        <v>3</v>
      </c>
      <c r="D3" s="399"/>
    </row>
    <row r="4" spans="1:4">
      <c r="A4" s="401" t="s">
        <v>4</v>
      </c>
      <c r="B4" s="399"/>
      <c r="C4" s="401" t="s">
        <v>559</v>
      </c>
      <c r="D4" s="399"/>
    </row>
    <row r="5" spans="1:4">
      <c r="A5" s="53"/>
      <c r="B5" s="53"/>
      <c r="C5" s="53"/>
      <c r="D5" s="53"/>
    </row>
    <row r="6" spans="1:4" outlineLevel="1">
      <c r="A6" s="402" t="s">
        <v>560</v>
      </c>
      <c r="B6" s="398"/>
      <c r="C6" s="398"/>
      <c r="D6" s="399"/>
    </row>
    <row r="7" spans="1:4" outlineLevel="1">
      <c r="A7" s="403" t="s">
        <v>561</v>
      </c>
      <c r="B7" s="398"/>
      <c r="C7" s="398"/>
      <c r="D7" s="399"/>
    </row>
    <row r="8" spans="1:4" outlineLevel="1">
      <c r="A8" s="404"/>
      <c r="B8" s="398"/>
      <c r="C8" s="398"/>
      <c r="D8" s="399"/>
    </row>
    <row r="9" spans="1:4" outlineLevel="1">
      <c r="A9" s="400" t="s">
        <v>562</v>
      </c>
      <c r="B9" s="398"/>
      <c r="C9" s="398"/>
      <c r="D9" s="399"/>
    </row>
    <row r="10" spans="1:4" outlineLevel="1">
      <c r="A10" s="400" t="s">
        <v>563</v>
      </c>
      <c r="B10" s="398"/>
      <c r="C10" s="398"/>
      <c r="D10" s="399"/>
    </row>
    <row r="11" spans="1:4" outlineLevel="1">
      <c r="A11" s="54" t="s">
        <v>564</v>
      </c>
      <c r="B11" s="55"/>
      <c r="C11" s="404"/>
      <c r="D11" s="399"/>
    </row>
    <row r="12" spans="1:4" outlineLevel="1">
      <c r="A12" s="405" t="s">
        <v>479</v>
      </c>
      <c r="B12" s="399"/>
      <c r="C12" s="406" t="s">
        <v>565</v>
      </c>
      <c r="D12" s="399"/>
    </row>
    <row r="13" spans="1:4" outlineLevel="1">
      <c r="A13" s="405" t="s">
        <v>466</v>
      </c>
      <c r="B13" s="399"/>
      <c r="C13" s="409" t="s">
        <v>481</v>
      </c>
      <c r="D13" s="399"/>
    </row>
    <row r="14" spans="1:4" outlineLevel="1">
      <c r="A14" s="403" t="s">
        <v>467</v>
      </c>
      <c r="B14" s="399"/>
      <c r="C14" s="409" t="s">
        <v>481</v>
      </c>
      <c r="D14" s="399"/>
    </row>
    <row r="15" spans="1:4" outlineLevel="1">
      <c r="A15" s="405" t="s">
        <v>482</v>
      </c>
      <c r="B15" s="399"/>
      <c r="C15" s="408" t="s">
        <v>483</v>
      </c>
      <c r="D15" s="399"/>
    </row>
    <row r="16" spans="1:4" outlineLevel="1">
      <c r="A16" s="405" t="s">
        <v>484</v>
      </c>
      <c r="B16" s="399"/>
      <c r="C16" s="408" t="s">
        <v>485</v>
      </c>
      <c r="D16" s="399"/>
    </row>
    <row r="17" spans="1:4" outlineLevel="1">
      <c r="A17" s="405" t="s">
        <v>566</v>
      </c>
      <c r="B17" s="399"/>
      <c r="C17" s="407" t="s">
        <v>567</v>
      </c>
      <c r="D17" s="399"/>
    </row>
    <row r="18" spans="1:4" outlineLevel="1">
      <c r="A18" s="405" t="s">
        <v>488</v>
      </c>
      <c r="B18" s="399"/>
      <c r="C18" s="408" t="s">
        <v>489</v>
      </c>
      <c r="D18" s="399"/>
    </row>
    <row r="19" spans="1:4" outlineLevel="1">
      <c r="A19" s="405" t="s">
        <v>490</v>
      </c>
      <c r="B19" s="399"/>
      <c r="C19" s="403" t="s">
        <v>568</v>
      </c>
      <c r="D19" s="399"/>
    </row>
    <row r="20" spans="1:4" outlineLevel="1">
      <c r="A20" s="405" t="s">
        <v>492</v>
      </c>
      <c r="B20" s="399"/>
      <c r="C20" s="408" t="s">
        <v>569</v>
      </c>
      <c r="D20" s="399"/>
    </row>
    <row r="21" spans="1:4" outlineLevel="1">
      <c r="A21" s="403" t="s">
        <v>494</v>
      </c>
      <c r="B21" s="399"/>
      <c r="C21" s="406" t="s">
        <v>495</v>
      </c>
      <c r="D21" s="399"/>
    </row>
    <row r="22" spans="1:4" outlineLevel="1">
      <c r="A22" s="403" t="s">
        <v>496</v>
      </c>
      <c r="B22" s="399"/>
      <c r="C22" s="408" t="s">
        <v>497</v>
      </c>
      <c r="D22" s="399"/>
    </row>
    <row r="23" spans="1:4" outlineLevel="1">
      <c r="A23" s="403" t="s">
        <v>498</v>
      </c>
      <c r="B23" s="399"/>
      <c r="C23" s="408" t="s">
        <v>497</v>
      </c>
      <c r="D23" s="399"/>
    </row>
    <row r="24" spans="1:4" outlineLevel="1">
      <c r="A24" s="405" t="s">
        <v>499</v>
      </c>
      <c r="B24" s="399"/>
      <c r="C24" s="407" t="s">
        <v>570</v>
      </c>
      <c r="D24" s="399"/>
    </row>
    <row r="25" spans="1:4" outlineLevel="1">
      <c r="A25" s="404"/>
      <c r="B25" s="398"/>
      <c r="C25" s="398"/>
      <c r="D25" s="399"/>
    </row>
    <row r="26" spans="1:4" outlineLevel="1">
      <c r="A26" s="54" t="s">
        <v>571</v>
      </c>
      <c r="B26" s="56"/>
      <c r="C26" s="56"/>
      <c r="D26" s="55"/>
    </row>
    <row r="27" spans="1:4" outlineLevel="1">
      <c r="A27" s="405" t="s">
        <v>466</v>
      </c>
      <c r="B27" s="399"/>
      <c r="C27" s="57" t="s">
        <v>572</v>
      </c>
      <c r="D27" s="57" t="s">
        <v>573</v>
      </c>
    </row>
    <row r="28" spans="1:4" outlineLevel="1">
      <c r="A28" s="410" t="s">
        <v>481</v>
      </c>
      <c r="B28" s="399"/>
      <c r="C28" s="57" t="s">
        <v>574</v>
      </c>
      <c r="D28" s="58" t="s">
        <v>575</v>
      </c>
    </row>
    <row r="29" spans="1:4" outlineLevel="1">
      <c r="A29" s="411" t="s">
        <v>576</v>
      </c>
      <c r="B29" s="412"/>
      <c r="C29" s="59" t="s">
        <v>577</v>
      </c>
      <c r="D29" s="417" t="s">
        <v>578</v>
      </c>
    </row>
    <row r="30" spans="1:4" outlineLevel="1">
      <c r="A30" s="413"/>
      <c r="B30" s="414"/>
      <c r="C30" s="59" t="s">
        <v>579</v>
      </c>
      <c r="D30" s="418"/>
    </row>
    <row r="31" spans="1:4" outlineLevel="1">
      <c r="A31" s="415"/>
      <c r="B31" s="416"/>
      <c r="C31" s="59" t="s">
        <v>580</v>
      </c>
      <c r="D31" s="419"/>
    </row>
    <row r="32" spans="1:4" outlineLevel="1">
      <c r="A32" s="55"/>
      <c r="B32" s="56"/>
      <c r="C32" s="56"/>
      <c r="D32" s="57"/>
    </row>
    <row r="33" spans="1:4" outlineLevel="1">
      <c r="A33" s="54" t="s">
        <v>581</v>
      </c>
      <c r="B33" s="56"/>
      <c r="C33" s="56"/>
      <c r="D33" s="57"/>
    </row>
    <row r="34" spans="1:4" outlineLevel="1">
      <c r="A34" s="403" t="s">
        <v>582</v>
      </c>
      <c r="B34" s="398"/>
      <c r="C34" s="398"/>
      <c r="D34" s="399"/>
    </row>
    <row r="35" spans="1:4" outlineLevel="1">
      <c r="A35" s="55"/>
      <c r="B35" s="56"/>
      <c r="C35" s="56"/>
      <c r="D35" s="56"/>
    </row>
    <row r="36" spans="1:4">
      <c r="A36" s="420" t="s">
        <v>583</v>
      </c>
      <c r="B36" s="398"/>
      <c r="C36" s="398"/>
      <c r="D36" s="399"/>
    </row>
    <row r="37" spans="1:4">
      <c r="A37" s="421"/>
      <c r="B37" s="422"/>
      <c r="C37" s="422"/>
      <c r="D37" s="412"/>
    </row>
    <row r="38" spans="1:4">
      <c r="A38" s="60" t="s">
        <v>584</v>
      </c>
      <c r="B38" s="60" t="s">
        <v>8</v>
      </c>
      <c r="C38" s="423" t="s">
        <v>9</v>
      </c>
      <c r="D38" s="351"/>
    </row>
    <row r="39" spans="1:4">
      <c r="A39" s="393" t="s">
        <v>501</v>
      </c>
      <c r="B39" s="350"/>
      <c r="C39" s="350"/>
      <c r="D39" s="351"/>
    </row>
    <row r="40" spans="1:4">
      <c r="A40" s="61" t="s">
        <v>585</v>
      </c>
      <c r="B40" s="62" t="s">
        <v>586</v>
      </c>
      <c r="C40" s="424" t="s">
        <v>587</v>
      </c>
      <c r="D40" s="351"/>
    </row>
    <row r="41" spans="1:4">
      <c r="A41" s="61" t="s">
        <v>588</v>
      </c>
      <c r="B41" s="63" t="s">
        <v>589</v>
      </c>
      <c r="C41" s="392" t="s">
        <v>590</v>
      </c>
      <c r="D41" s="351"/>
    </row>
    <row r="42" spans="1:4">
      <c r="A42" s="61" t="s">
        <v>591</v>
      </c>
      <c r="B42" s="64" t="s">
        <v>592</v>
      </c>
      <c r="C42" s="392" t="s">
        <v>593</v>
      </c>
      <c r="D42" s="351"/>
    </row>
    <row r="43" spans="1:4">
      <c r="A43" s="61" t="s">
        <v>594</v>
      </c>
      <c r="B43" s="63" t="s">
        <v>595</v>
      </c>
      <c r="C43" s="392" t="s">
        <v>596</v>
      </c>
      <c r="D43" s="351"/>
    </row>
    <row r="44" spans="1:4">
      <c r="A44" s="61" t="s">
        <v>597</v>
      </c>
      <c r="B44" s="64" t="s">
        <v>598</v>
      </c>
      <c r="C44" s="392" t="s">
        <v>599</v>
      </c>
      <c r="D44" s="351"/>
    </row>
    <row r="45" spans="1:4">
      <c r="A45" s="61" t="s">
        <v>600</v>
      </c>
      <c r="B45" s="62" t="s">
        <v>601</v>
      </c>
      <c r="C45" s="424" t="s">
        <v>602</v>
      </c>
      <c r="D45" s="351"/>
    </row>
    <row r="46" spans="1:4">
      <c r="A46" s="61" t="s">
        <v>603</v>
      </c>
      <c r="B46" s="65" t="s">
        <v>604</v>
      </c>
      <c r="C46" s="360" t="s">
        <v>605</v>
      </c>
      <c r="D46" s="351"/>
    </row>
    <row r="47" spans="1:4">
      <c r="A47" s="61" t="s">
        <v>606</v>
      </c>
      <c r="B47" s="63" t="s">
        <v>607</v>
      </c>
      <c r="C47" s="360" t="s">
        <v>608</v>
      </c>
      <c r="D47" s="351"/>
    </row>
    <row r="48" spans="1:4">
      <c r="A48" s="61" t="s">
        <v>609</v>
      </c>
      <c r="B48" s="65" t="s">
        <v>610</v>
      </c>
      <c r="C48" s="360" t="s">
        <v>611</v>
      </c>
      <c r="D48" s="351"/>
    </row>
    <row r="49" spans="1:4">
      <c r="A49" s="61" t="s">
        <v>612</v>
      </c>
      <c r="B49" s="66" t="s">
        <v>613</v>
      </c>
      <c r="C49" s="360" t="s">
        <v>614</v>
      </c>
      <c r="D49" s="351"/>
    </row>
    <row r="50" spans="1:4">
      <c r="A50" s="61" t="s">
        <v>615</v>
      </c>
      <c r="B50" s="65" t="s">
        <v>592</v>
      </c>
      <c r="C50" s="360" t="s">
        <v>616</v>
      </c>
      <c r="D50" s="351"/>
    </row>
    <row r="51" spans="1:4">
      <c r="A51" s="61" t="s">
        <v>617</v>
      </c>
      <c r="B51" s="65" t="s">
        <v>618</v>
      </c>
      <c r="C51" s="360" t="s">
        <v>619</v>
      </c>
      <c r="D51" s="351"/>
    </row>
    <row r="52" spans="1:4">
      <c r="A52" s="61" t="s">
        <v>620</v>
      </c>
      <c r="B52" s="65" t="s">
        <v>621</v>
      </c>
      <c r="C52" s="360" t="s">
        <v>622</v>
      </c>
      <c r="D52" s="351"/>
    </row>
    <row r="53" spans="1:4">
      <c r="A53" s="61" t="s">
        <v>623</v>
      </c>
      <c r="B53" s="65" t="s">
        <v>624</v>
      </c>
      <c r="C53" s="360" t="s">
        <v>625</v>
      </c>
      <c r="D53" s="351"/>
    </row>
    <row r="54" spans="1:4">
      <c r="A54" s="395" t="s">
        <v>626</v>
      </c>
      <c r="B54" s="350"/>
      <c r="C54" s="350"/>
      <c r="D54" s="351"/>
    </row>
    <row r="55" spans="1:4">
      <c r="A55" s="61" t="s">
        <v>627</v>
      </c>
      <c r="B55" s="65" t="s">
        <v>478</v>
      </c>
      <c r="C55" s="360" t="s">
        <v>628</v>
      </c>
      <c r="D55" s="351"/>
    </row>
    <row r="56" spans="1:4">
      <c r="A56" s="61" t="s">
        <v>629</v>
      </c>
      <c r="B56" s="65" t="s">
        <v>630</v>
      </c>
      <c r="C56" s="360" t="s">
        <v>631</v>
      </c>
      <c r="D56" s="351"/>
    </row>
    <row r="57" spans="1:4">
      <c r="A57" s="61" t="s">
        <v>632</v>
      </c>
      <c r="B57" s="65" t="s">
        <v>633</v>
      </c>
      <c r="C57" s="360" t="s">
        <v>634</v>
      </c>
      <c r="D57" s="351"/>
    </row>
    <row r="58" spans="1:4">
      <c r="A58" s="61" t="s">
        <v>635</v>
      </c>
      <c r="B58" s="65" t="s">
        <v>636</v>
      </c>
      <c r="C58" s="360" t="s">
        <v>637</v>
      </c>
      <c r="D58" s="351"/>
    </row>
    <row r="59" spans="1:4">
      <c r="A59" s="393" t="s">
        <v>638</v>
      </c>
      <c r="B59" s="350"/>
      <c r="C59" s="350"/>
      <c r="D59" s="351"/>
    </row>
    <row r="60" spans="1:4">
      <c r="A60" s="383" t="s">
        <v>639</v>
      </c>
      <c r="B60" s="350"/>
      <c r="C60" s="350"/>
      <c r="D60" s="351"/>
    </row>
    <row r="61" spans="1:4">
      <c r="A61" s="67"/>
      <c r="B61" s="67"/>
      <c r="C61" s="360" t="s">
        <v>640</v>
      </c>
      <c r="D61" s="351"/>
    </row>
    <row r="62" spans="1:4">
      <c r="A62" s="393" t="s">
        <v>641</v>
      </c>
      <c r="B62" s="350"/>
      <c r="C62" s="350"/>
      <c r="D62" s="351"/>
    </row>
    <row r="63" spans="1:4">
      <c r="A63" s="393" t="s">
        <v>642</v>
      </c>
      <c r="B63" s="350"/>
      <c r="C63" s="350"/>
      <c r="D63" s="351"/>
    </row>
    <row r="64" spans="1:4">
      <c r="A64" s="68" t="s">
        <v>643</v>
      </c>
      <c r="B64" s="65" t="s">
        <v>644</v>
      </c>
      <c r="C64" s="360" t="s">
        <v>645</v>
      </c>
      <c r="D64" s="351"/>
    </row>
    <row r="65" spans="1:4">
      <c r="A65" s="68" t="s">
        <v>646</v>
      </c>
      <c r="B65" s="64" t="s">
        <v>647</v>
      </c>
      <c r="C65" s="389" t="s">
        <v>648</v>
      </c>
      <c r="D65" s="351"/>
    </row>
    <row r="66" spans="1:4">
      <c r="A66" s="68" t="s">
        <v>649</v>
      </c>
      <c r="B66" s="64" t="s">
        <v>650</v>
      </c>
      <c r="C66" s="389" t="s">
        <v>651</v>
      </c>
      <c r="D66" s="351"/>
    </row>
    <row r="67" spans="1:4">
      <c r="A67" s="68" t="s">
        <v>652</v>
      </c>
      <c r="B67" s="64" t="s">
        <v>653</v>
      </c>
      <c r="C67" s="389" t="s">
        <v>654</v>
      </c>
      <c r="D67" s="351"/>
    </row>
    <row r="68" spans="1:4">
      <c r="A68" s="68" t="s">
        <v>655</v>
      </c>
      <c r="B68" s="64" t="s">
        <v>656</v>
      </c>
      <c r="C68" s="360" t="s">
        <v>657</v>
      </c>
      <c r="D68" s="351"/>
    </row>
    <row r="69" spans="1:4">
      <c r="A69" s="68" t="s">
        <v>658</v>
      </c>
      <c r="B69" s="64" t="s">
        <v>659</v>
      </c>
      <c r="C69" s="389" t="s">
        <v>660</v>
      </c>
      <c r="D69" s="351"/>
    </row>
    <row r="70" spans="1:4">
      <c r="A70" s="68" t="s">
        <v>661</v>
      </c>
      <c r="B70" s="64" t="s">
        <v>662</v>
      </c>
      <c r="C70" s="389" t="s">
        <v>663</v>
      </c>
      <c r="D70" s="351"/>
    </row>
    <row r="71" spans="1:4">
      <c r="A71" s="68" t="s">
        <v>664</v>
      </c>
      <c r="B71" s="64" t="s">
        <v>665</v>
      </c>
      <c r="C71" s="389" t="s">
        <v>666</v>
      </c>
      <c r="D71" s="351"/>
    </row>
    <row r="72" spans="1:4">
      <c r="A72" s="68" t="s">
        <v>667</v>
      </c>
      <c r="B72" s="64" t="s">
        <v>668</v>
      </c>
      <c r="C72" s="389" t="s">
        <v>669</v>
      </c>
      <c r="D72" s="351"/>
    </row>
    <row r="73" spans="1:4">
      <c r="A73" s="68" t="s">
        <v>670</v>
      </c>
      <c r="B73" s="64" t="s">
        <v>671</v>
      </c>
      <c r="C73" s="389" t="s">
        <v>672</v>
      </c>
      <c r="D73" s="351"/>
    </row>
    <row r="74" spans="1:4">
      <c r="A74" s="68" t="s">
        <v>673</v>
      </c>
      <c r="B74" s="64" t="s">
        <v>674</v>
      </c>
      <c r="C74" s="389" t="s">
        <v>675</v>
      </c>
      <c r="D74" s="351"/>
    </row>
    <row r="75" spans="1:4">
      <c r="A75" s="68" t="s">
        <v>676</v>
      </c>
      <c r="B75" s="64" t="s">
        <v>677</v>
      </c>
      <c r="C75" s="389" t="s">
        <v>678</v>
      </c>
      <c r="D75" s="351"/>
    </row>
    <row r="76" spans="1:4">
      <c r="A76" s="68" t="s">
        <v>679</v>
      </c>
      <c r="B76" s="69" t="s">
        <v>680</v>
      </c>
      <c r="C76" s="360" t="s">
        <v>681</v>
      </c>
      <c r="D76" s="351"/>
    </row>
    <row r="77" spans="1:4">
      <c r="A77" s="68" t="s">
        <v>682</v>
      </c>
      <c r="B77" s="69" t="s">
        <v>683</v>
      </c>
      <c r="C77" s="360" t="s">
        <v>684</v>
      </c>
      <c r="D77" s="351"/>
    </row>
    <row r="78" spans="1:4">
      <c r="A78" s="68" t="s">
        <v>685</v>
      </c>
      <c r="B78" s="62" t="s">
        <v>686</v>
      </c>
      <c r="C78" s="389" t="s">
        <v>687</v>
      </c>
      <c r="D78" s="351"/>
    </row>
    <row r="79" spans="1:4">
      <c r="A79" s="68" t="s">
        <v>688</v>
      </c>
      <c r="B79" s="64" t="s">
        <v>689</v>
      </c>
      <c r="C79" s="389" t="s">
        <v>690</v>
      </c>
      <c r="D79" s="351"/>
    </row>
    <row r="80" spans="1:4">
      <c r="A80" s="68" t="s">
        <v>691</v>
      </c>
      <c r="B80" s="64" t="s">
        <v>692</v>
      </c>
      <c r="C80" s="360" t="s">
        <v>693</v>
      </c>
      <c r="D80" s="351"/>
    </row>
    <row r="81" spans="1:4">
      <c r="A81" s="68" t="s">
        <v>694</v>
      </c>
      <c r="B81" s="64" t="s">
        <v>695</v>
      </c>
      <c r="C81" s="389" t="s">
        <v>696</v>
      </c>
      <c r="D81" s="351"/>
    </row>
    <row r="82" spans="1:4">
      <c r="A82" s="68" t="s">
        <v>697</v>
      </c>
      <c r="B82" s="64" t="s">
        <v>698</v>
      </c>
      <c r="C82" s="389" t="s">
        <v>699</v>
      </c>
      <c r="D82" s="351"/>
    </row>
    <row r="83" spans="1:4">
      <c r="A83" s="68" t="s">
        <v>700</v>
      </c>
      <c r="B83" s="64" t="s">
        <v>701</v>
      </c>
      <c r="C83" s="389" t="s">
        <v>702</v>
      </c>
      <c r="D83" s="351"/>
    </row>
    <row r="84" spans="1:4">
      <c r="A84" s="68" t="s">
        <v>703</v>
      </c>
      <c r="B84" s="64" t="s">
        <v>704</v>
      </c>
      <c r="C84" s="389" t="s">
        <v>705</v>
      </c>
      <c r="D84" s="351"/>
    </row>
    <row r="85" spans="1:4">
      <c r="A85" s="68" t="s">
        <v>706</v>
      </c>
      <c r="B85" s="64" t="s">
        <v>707</v>
      </c>
      <c r="C85" s="389" t="s">
        <v>708</v>
      </c>
      <c r="D85" s="351"/>
    </row>
    <row r="86" spans="1:4">
      <c r="A86" s="68" t="s">
        <v>709</v>
      </c>
      <c r="B86" s="64" t="s">
        <v>710</v>
      </c>
      <c r="C86" s="389" t="s">
        <v>711</v>
      </c>
      <c r="D86" s="351"/>
    </row>
    <row r="87" spans="1:4">
      <c r="A87" s="68" t="s">
        <v>712</v>
      </c>
      <c r="B87" s="64" t="s">
        <v>713</v>
      </c>
      <c r="C87" s="389" t="s">
        <v>714</v>
      </c>
      <c r="D87" s="351"/>
    </row>
    <row r="88" spans="1:4">
      <c r="A88" s="68" t="s">
        <v>715</v>
      </c>
      <c r="B88" s="64" t="s">
        <v>716</v>
      </c>
      <c r="C88" s="389" t="s">
        <v>717</v>
      </c>
      <c r="D88" s="351"/>
    </row>
    <row r="89" spans="1:4">
      <c r="A89" s="68" t="s">
        <v>718</v>
      </c>
      <c r="B89" s="64" t="s">
        <v>719</v>
      </c>
      <c r="C89" s="389" t="s">
        <v>720</v>
      </c>
      <c r="D89" s="351"/>
    </row>
    <row r="90" spans="1:4">
      <c r="A90" s="68" t="s">
        <v>721</v>
      </c>
      <c r="B90" s="64" t="s">
        <v>722</v>
      </c>
      <c r="C90" s="389" t="s">
        <v>723</v>
      </c>
      <c r="D90" s="351"/>
    </row>
    <row r="91" spans="1:4">
      <c r="A91" s="68" t="s">
        <v>724</v>
      </c>
      <c r="B91" s="64" t="s">
        <v>725</v>
      </c>
      <c r="C91" s="389" t="s">
        <v>726</v>
      </c>
      <c r="D91" s="351"/>
    </row>
    <row r="92" spans="1:4">
      <c r="A92" s="68" t="s">
        <v>727</v>
      </c>
      <c r="B92" s="62" t="s">
        <v>728</v>
      </c>
      <c r="C92" s="389" t="s">
        <v>729</v>
      </c>
      <c r="D92" s="351"/>
    </row>
    <row r="93" spans="1:4">
      <c r="A93" s="68" t="s">
        <v>730</v>
      </c>
      <c r="B93" s="62" t="s">
        <v>731</v>
      </c>
      <c r="C93" s="389" t="s">
        <v>732</v>
      </c>
      <c r="D93" s="351"/>
    </row>
    <row r="94" spans="1:4">
      <c r="A94" s="68" t="s">
        <v>733</v>
      </c>
      <c r="B94" s="62" t="s">
        <v>734</v>
      </c>
      <c r="C94" s="389" t="s">
        <v>735</v>
      </c>
      <c r="D94" s="351"/>
    </row>
    <row r="95" spans="1:4">
      <c r="A95" s="393" t="s">
        <v>736</v>
      </c>
      <c r="B95" s="350"/>
      <c r="C95" s="350"/>
      <c r="D95" s="351"/>
    </row>
    <row r="96" spans="1:4">
      <c r="A96" s="68" t="s">
        <v>737</v>
      </c>
      <c r="B96" s="64" t="s">
        <v>738</v>
      </c>
      <c r="C96" s="360" t="s">
        <v>739</v>
      </c>
      <c r="D96" s="351"/>
    </row>
    <row r="97" spans="1:4">
      <c r="A97" s="68" t="s">
        <v>740</v>
      </c>
      <c r="B97" s="64" t="s">
        <v>741</v>
      </c>
      <c r="C97" s="387" t="s">
        <v>742</v>
      </c>
      <c r="D97" s="351"/>
    </row>
    <row r="98" spans="1:4">
      <c r="A98" s="68" t="s">
        <v>743</v>
      </c>
      <c r="B98" s="64" t="s">
        <v>744</v>
      </c>
      <c r="C98" s="387" t="s">
        <v>745</v>
      </c>
      <c r="D98" s="351"/>
    </row>
    <row r="99" spans="1:4">
      <c r="A99" s="68" t="s">
        <v>746</v>
      </c>
      <c r="B99" s="64" t="s">
        <v>747</v>
      </c>
      <c r="C99" s="387" t="s">
        <v>748</v>
      </c>
      <c r="D99" s="351"/>
    </row>
    <row r="100" spans="1:4">
      <c r="A100" s="68" t="s">
        <v>749</v>
      </c>
      <c r="B100" s="64" t="s">
        <v>750</v>
      </c>
      <c r="C100" s="387" t="s">
        <v>751</v>
      </c>
      <c r="D100" s="351"/>
    </row>
    <row r="101" spans="1:4">
      <c r="A101" s="68" t="s">
        <v>752</v>
      </c>
      <c r="B101" s="64" t="s">
        <v>753</v>
      </c>
      <c r="C101" s="387" t="s">
        <v>754</v>
      </c>
      <c r="D101" s="351"/>
    </row>
    <row r="102" spans="1:4">
      <c r="A102" s="68" t="s">
        <v>755</v>
      </c>
      <c r="B102" s="64" t="s">
        <v>756</v>
      </c>
      <c r="C102" s="387" t="s">
        <v>757</v>
      </c>
      <c r="D102" s="351"/>
    </row>
    <row r="103" spans="1:4">
      <c r="A103" s="68" t="s">
        <v>758</v>
      </c>
      <c r="B103" s="64" t="s">
        <v>759</v>
      </c>
      <c r="C103" s="387" t="s">
        <v>760</v>
      </c>
      <c r="D103" s="351"/>
    </row>
    <row r="104" spans="1:4">
      <c r="A104" s="68" t="s">
        <v>761</v>
      </c>
      <c r="B104" s="69" t="s">
        <v>762</v>
      </c>
      <c r="C104" s="360" t="s">
        <v>763</v>
      </c>
      <c r="D104" s="351"/>
    </row>
    <row r="105" spans="1:4">
      <c r="A105" s="68" t="s">
        <v>764</v>
      </c>
      <c r="B105" s="64" t="s">
        <v>765</v>
      </c>
      <c r="C105" s="387" t="s">
        <v>766</v>
      </c>
      <c r="D105" s="351"/>
    </row>
    <row r="106" spans="1:4">
      <c r="A106" s="68" t="s">
        <v>767</v>
      </c>
      <c r="B106" s="64" t="s">
        <v>768</v>
      </c>
      <c r="C106" s="387" t="s">
        <v>769</v>
      </c>
      <c r="D106" s="351"/>
    </row>
    <row r="107" spans="1:4">
      <c r="A107" s="68" t="s">
        <v>770</v>
      </c>
      <c r="B107" s="64" t="s">
        <v>771</v>
      </c>
      <c r="C107" s="360" t="s">
        <v>772</v>
      </c>
      <c r="D107" s="351"/>
    </row>
    <row r="108" spans="1:4">
      <c r="A108" s="68" t="s">
        <v>773</v>
      </c>
      <c r="B108" s="64" t="s">
        <v>774</v>
      </c>
      <c r="C108" s="360" t="s">
        <v>775</v>
      </c>
      <c r="D108" s="351"/>
    </row>
    <row r="109" spans="1:4">
      <c r="A109" s="68" t="s">
        <v>776</v>
      </c>
      <c r="B109" s="64" t="s">
        <v>777</v>
      </c>
      <c r="C109" s="360" t="s">
        <v>778</v>
      </c>
      <c r="D109" s="351"/>
    </row>
    <row r="110" spans="1:4">
      <c r="A110" s="68" t="s">
        <v>779</v>
      </c>
      <c r="B110" s="64" t="s">
        <v>780</v>
      </c>
      <c r="C110" s="387" t="s">
        <v>781</v>
      </c>
      <c r="D110" s="351"/>
    </row>
    <row r="111" spans="1:4">
      <c r="A111" s="68" t="s">
        <v>782</v>
      </c>
      <c r="B111" s="64" t="s">
        <v>783</v>
      </c>
      <c r="C111" s="387" t="s">
        <v>784</v>
      </c>
      <c r="D111" s="351"/>
    </row>
    <row r="112" spans="1:4">
      <c r="A112" s="68" t="s">
        <v>785</v>
      </c>
      <c r="B112" s="64" t="s">
        <v>786</v>
      </c>
      <c r="C112" s="387" t="s">
        <v>787</v>
      </c>
      <c r="D112" s="351"/>
    </row>
    <row r="113" spans="1:4">
      <c r="A113" s="68" t="s">
        <v>788</v>
      </c>
      <c r="B113" s="64" t="s">
        <v>789</v>
      </c>
      <c r="C113" s="387" t="s">
        <v>790</v>
      </c>
      <c r="D113" s="351"/>
    </row>
    <row r="114" spans="1:4">
      <c r="A114" s="68" t="s">
        <v>791</v>
      </c>
      <c r="B114" s="65" t="s">
        <v>792</v>
      </c>
      <c r="C114" s="387" t="s">
        <v>793</v>
      </c>
      <c r="D114" s="351"/>
    </row>
    <row r="115" spans="1:4">
      <c r="A115" s="68" t="s">
        <v>794</v>
      </c>
      <c r="B115" s="64" t="s">
        <v>795</v>
      </c>
      <c r="C115" s="387" t="s">
        <v>796</v>
      </c>
      <c r="D115" s="351"/>
    </row>
    <row r="116" spans="1:4">
      <c r="A116" s="68" t="s">
        <v>797</v>
      </c>
      <c r="B116" s="64" t="s">
        <v>798</v>
      </c>
      <c r="C116" s="387" t="s">
        <v>799</v>
      </c>
      <c r="D116" s="351"/>
    </row>
    <row r="117" spans="1:4">
      <c r="A117" s="68" t="s">
        <v>800</v>
      </c>
      <c r="B117" s="69" t="s">
        <v>801</v>
      </c>
      <c r="C117" s="360" t="s">
        <v>802</v>
      </c>
      <c r="D117" s="351"/>
    </row>
    <row r="118" spans="1:4">
      <c r="A118" s="68" t="s">
        <v>803</v>
      </c>
      <c r="B118" s="64" t="s">
        <v>804</v>
      </c>
      <c r="C118" s="360" t="s">
        <v>805</v>
      </c>
      <c r="D118" s="351"/>
    </row>
    <row r="119" spans="1:4">
      <c r="A119" s="68" t="s">
        <v>806</v>
      </c>
      <c r="B119" s="64" t="s">
        <v>807</v>
      </c>
      <c r="C119" s="360" t="s">
        <v>808</v>
      </c>
      <c r="D119" s="351"/>
    </row>
    <row r="120" spans="1:4">
      <c r="A120" s="68" t="s">
        <v>809</v>
      </c>
      <c r="B120" s="64" t="s">
        <v>810</v>
      </c>
      <c r="C120" s="387" t="s">
        <v>811</v>
      </c>
      <c r="D120" s="351"/>
    </row>
    <row r="121" spans="1:4">
      <c r="A121" s="68" t="s">
        <v>812</v>
      </c>
      <c r="B121" s="62" t="s">
        <v>813</v>
      </c>
      <c r="C121" s="387" t="s">
        <v>814</v>
      </c>
      <c r="D121" s="351"/>
    </row>
    <row r="122" spans="1:4">
      <c r="A122" s="68" t="s">
        <v>815</v>
      </c>
      <c r="B122" s="64" t="s">
        <v>816</v>
      </c>
      <c r="C122" s="360" t="s">
        <v>817</v>
      </c>
      <c r="D122" s="351"/>
    </row>
    <row r="123" spans="1:4">
      <c r="A123" s="68" t="s">
        <v>818</v>
      </c>
      <c r="B123" s="62" t="s">
        <v>819</v>
      </c>
      <c r="C123" s="387" t="s">
        <v>820</v>
      </c>
      <c r="D123" s="351"/>
    </row>
    <row r="124" spans="1:4">
      <c r="A124" s="393" t="s">
        <v>821</v>
      </c>
      <c r="B124" s="350"/>
      <c r="C124" s="350"/>
      <c r="D124" s="351"/>
    </row>
    <row r="125" spans="1:4">
      <c r="A125" s="68" t="s">
        <v>822</v>
      </c>
      <c r="B125" s="62" t="s">
        <v>823</v>
      </c>
      <c r="C125" s="389" t="s">
        <v>824</v>
      </c>
      <c r="D125" s="351"/>
    </row>
    <row r="126" spans="1:4">
      <c r="A126" s="393" t="s">
        <v>825</v>
      </c>
      <c r="B126" s="350"/>
      <c r="C126" s="350"/>
      <c r="D126" s="351"/>
    </row>
    <row r="127" spans="1:4">
      <c r="A127" s="68" t="s">
        <v>826</v>
      </c>
      <c r="B127" s="65" t="s">
        <v>827</v>
      </c>
      <c r="C127" s="360" t="s">
        <v>828</v>
      </c>
      <c r="D127" s="351"/>
    </row>
    <row r="128" spans="1:4">
      <c r="A128" s="68" t="s">
        <v>829</v>
      </c>
      <c r="B128" s="64" t="s">
        <v>830</v>
      </c>
      <c r="C128" s="360" t="s">
        <v>831</v>
      </c>
      <c r="D128" s="351"/>
    </row>
    <row r="129" spans="1:4">
      <c r="A129" s="68" t="s">
        <v>832</v>
      </c>
      <c r="B129" s="64" t="s">
        <v>833</v>
      </c>
      <c r="C129" s="360" t="s">
        <v>834</v>
      </c>
      <c r="D129" s="351"/>
    </row>
    <row r="130" spans="1:4">
      <c r="A130" s="68" t="s">
        <v>835</v>
      </c>
      <c r="B130" s="64" t="s">
        <v>836</v>
      </c>
      <c r="C130" s="360" t="s">
        <v>837</v>
      </c>
      <c r="D130" s="351"/>
    </row>
    <row r="131" spans="1:4">
      <c r="A131" s="68" t="s">
        <v>838</v>
      </c>
      <c r="B131" s="64" t="s">
        <v>839</v>
      </c>
      <c r="C131" s="360" t="s">
        <v>840</v>
      </c>
      <c r="D131" s="351"/>
    </row>
    <row r="132" spans="1:4">
      <c r="A132" s="68" t="s">
        <v>841</v>
      </c>
      <c r="B132" s="64" t="s">
        <v>842</v>
      </c>
      <c r="C132" s="360" t="s">
        <v>843</v>
      </c>
      <c r="D132" s="351"/>
    </row>
    <row r="133" spans="1:4">
      <c r="A133" s="68" t="s">
        <v>844</v>
      </c>
      <c r="B133" s="62" t="s">
        <v>845</v>
      </c>
      <c r="C133" s="360" t="s">
        <v>846</v>
      </c>
      <c r="D133" s="351"/>
    </row>
    <row r="134" spans="1:4">
      <c r="A134" s="68" t="s">
        <v>847</v>
      </c>
      <c r="B134" s="62" t="s">
        <v>848</v>
      </c>
      <c r="C134" s="360" t="s">
        <v>849</v>
      </c>
      <c r="D134" s="351"/>
    </row>
    <row r="135" spans="1:4">
      <c r="A135" s="68" t="s">
        <v>850</v>
      </c>
      <c r="B135" s="69" t="s">
        <v>851</v>
      </c>
      <c r="C135" s="360" t="s">
        <v>852</v>
      </c>
      <c r="D135" s="351"/>
    </row>
    <row r="136" spans="1:4">
      <c r="A136" s="68" t="s">
        <v>853</v>
      </c>
      <c r="B136" s="62" t="s">
        <v>854</v>
      </c>
      <c r="C136" s="360" t="s">
        <v>855</v>
      </c>
      <c r="D136" s="351"/>
    </row>
    <row r="137" spans="1:4">
      <c r="A137" s="68" t="s">
        <v>856</v>
      </c>
      <c r="B137" s="64" t="s">
        <v>857</v>
      </c>
      <c r="C137" s="360" t="s">
        <v>858</v>
      </c>
      <c r="D137" s="351"/>
    </row>
    <row r="138" spans="1:4">
      <c r="A138" s="68" t="s">
        <v>859</v>
      </c>
      <c r="B138" s="62" t="s">
        <v>860</v>
      </c>
      <c r="C138" s="360" t="s">
        <v>861</v>
      </c>
      <c r="D138" s="351"/>
    </row>
    <row r="139" spans="1:4">
      <c r="A139" s="68" t="s">
        <v>862</v>
      </c>
      <c r="B139" s="62" t="s">
        <v>863</v>
      </c>
      <c r="C139" s="360" t="s">
        <v>864</v>
      </c>
      <c r="D139" s="351"/>
    </row>
    <row r="140" spans="1:4">
      <c r="A140" s="68" t="s">
        <v>865</v>
      </c>
      <c r="B140" s="62" t="s">
        <v>866</v>
      </c>
      <c r="C140" s="360" t="s">
        <v>867</v>
      </c>
      <c r="D140" s="351"/>
    </row>
    <row r="141" spans="1:4">
      <c r="A141" s="68" t="s">
        <v>868</v>
      </c>
      <c r="B141" s="64" t="s">
        <v>869</v>
      </c>
      <c r="C141" s="360" t="s">
        <v>870</v>
      </c>
      <c r="D141" s="351"/>
    </row>
    <row r="142" spans="1:4">
      <c r="A142" s="68" t="s">
        <v>871</v>
      </c>
      <c r="B142" s="64" t="s">
        <v>872</v>
      </c>
      <c r="C142" s="360" t="s">
        <v>873</v>
      </c>
      <c r="D142" s="351"/>
    </row>
    <row r="143" spans="1:4">
      <c r="A143" s="68" t="s">
        <v>874</v>
      </c>
      <c r="B143" s="62" t="s">
        <v>875</v>
      </c>
      <c r="C143" s="360" t="s">
        <v>876</v>
      </c>
      <c r="D143" s="351"/>
    </row>
    <row r="144" spans="1:4">
      <c r="A144" s="393" t="s">
        <v>877</v>
      </c>
      <c r="B144" s="350"/>
      <c r="C144" s="350"/>
      <c r="D144" s="351"/>
    </row>
    <row r="145" spans="1:4">
      <c r="A145" s="68" t="s">
        <v>878</v>
      </c>
      <c r="B145" s="62" t="s">
        <v>879</v>
      </c>
      <c r="C145" s="360" t="s">
        <v>880</v>
      </c>
      <c r="D145" s="351"/>
    </row>
    <row r="146" spans="1:4">
      <c r="A146" s="68" t="s">
        <v>881</v>
      </c>
      <c r="B146" s="70" t="s">
        <v>882</v>
      </c>
      <c r="C146" s="360" t="s">
        <v>883</v>
      </c>
      <c r="D146" s="351"/>
    </row>
    <row r="147" spans="1:4">
      <c r="A147" s="68" t="s">
        <v>884</v>
      </c>
      <c r="B147" s="64" t="s">
        <v>885</v>
      </c>
      <c r="C147" s="360" t="s">
        <v>886</v>
      </c>
      <c r="D147" s="351"/>
    </row>
    <row r="148" spans="1:4">
      <c r="A148" s="68" t="s">
        <v>887</v>
      </c>
      <c r="B148" s="69" t="s">
        <v>888</v>
      </c>
      <c r="C148" s="360" t="s">
        <v>889</v>
      </c>
      <c r="D148" s="351"/>
    </row>
    <row r="149" spans="1:4">
      <c r="A149" s="68" t="s">
        <v>890</v>
      </c>
      <c r="B149" s="69" t="s">
        <v>891</v>
      </c>
      <c r="C149" s="360" t="s">
        <v>892</v>
      </c>
      <c r="D149" s="351"/>
    </row>
    <row r="150" spans="1:4">
      <c r="A150" s="68" t="s">
        <v>893</v>
      </c>
      <c r="B150" s="62" t="s">
        <v>894</v>
      </c>
      <c r="C150" s="360" t="s">
        <v>895</v>
      </c>
      <c r="D150" s="351"/>
    </row>
    <row r="151" spans="1:4">
      <c r="A151" s="68" t="s">
        <v>896</v>
      </c>
      <c r="B151" s="62" t="s">
        <v>897</v>
      </c>
      <c r="C151" s="360" t="s">
        <v>898</v>
      </c>
      <c r="D151" s="351"/>
    </row>
    <row r="152" spans="1:4">
      <c r="A152" s="68" t="s">
        <v>899</v>
      </c>
      <c r="B152" s="62" t="s">
        <v>900</v>
      </c>
      <c r="C152" s="360" t="s">
        <v>901</v>
      </c>
      <c r="D152" s="351"/>
    </row>
    <row r="153" spans="1:4">
      <c r="A153" s="68" t="s">
        <v>902</v>
      </c>
      <c r="B153" s="62" t="s">
        <v>903</v>
      </c>
      <c r="C153" s="360" t="s">
        <v>904</v>
      </c>
      <c r="D153" s="351"/>
    </row>
    <row r="154" spans="1:4">
      <c r="A154" s="68" t="s">
        <v>905</v>
      </c>
      <c r="B154" s="62" t="s">
        <v>906</v>
      </c>
      <c r="C154" s="389" t="s">
        <v>907</v>
      </c>
      <c r="D154" s="351"/>
    </row>
    <row r="155" spans="1:4">
      <c r="A155" s="68" t="s">
        <v>908</v>
      </c>
      <c r="B155" s="62" t="s">
        <v>909</v>
      </c>
      <c r="C155" s="389" t="s">
        <v>910</v>
      </c>
      <c r="D155" s="351"/>
    </row>
    <row r="156" spans="1:4">
      <c r="A156" s="68" t="s">
        <v>911</v>
      </c>
      <c r="B156" s="63" t="s">
        <v>912</v>
      </c>
      <c r="C156" s="389" t="s">
        <v>913</v>
      </c>
      <c r="D156" s="351"/>
    </row>
    <row r="157" spans="1:4">
      <c r="A157" s="68" t="s">
        <v>914</v>
      </c>
      <c r="B157" s="63" t="s">
        <v>915</v>
      </c>
      <c r="C157" s="389" t="s">
        <v>916</v>
      </c>
      <c r="D157" s="351"/>
    </row>
    <row r="158" spans="1:4">
      <c r="A158" s="68" t="s">
        <v>917</v>
      </c>
      <c r="B158" s="63" t="s">
        <v>918</v>
      </c>
      <c r="C158" s="389" t="s">
        <v>919</v>
      </c>
      <c r="D158" s="351"/>
    </row>
    <row r="159" spans="1:4">
      <c r="A159" s="68" t="s">
        <v>920</v>
      </c>
      <c r="B159" s="63" t="s">
        <v>921</v>
      </c>
      <c r="C159" s="389" t="s">
        <v>922</v>
      </c>
      <c r="D159" s="351"/>
    </row>
    <row r="160" spans="1:4">
      <c r="A160" s="68" t="s">
        <v>923</v>
      </c>
      <c r="B160" s="63" t="s">
        <v>924</v>
      </c>
      <c r="C160" s="389" t="s">
        <v>925</v>
      </c>
      <c r="D160" s="351"/>
    </row>
    <row r="161" spans="1:4">
      <c r="A161" s="68" t="s">
        <v>926</v>
      </c>
      <c r="B161" s="63" t="s">
        <v>927</v>
      </c>
      <c r="C161" s="389" t="s">
        <v>928</v>
      </c>
      <c r="D161" s="351"/>
    </row>
    <row r="162" spans="1:4">
      <c r="A162" s="68" t="s">
        <v>929</v>
      </c>
      <c r="B162" s="63" t="s">
        <v>930</v>
      </c>
      <c r="C162" s="389" t="s">
        <v>931</v>
      </c>
      <c r="D162" s="351"/>
    </row>
    <row r="163" spans="1:4">
      <c r="A163" s="68" t="s">
        <v>932</v>
      </c>
      <c r="B163" s="63" t="s">
        <v>933</v>
      </c>
      <c r="C163" s="389" t="s">
        <v>934</v>
      </c>
      <c r="D163" s="351"/>
    </row>
    <row r="164" spans="1:4">
      <c r="A164" s="68" t="s">
        <v>935</v>
      </c>
      <c r="B164" s="63" t="s">
        <v>936</v>
      </c>
      <c r="C164" s="389" t="s">
        <v>937</v>
      </c>
      <c r="D164" s="351"/>
    </row>
    <row r="165" spans="1:4">
      <c r="A165" s="68" t="s">
        <v>938</v>
      </c>
      <c r="B165" s="63" t="s">
        <v>939</v>
      </c>
      <c r="C165" s="389" t="s">
        <v>940</v>
      </c>
      <c r="D165" s="351"/>
    </row>
    <row r="166" spans="1:4">
      <c r="A166" s="68" t="s">
        <v>941</v>
      </c>
      <c r="B166" s="63" t="s">
        <v>942</v>
      </c>
      <c r="C166" s="389" t="s">
        <v>943</v>
      </c>
      <c r="D166" s="351"/>
    </row>
    <row r="167" spans="1:4">
      <c r="A167" s="68" t="s">
        <v>944</v>
      </c>
      <c r="B167" s="63" t="s">
        <v>945</v>
      </c>
      <c r="C167" s="389" t="s">
        <v>946</v>
      </c>
      <c r="D167" s="351"/>
    </row>
    <row r="168" spans="1:4">
      <c r="A168" s="393" t="s">
        <v>947</v>
      </c>
      <c r="B168" s="350"/>
      <c r="C168" s="350"/>
      <c r="D168" s="351"/>
    </row>
    <row r="169" spans="1:4">
      <c r="A169" s="386" t="s">
        <v>948</v>
      </c>
      <c r="B169" s="350"/>
      <c r="C169" s="350"/>
      <c r="D169" s="351"/>
    </row>
    <row r="170" spans="1:4">
      <c r="A170" s="68" t="s">
        <v>949</v>
      </c>
      <c r="B170" s="71"/>
      <c r="C170" s="387" t="s">
        <v>950</v>
      </c>
      <c r="D170" s="351"/>
    </row>
    <row r="171" spans="1:4">
      <c r="A171" s="385" t="s">
        <v>951</v>
      </c>
      <c r="B171" s="350"/>
      <c r="C171" s="350"/>
      <c r="D171" s="351"/>
    </row>
    <row r="172" spans="1:4">
      <c r="A172" s="68" t="s">
        <v>952</v>
      </c>
      <c r="B172" s="72"/>
      <c r="C172" s="387" t="s">
        <v>953</v>
      </c>
      <c r="D172" s="351"/>
    </row>
    <row r="173" spans="1:4">
      <c r="A173" s="385" t="s">
        <v>954</v>
      </c>
      <c r="B173" s="350"/>
      <c r="C173" s="350"/>
      <c r="D173" s="351"/>
    </row>
    <row r="174" spans="1:4">
      <c r="A174" s="73" t="s">
        <v>955</v>
      </c>
      <c r="B174" s="74"/>
      <c r="C174" s="360" t="s">
        <v>956</v>
      </c>
      <c r="D174" s="351"/>
    </row>
    <row r="175" spans="1:4">
      <c r="A175" s="385" t="s">
        <v>957</v>
      </c>
      <c r="B175" s="350"/>
      <c r="C175" s="350"/>
      <c r="D175" s="351"/>
    </row>
    <row r="176" spans="1:4">
      <c r="A176" s="73" t="s">
        <v>958</v>
      </c>
      <c r="B176" s="74"/>
      <c r="C176" s="360" t="s">
        <v>959</v>
      </c>
      <c r="D176" s="351"/>
    </row>
    <row r="177" spans="1:4">
      <c r="A177" s="385" t="s">
        <v>960</v>
      </c>
      <c r="B177" s="350"/>
      <c r="C177" s="350"/>
      <c r="D177" s="351"/>
    </row>
    <row r="178" spans="1:4">
      <c r="A178" s="73" t="s">
        <v>961</v>
      </c>
      <c r="B178" s="74"/>
      <c r="C178" s="360" t="s">
        <v>962</v>
      </c>
      <c r="D178" s="351"/>
    </row>
    <row r="179" spans="1:4">
      <c r="A179" s="385" t="s">
        <v>963</v>
      </c>
      <c r="B179" s="350"/>
      <c r="C179" s="350"/>
      <c r="D179" s="351"/>
    </row>
    <row r="180" spans="1:4">
      <c r="A180" s="73" t="s">
        <v>964</v>
      </c>
      <c r="B180" s="75"/>
      <c r="C180" s="387" t="s">
        <v>965</v>
      </c>
      <c r="D180" s="351"/>
    </row>
    <row r="181" spans="1:4">
      <c r="A181" s="76" t="s">
        <v>966</v>
      </c>
      <c r="B181" s="63" t="s">
        <v>967</v>
      </c>
      <c r="C181" s="387" t="s">
        <v>968</v>
      </c>
      <c r="D181" s="351"/>
    </row>
    <row r="182" spans="1:4">
      <c r="A182" s="385" t="s">
        <v>969</v>
      </c>
      <c r="B182" s="350"/>
      <c r="C182" s="350"/>
      <c r="D182" s="351"/>
    </row>
    <row r="183" spans="1:4">
      <c r="A183" s="73" t="s">
        <v>970</v>
      </c>
      <c r="B183" s="74"/>
      <c r="C183" s="360" t="s">
        <v>971</v>
      </c>
      <c r="D183" s="351"/>
    </row>
    <row r="184" spans="1:4">
      <c r="A184" s="385" t="s">
        <v>972</v>
      </c>
      <c r="B184" s="350"/>
      <c r="C184" s="350"/>
      <c r="D184" s="351"/>
    </row>
    <row r="185" spans="1:4">
      <c r="A185" s="61" t="s">
        <v>973</v>
      </c>
      <c r="B185" s="77"/>
      <c r="C185" s="360" t="s">
        <v>974</v>
      </c>
      <c r="D185" s="351"/>
    </row>
    <row r="186" spans="1:4">
      <c r="A186" s="425" t="s">
        <v>975</v>
      </c>
      <c r="B186" s="350"/>
      <c r="C186" s="350"/>
      <c r="D186" s="351"/>
    </row>
    <row r="187" spans="1:4">
      <c r="A187" s="73" t="s">
        <v>976</v>
      </c>
      <c r="B187" s="74"/>
      <c r="C187" s="360" t="s">
        <v>977</v>
      </c>
      <c r="D187" s="351"/>
    </row>
    <row r="188" spans="1:4">
      <c r="A188" s="385" t="s">
        <v>978</v>
      </c>
      <c r="B188" s="350"/>
      <c r="C188" s="350"/>
      <c r="D188" s="351"/>
    </row>
    <row r="189" spans="1:4">
      <c r="A189" s="61" t="s">
        <v>979</v>
      </c>
      <c r="B189" s="77"/>
      <c r="C189" s="360" t="s">
        <v>980</v>
      </c>
      <c r="D189" s="351"/>
    </row>
    <row r="190" spans="1:4">
      <c r="A190" s="382" t="s">
        <v>981</v>
      </c>
      <c r="B190" s="350"/>
      <c r="C190" s="350"/>
      <c r="D190" s="351"/>
    </row>
    <row r="191" spans="1:4">
      <c r="A191" s="61" t="s">
        <v>982</v>
      </c>
      <c r="B191" s="67"/>
      <c r="C191" s="360" t="s">
        <v>983</v>
      </c>
      <c r="D191" s="351"/>
    </row>
    <row r="192" spans="1:4">
      <c r="A192" s="383" t="s">
        <v>984</v>
      </c>
      <c r="B192" s="350"/>
      <c r="C192" s="350"/>
      <c r="D192" s="351"/>
    </row>
    <row r="193" spans="1:4">
      <c r="A193" s="61" t="s">
        <v>985</v>
      </c>
      <c r="B193" s="67"/>
      <c r="C193" s="360" t="s">
        <v>986</v>
      </c>
      <c r="D193" s="351"/>
    </row>
    <row r="194" spans="1:4">
      <c r="A194" s="383" t="s">
        <v>987</v>
      </c>
      <c r="B194" s="350"/>
      <c r="C194" s="350"/>
      <c r="D194" s="351"/>
    </row>
    <row r="195" spans="1:4">
      <c r="A195" s="61" t="s">
        <v>988</v>
      </c>
      <c r="B195" s="67"/>
      <c r="C195" s="360" t="s">
        <v>989</v>
      </c>
      <c r="D195" s="351"/>
    </row>
    <row r="196" spans="1:4">
      <c r="A196" s="383" t="s">
        <v>990</v>
      </c>
      <c r="B196" s="350"/>
      <c r="C196" s="350"/>
      <c r="D196" s="351"/>
    </row>
    <row r="197" spans="1:4">
      <c r="A197" s="61" t="s">
        <v>991</v>
      </c>
      <c r="B197" s="67"/>
      <c r="C197" s="360" t="s">
        <v>992</v>
      </c>
      <c r="D197" s="351"/>
    </row>
    <row r="198" spans="1:4">
      <c r="A198" s="383" t="s">
        <v>993</v>
      </c>
      <c r="B198" s="350"/>
      <c r="C198" s="350"/>
      <c r="D198" s="351"/>
    </row>
    <row r="199" spans="1:4">
      <c r="A199" s="61" t="s">
        <v>994</v>
      </c>
      <c r="B199" s="67"/>
      <c r="C199" s="360" t="s">
        <v>995</v>
      </c>
      <c r="D199" s="351"/>
    </row>
    <row r="200" spans="1:4">
      <c r="A200" s="383" t="s">
        <v>996</v>
      </c>
      <c r="B200" s="350"/>
      <c r="C200" s="350"/>
      <c r="D200" s="351"/>
    </row>
    <row r="201" spans="1:4">
      <c r="A201" s="61" t="s">
        <v>997</v>
      </c>
      <c r="B201" s="67"/>
      <c r="C201" s="360" t="s">
        <v>998</v>
      </c>
      <c r="D201" s="351"/>
    </row>
    <row r="202" spans="1:4">
      <c r="A202" s="383" t="s">
        <v>999</v>
      </c>
      <c r="B202" s="350"/>
      <c r="C202" s="350"/>
      <c r="D202" s="351"/>
    </row>
    <row r="203" spans="1:4">
      <c r="A203" s="61" t="s">
        <v>1000</v>
      </c>
      <c r="B203" s="67"/>
      <c r="C203" s="360" t="s">
        <v>998</v>
      </c>
      <c r="D203" s="351"/>
    </row>
    <row r="204" spans="1:4">
      <c r="A204" s="382" t="s">
        <v>1001</v>
      </c>
      <c r="B204" s="350"/>
      <c r="C204" s="350"/>
      <c r="D204" s="351"/>
    </row>
    <row r="205" spans="1:4">
      <c r="A205" s="61" t="s">
        <v>1002</v>
      </c>
      <c r="B205" s="67"/>
      <c r="C205" s="360" t="s">
        <v>1003</v>
      </c>
      <c r="D205" s="351"/>
    </row>
    <row r="206" spans="1:4">
      <c r="A206" s="384" t="s">
        <v>1004</v>
      </c>
      <c r="B206" s="350"/>
      <c r="C206" s="350"/>
      <c r="D206" s="351"/>
    </row>
    <row r="207" spans="1:4">
      <c r="A207" s="385" t="s">
        <v>1005</v>
      </c>
      <c r="B207" s="350"/>
      <c r="C207" s="350"/>
      <c r="D207" s="351"/>
    </row>
    <row r="208" spans="1:4">
      <c r="A208" s="61" t="s">
        <v>1006</v>
      </c>
      <c r="B208" s="64"/>
      <c r="C208" s="360" t="s">
        <v>1007</v>
      </c>
      <c r="D208" s="351"/>
    </row>
    <row r="209" spans="1:4">
      <c r="A209" s="385" t="s">
        <v>1008</v>
      </c>
      <c r="B209" s="350"/>
      <c r="C209" s="350"/>
      <c r="D209" s="351"/>
    </row>
    <row r="210" spans="1:4">
      <c r="A210" s="61" t="s">
        <v>1009</v>
      </c>
      <c r="B210" s="61"/>
      <c r="C210" s="360" t="s">
        <v>1010</v>
      </c>
      <c r="D210" s="351"/>
    </row>
    <row r="211" spans="1:4">
      <c r="A211" s="386" t="s">
        <v>1011</v>
      </c>
      <c r="B211" s="350"/>
      <c r="C211" s="350"/>
      <c r="D211" s="351"/>
    </row>
    <row r="212" spans="1:4">
      <c r="A212" s="68" t="s">
        <v>45</v>
      </c>
      <c r="B212" s="78"/>
      <c r="C212" s="360" t="s">
        <v>1012</v>
      </c>
      <c r="D212" s="351"/>
    </row>
    <row r="213" spans="1:4">
      <c r="A213" s="68" t="s">
        <v>1013</v>
      </c>
      <c r="B213" s="62" t="s">
        <v>1014</v>
      </c>
      <c r="C213" s="387" t="s">
        <v>1015</v>
      </c>
      <c r="D213" s="351"/>
    </row>
    <row r="214" spans="1:4">
      <c r="A214" s="68" t="s">
        <v>1016</v>
      </c>
      <c r="B214" s="62" t="s">
        <v>1017</v>
      </c>
      <c r="C214" s="387" t="s">
        <v>1018</v>
      </c>
      <c r="D214" s="351"/>
    </row>
    <row r="215" spans="1:4">
      <c r="A215" s="68" t="s">
        <v>1019</v>
      </c>
      <c r="B215" s="62" t="s">
        <v>1020</v>
      </c>
      <c r="C215" s="387" t="s">
        <v>1021</v>
      </c>
      <c r="D215" s="351"/>
    </row>
    <row r="216" spans="1:4">
      <c r="A216" s="68" t="s">
        <v>1022</v>
      </c>
      <c r="B216" s="62" t="s">
        <v>1023</v>
      </c>
      <c r="C216" s="387" t="s">
        <v>1024</v>
      </c>
      <c r="D216" s="351"/>
    </row>
    <row r="217" spans="1:4">
      <c r="A217" s="68" t="s">
        <v>1025</v>
      </c>
      <c r="B217" s="79" t="s">
        <v>1026</v>
      </c>
      <c r="C217" s="360" t="s">
        <v>1027</v>
      </c>
      <c r="D217" s="351"/>
    </row>
    <row r="218" spans="1:4">
      <c r="A218" s="68" t="s">
        <v>1028</v>
      </c>
      <c r="B218" s="62" t="s">
        <v>1029</v>
      </c>
      <c r="C218" s="387" t="s">
        <v>1030</v>
      </c>
      <c r="D218" s="351"/>
    </row>
    <row r="219" spans="1:4">
      <c r="A219" s="68" t="s">
        <v>1031</v>
      </c>
      <c r="B219" s="64" t="s">
        <v>1032</v>
      </c>
      <c r="C219" s="387" t="s">
        <v>1033</v>
      </c>
      <c r="D219" s="351"/>
    </row>
    <row r="220" spans="1:4">
      <c r="A220" s="68" t="s">
        <v>1034</v>
      </c>
      <c r="B220" s="62" t="s">
        <v>1035</v>
      </c>
      <c r="C220" s="387" t="s">
        <v>1036</v>
      </c>
      <c r="D220" s="351"/>
    </row>
    <row r="221" spans="1:4">
      <c r="A221" s="68" t="s">
        <v>1037</v>
      </c>
      <c r="B221" s="64" t="s">
        <v>1038</v>
      </c>
      <c r="C221" s="387" t="s">
        <v>1039</v>
      </c>
      <c r="D221" s="351"/>
    </row>
    <row r="222" spans="1:4">
      <c r="A222" s="68" t="s">
        <v>1040</v>
      </c>
      <c r="B222" s="62" t="s">
        <v>1041</v>
      </c>
      <c r="C222" s="387" t="s">
        <v>1042</v>
      </c>
      <c r="D222" s="351"/>
    </row>
    <row r="223" spans="1:4">
      <c r="A223" s="68" t="s">
        <v>1043</v>
      </c>
      <c r="B223" s="62" t="s">
        <v>1044</v>
      </c>
      <c r="C223" s="387" t="s">
        <v>1045</v>
      </c>
      <c r="D223" s="351"/>
    </row>
    <row r="224" spans="1:4">
      <c r="A224" s="68" t="s">
        <v>1046</v>
      </c>
      <c r="B224" s="62" t="s">
        <v>1047</v>
      </c>
      <c r="C224" s="387" t="s">
        <v>1048</v>
      </c>
      <c r="D224" s="351"/>
    </row>
    <row r="225" spans="1:4">
      <c r="A225" s="68" t="s">
        <v>1049</v>
      </c>
      <c r="B225" s="64" t="s">
        <v>1050</v>
      </c>
      <c r="C225" s="387" t="s">
        <v>1051</v>
      </c>
      <c r="D225" s="351"/>
    </row>
    <row r="226" spans="1:4">
      <c r="A226" s="68" t="s">
        <v>1052</v>
      </c>
      <c r="B226" s="64" t="s">
        <v>1053</v>
      </c>
      <c r="C226" s="387" t="s">
        <v>1054</v>
      </c>
      <c r="D226" s="351"/>
    </row>
    <row r="227" spans="1:4">
      <c r="A227" s="68" t="s">
        <v>1055</v>
      </c>
      <c r="B227" s="64" t="s">
        <v>1056</v>
      </c>
      <c r="C227" s="387" t="s">
        <v>1057</v>
      </c>
      <c r="D227" s="351"/>
    </row>
    <row r="228" spans="1:4">
      <c r="A228" s="68" t="s">
        <v>1058</v>
      </c>
      <c r="B228" s="64" t="s">
        <v>1059</v>
      </c>
      <c r="C228" s="387" t="s">
        <v>1060</v>
      </c>
      <c r="D228" s="351"/>
    </row>
    <row r="229" spans="1:4">
      <c r="A229" s="68" t="s">
        <v>1061</v>
      </c>
      <c r="B229" s="64" t="s">
        <v>1062</v>
      </c>
      <c r="C229" s="387" t="s">
        <v>1063</v>
      </c>
      <c r="D229" s="351"/>
    </row>
    <row r="230" spans="1:4">
      <c r="A230" s="68" t="s">
        <v>1064</v>
      </c>
      <c r="B230" s="64" t="s">
        <v>1065</v>
      </c>
      <c r="C230" s="387" t="s">
        <v>1066</v>
      </c>
      <c r="D230" s="351"/>
    </row>
    <row r="231" spans="1:4">
      <c r="A231" s="68" t="s">
        <v>1067</v>
      </c>
      <c r="B231" s="64" t="s">
        <v>1068</v>
      </c>
      <c r="C231" s="387" t="s">
        <v>1069</v>
      </c>
      <c r="D231" s="351"/>
    </row>
    <row r="232" spans="1:4">
      <c r="A232" s="68" t="s">
        <v>1070</v>
      </c>
      <c r="B232" s="64" t="s">
        <v>1071</v>
      </c>
      <c r="C232" s="387" t="s">
        <v>1072</v>
      </c>
      <c r="D232" s="351"/>
    </row>
    <row r="233" spans="1:4">
      <c r="A233" s="68" t="s">
        <v>1073</v>
      </c>
      <c r="B233" s="62" t="s">
        <v>1074</v>
      </c>
      <c r="C233" s="387" t="s">
        <v>1075</v>
      </c>
      <c r="D233" s="351"/>
    </row>
    <row r="234" spans="1:4">
      <c r="A234" s="68" t="s">
        <v>1076</v>
      </c>
      <c r="B234" s="62" t="s">
        <v>1077</v>
      </c>
      <c r="C234" s="387" t="s">
        <v>1078</v>
      </c>
      <c r="D234" s="351"/>
    </row>
    <row r="235" spans="1:4">
      <c r="A235" s="68" t="s">
        <v>1079</v>
      </c>
      <c r="B235" s="62" t="s">
        <v>1080</v>
      </c>
      <c r="C235" s="387" t="s">
        <v>1081</v>
      </c>
      <c r="D235" s="351"/>
    </row>
    <row r="236" spans="1:4">
      <c r="A236" s="384" t="s">
        <v>1082</v>
      </c>
      <c r="B236" s="350"/>
      <c r="C236" s="350"/>
      <c r="D236" s="351"/>
    </row>
    <row r="237" spans="1:4">
      <c r="A237" s="68" t="s">
        <v>1083</v>
      </c>
      <c r="B237" s="72"/>
      <c r="C237" s="387" t="s">
        <v>1084</v>
      </c>
      <c r="D237" s="351"/>
    </row>
    <row r="238" spans="1:4">
      <c r="A238" s="386" t="s">
        <v>1085</v>
      </c>
      <c r="B238" s="350"/>
      <c r="C238" s="350"/>
      <c r="D238" s="351"/>
    </row>
    <row r="239" spans="1:4">
      <c r="A239" s="383" t="s">
        <v>1086</v>
      </c>
      <c r="B239" s="350"/>
      <c r="C239" s="350"/>
      <c r="D239" s="351"/>
    </row>
    <row r="240" spans="1:4">
      <c r="A240" s="68" t="s">
        <v>1087</v>
      </c>
      <c r="B240" s="64"/>
      <c r="C240" s="387" t="s">
        <v>1088</v>
      </c>
      <c r="D240" s="351"/>
    </row>
    <row r="241" spans="1:4">
      <c r="A241" s="384" t="s">
        <v>1089</v>
      </c>
      <c r="B241" s="350"/>
      <c r="C241" s="350"/>
      <c r="D241" s="351"/>
    </row>
    <row r="242" spans="1:4">
      <c r="A242" s="68" t="s">
        <v>67</v>
      </c>
      <c r="B242" s="64"/>
      <c r="C242" s="396" t="s">
        <v>1090</v>
      </c>
      <c r="D242" s="351"/>
    </row>
    <row r="243" spans="1:4">
      <c r="A243" s="68" t="s">
        <v>1091</v>
      </c>
      <c r="B243" s="62" t="s">
        <v>1092</v>
      </c>
      <c r="C243" s="387" t="s">
        <v>1093</v>
      </c>
      <c r="D243" s="351"/>
    </row>
    <row r="244" spans="1:4">
      <c r="A244" s="68" t="s">
        <v>1094</v>
      </c>
      <c r="B244" s="80" t="s">
        <v>1095</v>
      </c>
      <c r="C244" s="387" t="s">
        <v>1096</v>
      </c>
      <c r="D244" s="351"/>
    </row>
    <row r="245" spans="1:4">
      <c r="A245" s="68" t="s">
        <v>1097</v>
      </c>
      <c r="B245" s="80" t="s">
        <v>1098</v>
      </c>
      <c r="C245" s="387" t="s">
        <v>1096</v>
      </c>
      <c r="D245" s="351"/>
    </row>
    <row r="246" spans="1:4">
      <c r="A246" s="68" t="s">
        <v>1099</v>
      </c>
      <c r="B246" s="63" t="s">
        <v>1100</v>
      </c>
      <c r="C246" s="387" t="s">
        <v>1101</v>
      </c>
      <c r="D246" s="351"/>
    </row>
    <row r="247" spans="1:4">
      <c r="A247" s="68" t="s">
        <v>1102</v>
      </c>
      <c r="B247" s="63" t="s">
        <v>1103</v>
      </c>
      <c r="C247" s="387" t="s">
        <v>1104</v>
      </c>
      <c r="D247" s="351"/>
    </row>
    <row r="248" spans="1:4">
      <c r="A248" s="384" t="s">
        <v>1105</v>
      </c>
      <c r="B248" s="350"/>
      <c r="C248" s="350"/>
      <c r="D248" s="351"/>
    </row>
    <row r="249" spans="1:4">
      <c r="A249" s="68" t="s">
        <v>67</v>
      </c>
      <c r="B249" s="81"/>
      <c r="C249" s="396" t="s">
        <v>1106</v>
      </c>
      <c r="D249" s="351"/>
    </row>
    <row r="250" spans="1:4">
      <c r="A250" s="68" t="s">
        <v>1091</v>
      </c>
      <c r="B250" s="82" t="s">
        <v>1098</v>
      </c>
      <c r="C250" s="387" t="s">
        <v>1107</v>
      </c>
      <c r="D250" s="351"/>
    </row>
    <row r="251" spans="1:4">
      <c r="A251" s="68" t="s">
        <v>1094</v>
      </c>
      <c r="B251" s="83" t="s">
        <v>1108</v>
      </c>
      <c r="C251" s="387" t="s">
        <v>1109</v>
      </c>
      <c r="D251" s="351"/>
    </row>
    <row r="252" spans="1:4">
      <c r="A252" s="68" t="s">
        <v>1097</v>
      </c>
      <c r="B252" s="63" t="s">
        <v>1103</v>
      </c>
      <c r="C252" s="387" t="s">
        <v>1104</v>
      </c>
      <c r="D252" s="351"/>
    </row>
    <row r="253" spans="1:4">
      <c r="A253" s="386" t="s">
        <v>1110</v>
      </c>
      <c r="B253" s="350"/>
      <c r="C253" s="350"/>
      <c r="D253" s="351"/>
    </row>
    <row r="254" spans="1:4">
      <c r="A254" s="386" t="s">
        <v>1111</v>
      </c>
      <c r="B254" s="350"/>
      <c r="C254" s="350"/>
      <c r="D254" s="351"/>
    </row>
    <row r="255" spans="1:4">
      <c r="A255" s="68" t="s">
        <v>117</v>
      </c>
      <c r="B255" s="64"/>
      <c r="C255" s="360" t="s">
        <v>1112</v>
      </c>
      <c r="D255" s="351"/>
    </row>
    <row r="256" spans="1:4">
      <c r="A256" s="68" t="s">
        <v>1113</v>
      </c>
      <c r="B256" s="64" t="s">
        <v>1114</v>
      </c>
      <c r="C256" s="387" t="s">
        <v>1115</v>
      </c>
      <c r="D256" s="351"/>
    </row>
    <row r="257" spans="1:4">
      <c r="A257" s="68" t="s">
        <v>1116</v>
      </c>
      <c r="B257" s="64" t="s">
        <v>1117</v>
      </c>
      <c r="C257" s="387" t="s">
        <v>1115</v>
      </c>
      <c r="D257" s="351"/>
    </row>
    <row r="258" spans="1:4">
      <c r="A258" s="68" t="s">
        <v>1118</v>
      </c>
      <c r="B258" s="64" t="s">
        <v>1119</v>
      </c>
      <c r="C258" s="387" t="s">
        <v>1115</v>
      </c>
      <c r="D258" s="351"/>
    </row>
    <row r="259" spans="1:4">
      <c r="A259" s="68" t="s">
        <v>1120</v>
      </c>
      <c r="B259" s="64" t="s">
        <v>1121</v>
      </c>
      <c r="C259" s="387" t="s">
        <v>1115</v>
      </c>
      <c r="D259" s="351"/>
    </row>
    <row r="260" spans="1:4">
      <c r="A260" s="68" t="s">
        <v>1122</v>
      </c>
      <c r="B260" s="64" t="s">
        <v>1123</v>
      </c>
      <c r="C260" s="387" t="s">
        <v>1115</v>
      </c>
      <c r="D260" s="351"/>
    </row>
    <row r="261" spans="1:4">
      <c r="A261" s="68" t="s">
        <v>1124</v>
      </c>
      <c r="B261" s="64" t="s">
        <v>1125</v>
      </c>
      <c r="C261" s="387" t="s">
        <v>1115</v>
      </c>
      <c r="D261" s="351"/>
    </row>
    <row r="262" spans="1:4">
      <c r="A262" s="68" t="s">
        <v>1126</v>
      </c>
      <c r="B262" s="64" t="s">
        <v>1127</v>
      </c>
      <c r="C262" s="387" t="s">
        <v>1115</v>
      </c>
      <c r="D262" s="351"/>
    </row>
    <row r="263" spans="1:4">
      <c r="A263" s="68" t="s">
        <v>1128</v>
      </c>
      <c r="B263" s="64" t="s">
        <v>1129</v>
      </c>
      <c r="C263" s="387" t="s">
        <v>1115</v>
      </c>
      <c r="D263" s="351"/>
    </row>
    <row r="264" spans="1:4">
      <c r="A264" s="68" t="s">
        <v>1130</v>
      </c>
      <c r="B264" s="64" t="s">
        <v>1131</v>
      </c>
      <c r="C264" s="387" t="s">
        <v>1115</v>
      </c>
      <c r="D264" s="351"/>
    </row>
    <row r="265" spans="1:4">
      <c r="A265" s="68" t="s">
        <v>1132</v>
      </c>
      <c r="B265" s="64" t="s">
        <v>1133</v>
      </c>
      <c r="C265" s="387" t="s">
        <v>1115</v>
      </c>
      <c r="D265" s="351"/>
    </row>
    <row r="266" spans="1:4">
      <c r="A266" s="68" t="s">
        <v>1134</v>
      </c>
      <c r="B266" s="64" t="s">
        <v>1135</v>
      </c>
      <c r="C266" s="387" t="s">
        <v>1115</v>
      </c>
      <c r="D266" s="351"/>
    </row>
    <row r="267" spans="1:4">
      <c r="A267" s="68" t="s">
        <v>1136</v>
      </c>
      <c r="B267" s="64" t="s">
        <v>1137</v>
      </c>
      <c r="C267" s="387" t="s">
        <v>1115</v>
      </c>
      <c r="D267" s="351"/>
    </row>
    <row r="268" spans="1:4">
      <c r="A268" s="68" t="s">
        <v>1138</v>
      </c>
      <c r="B268" s="64" t="s">
        <v>1139</v>
      </c>
      <c r="C268" s="387" t="s">
        <v>1115</v>
      </c>
      <c r="D268" s="351"/>
    </row>
    <row r="269" spans="1:4">
      <c r="A269" s="68" t="s">
        <v>1140</v>
      </c>
      <c r="B269" s="64" t="s">
        <v>1141</v>
      </c>
      <c r="C269" s="387" t="s">
        <v>1115</v>
      </c>
      <c r="D269" s="351"/>
    </row>
    <row r="270" spans="1:4">
      <c r="A270" s="68" t="s">
        <v>1142</v>
      </c>
      <c r="B270" s="64" t="s">
        <v>1143</v>
      </c>
      <c r="C270" s="387" t="s">
        <v>1115</v>
      </c>
      <c r="D270" s="351"/>
    </row>
    <row r="271" spans="1:4">
      <c r="A271" s="68" t="s">
        <v>1144</v>
      </c>
      <c r="B271" s="64" t="s">
        <v>1145</v>
      </c>
      <c r="C271" s="387" t="s">
        <v>1115</v>
      </c>
      <c r="D271" s="351"/>
    </row>
    <row r="272" spans="1:4">
      <c r="A272" s="68" t="s">
        <v>1146</v>
      </c>
      <c r="B272" s="64" t="s">
        <v>1147</v>
      </c>
      <c r="C272" s="387" t="s">
        <v>1115</v>
      </c>
      <c r="D272" s="351"/>
    </row>
    <row r="273" spans="1:4">
      <c r="A273" s="68" t="s">
        <v>1148</v>
      </c>
      <c r="B273" s="64" t="s">
        <v>1149</v>
      </c>
      <c r="C273" s="387" t="s">
        <v>1115</v>
      </c>
      <c r="D273" s="351"/>
    </row>
    <row r="274" spans="1:4">
      <c r="A274" s="68" t="s">
        <v>1150</v>
      </c>
      <c r="B274" s="64" t="s">
        <v>1151</v>
      </c>
      <c r="C274" s="387" t="s">
        <v>1115</v>
      </c>
      <c r="D274" s="351"/>
    </row>
    <row r="275" spans="1:4">
      <c r="A275" s="68" t="s">
        <v>1152</v>
      </c>
      <c r="B275" s="64" t="s">
        <v>1153</v>
      </c>
      <c r="C275" s="387" t="s">
        <v>1115</v>
      </c>
      <c r="D275" s="351"/>
    </row>
    <row r="276" spans="1:4">
      <c r="A276" s="68" t="s">
        <v>1154</v>
      </c>
      <c r="B276" s="64" t="s">
        <v>1155</v>
      </c>
      <c r="C276" s="387" t="s">
        <v>1115</v>
      </c>
      <c r="D276" s="351"/>
    </row>
    <row r="277" spans="1:4">
      <c r="A277" s="68" t="s">
        <v>1156</v>
      </c>
      <c r="B277" s="64" t="s">
        <v>1157</v>
      </c>
      <c r="C277" s="387" t="s">
        <v>1115</v>
      </c>
      <c r="D277" s="351"/>
    </row>
    <row r="278" spans="1:4">
      <c r="A278" s="84" t="s">
        <v>1158</v>
      </c>
      <c r="B278" s="69" t="s">
        <v>1159</v>
      </c>
      <c r="C278" s="360" t="s">
        <v>1115</v>
      </c>
      <c r="D278" s="351"/>
    </row>
    <row r="279" spans="1:4">
      <c r="A279" s="84" t="s">
        <v>1160</v>
      </c>
      <c r="B279" s="69" t="s">
        <v>1161</v>
      </c>
      <c r="C279" s="360" t="s">
        <v>1115</v>
      </c>
      <c r="D279" s="351"/>
    </row>
    <row r="280" spans="1:4">
      <c r="A280" s="84" t="s">
        <v>1162</v>
      </c>
      <c r="B280" s="69" t="s">
        <v>1163</v>
      </c>
      <c r="C280" s="360" t="s">
        <v>1115</v>
      </c>
      <c r="D280" s="351"/>
    </row>
    <row r="281" spans="1:4">
      <c r="A281" s="84" t="s">
        <v>1164</v>
      </c>
      <c r="B281" s="69" t="s">
        <v>1165</v>
      </c>
      <c r="C281" s="360" t="s">
        <v>1115</v>
      </c>
      <c r="D281" s="351"/>
    </row>
    <row r="282" spans="1:4">
      <c r="A282" s="84" t="s">
        <v>1166</v>
      </c>
      <c r="B282" s="69" t="s">
        <v>1167</v>
      </c>
      <c r="C282" s="360" t="s">
        <v>1115</v>
      </c>
      <c r="D282" s="351"/>
    </row>
    <row r="283" spans="1:4">
      <c r="A283" s="84" t="s">
        <v>1168</v>
      </c>
      <c r="B283" s="69" t="s">
        <v>1169</v>
      </c>
      <c r="C283" s="360" t="s">
        <v>1115</v>
      </c>
      <c r="D283" s="351"/>
    </row>
    <row r="284" spans="1:4">
      <c r="A284" s="84" t="s">
        <v>1170</v>
      </c>
      <c r="B284" s="69" t="s">
        <v>1171</v>
      </c>
      <c r="C284" s="360" t="s">
        <v>1115</v>
      </c>
      <c r="D284" s="351"/>
    </row>
    <row r="285" spans="1:4">
      <c r="A285" s="84" t="s">
        <v>1172</v>
      </c>
      <c r="B285" s="69" t="s">
        <v>1173</v>
      </c>
      <c r="C285" s="360" t="s">
        <v>1115</v>
      </c>
      <c r="D285" s="351"/>
    </row>
    <row r="286" spans="1:4">
      <c r="A286" s="84" t="s">
        <v>1174</v>
      </c>
      <c r="B286" s="69" t="s">
        <v>1175</v>
      </c>
      <c r="C286" s="360" t="s">
        <v>1115</v>
      </c>
      <c r="D286" s="351"/>
    </row>
    <row r="287" spans="1:4">
      <c r="A287" s="84" t="s">
        <v>1176</v>
      </c>
      <c r="B287" s="69" t="s">
        <v>1177</v>
      </c>
      <c r="C287" s="360" t="s">
        <v>1115</v>
      </c>
      <c r="D287" s="351"/>
    </row>
    <row r="288" spans="1:4">
      <c r="A288" s="84" t="s">
        <v>1178</v>
      </c>
      <c r="B288" s="69" t="s">
        <v>1179</v>
      </c>
      <c r="C288" s="360" t="s">
        <v>1115</v>
      </c>
      <c r="D288" s="351"/>
    </row>
    <row r="289" spans="1:4">
      <c r="A289" s="84" t="s">
        <v>1180</v>
      </c>
      <c r="B289" s="69" t="s">
        <v>1181</v>
      </c>
      <c r="C289" s="360" t="s">
        <v>1115</v>
      </c>
      <c r="D289" s="351"/>
    </row>
    <row r="290" spans="1:4">
      <c r="A290" s="84" t="s">
        <v>1182</v>
      </c>
      <c r="B290" s="69" t="s">
        <v>1183</v>
      </c>
      <c r="C290" s="360" t="s">
        <v>1115</v>
      </c>
      <c r="D290" s="351"/>
    </row>
    <row r="291" spans="1:4">
      <c r="A291" s="84" t="s">
        <v>1184</v>
      </c>
      <c r="B291" s="69" t="s">
        <v>1185</v>
      </c>
      <c r="C291" s="360" t="s">
        <v>1115</v>
      </c>
      <c r="D291" s="351"/>
    </row>
    <row r="292" spans="1:4">
      <c r="A292" s="84" t="s">
        <v>1186</v>
      </c>
      <c r="B292" s="69" t="s">
        <v>1187</v>
      </c>
      <c r="C292" s="360" t="s">
        <v>1115</v>
      </c>
      <c r="D292" s="351"/>
    </row>
    <row r="293" spans="1:4">
      <c r="A293" s="84" t="s">
        <v>1188</v>
      </c>
      <c r="B293" s="69" t="s">
        <v>1189</v>
      </c>
      <c r="C293" s="360" t="s">
        <v>1115</v>
      </c>
      <c r="D293" s="351"/>
    </row>
    <row r="294" spans="1:4">
      <c r="A294" s="84" t="s">
        <v>1190</v>
      </c>
      <c r="B294" s="69" t="s">
        <v>1191</v>
      </c>
      <c r="C294" s="360" t="s">
        <v>1115</v>
      </c>
      <c r="D294" s="351"/>
    </row>
    <row r="295" spans="1:4">
      <c r="A295" s="84" t="s">
        <v>1192</v>
      </c>
      <c r="B295" s="69" t="s">
        <v>1193</v>
      </c>
      <c r="C295" s="360" t="s">
        <v>1115</v>
      </c>
      <c r="D295" s="351"/>
    </row>
    <row r="296" spans="1:4">
      <c r="A296" s="84" t="s">
        <v>1194</v>
      </c>
      <c r="B296" s="69" t="s">
        <v>1195</v>
      </c>
      <c r="C296" s="360" t="s">
        <v>1115</v>
      </c>
      <c r="D296" s="351"/>
    </row>
    <row r="297" spans="1:4">
      <c r="A297" s="84" t="s">
        <v>1196</v>
      </c>
      <c r="B297" s="69" t="s">
        <v>1197</v>
      </c>
      <c r="C297" s="360" t="s">
        <v>1115</v>
      </c>
      <c r="D297" s="351"/>
    </row>
    <row r="298" spans="1:4">
      <c r="A298" s="84" t="s">
        <v>1198</v>
      </c>
      <c r="B298" s="69" t="s">
        <v>1199</v>
      </c>
      <c r="C298" s="360" t="s">
        <v>1115</v>
      </c>
      <c r="D298" s="351"/>
    </row>
    <row r="299" spans="1:4">
      <c r="A299" s="84" t="s">
        <v>1200</v>
      </c>
      <c r="B299" s="69" t="s">
        <v>1201</v>
      </c>
      <c r="C299" s="360" t="s">
        <v>1115</v>
      </c>
      <c r="D299" s="351"/>
    </row>
    <row r="300" spans="1:4">
      <c r="A300" s="68" t="s">
        <v>1202</v>
      </c>
      <c r="B300" s="62" t="s">
        <v>1203</v>
      </c>
      <c r="C300" s="387" t="s">
        <v>1204</v>
      </c>
      <c r="D300" s="351"/>
    </row>
    <row r="301" spans="1:4">
      <c r="A301" s="68" t="s">
        <v>1205</v>
      </c>
      <c r="B301" s="62" t="s">
        <v>1206</v>
      </c>
      <c r="C301" s="387" t="s">
        <v>1207</v>
      </c>
      <c r="D301" s="351"/>
    </row>
    <row r="302" spans="1:4">
      <c r="A302" s="68" t="s">
        <v>1208</v>
      </c>
      <c r="B302" s="62" t="s">
        <v>1209</v>
      </c>
      <c r="C302" s="387" t="s">
        <v>1210</v>
      </c>
      <c r="D302" s="351"/>
    </row>
    <row r="303" spans="1:4">
      <c r="A303" s="68" t="s">
        <v>1211</v>
      </c>
      <c r="B303" s="62" t="s">
        <v>1212</v>
      </c>
      <c r="C303" s="387" t="s">
        <v>1213</v>
      </c>
      <c r="D303" s="351"/>
    </row>
    <row r="304" spans="1:4">
      <c r="A304" s="386" t="s">
        <v>1214</v>
      </c>
      <c r="B304" s="350"/>
      <c r="C304" s="350"/>
      <c r="D304" s="351"/>
    </row>
    <row r="305" spans="1:4">
      <c r="A305" s="385" t="s">
        <v>1215</v>
      </c>
      <c r="B305" s="350"/>
      <c r="C305" s="350"/>
      <c r="D305" s="351"/>
    </row>
    <row r="306" spans="1:4">
      <c r="A306" s="68" t="s">
        <v>167</v>
      </c>
      <c r="B306" s="85"/>
      <c r="C306" s="360" t="s">
        <v>1216</v>
      </c>
      <c r="D306" s="351"/>
    </row>
    <row r="307" spans="1:4">
      <c r="A307" s="68" t="s">
        <v>1217</v>
      </c>
      <c r="B307" s="62" t="s">
        <v>1218</v>
      </c>
      <c r="C307" s="388" t="s">
        <v>1219</v>
      </c>
      <c r="D307" s="351"/>
    </row>
    <row r="308" spans="1:4">
      <c r="A308" s="68" t="s">
        <v>1220</v>
      </c>
      <c r="B308" s="62" t="s">
        <v>1221</v>
      </c>
      <c r="C308" s="388" t="s">
        <v>1222</v>
      </c>
      <c r="D308" s="351"/>
    </row>
    <row r="309" spans="1:4">
      <c r="A309" s="68" t="s">
        <v>1223</v>
      </c>
      <c r="B309" s="62" t="s">
        <v>1224</v>
      </c>
      <c r="C309" s="388" t="s">
        <v>1225</v>
      </c>
      <c r="D309" s="351"/>
    </row>
    <row r="310" spans="1:4">
      <c r="A310" s="68" t="s">
        <v>1226</v>
      </c>
      <c r="B310" s="62" t="s">
        <v>1227</v>
      </c>
      <c r="C310" s="388" t="s">
        <v>1228</v>
      </c>
      <c r="D310" s="351"/>
    </row>
    <row r="311" spans="1:4">
      <c r="A311" s="68" t="s">
        <v>1229</v>
      </c>
      <c r="B311" s="62" t="s">
        <v>1230</v>
      </c>
      <c r="C311" s="388" t="s">
        <v>1231</v>
      </c>
      <c r="D311" s="351"/>
    </row>
    <row r="312" spans="1:4">
      <c r="A312" s="68" t="s">
        <v>1232</v>
      </c>
      <c r="B312" s="64" t="s">
        <v>1233</v>
      </c>
      <c r="C312" s="388" t="s">
        <v>1234</v>
      </c>
      <c r="D312" s="351"/>
    </row>
    <row r="313" spans="1:4">
      <c r="A313" s="68" t="s">
        <v>1235</v>
      </c>
      <c r="B313" s="64" t="s">
        <v>1236</v>
      </c>
      <c r="C313" s="388" t="s">
        <v>1237</v>
      </c>
      <c r="D313" s="351"/>
    </row>
    <row r="314" spans="1:4">
      <c r="A314" s="68" t="s">
        <v>1238</v>
      </c>
      <c r="B314" s="64" t="s">
        <v>1239</v>
      </c>
      <c r="C314" s="388" t="s">
        <v>1240</v>
      </c>
      <c r="D314" s="351"/>
    </row>
    <row r="315" spans="1:4">
      <c r="A315" s="68" t="s">
        <v>1241</v>
      </c>
      <c r="B315" s="62" t="s">
        <v>1242</v>
      </c>
      <c r="C315" s="388" t="s">
        <v>1243</v>
      </c>
      <c r="D315" s="351"/>
    </row>
    <row r="316" spans="1:4">
      <c r="A316" s="68" t="s">
        <v>1244</v>
      </c>
      <c r="B316" s="62" t="s">
        <v>1245</v>
      </c>
      <c r="C316" s="388" t="s">
        <v>1246</v>
      </c>
      <c r="D316" s="351"/>
    </row>
    <row r="317" spans="1:4">
      <c r="A317" s="68" t="s">
        <v>1247</v>
      </c>
      <c r="B317" s="62" t="s">
        <v>1248</v>
      </c>
      <c r="C317" s="388" t="s">
        <v>1249</v>
      </c>
      <c r="D317" s="351"/>
    </row>
    <row r="318" spans="1:4">
      <c r="A318" s="68" t="s">
        <v>1250</v>
      </c>
      <c r="B318" s="62" t="s">
        <v>1251</v>
      </c>
      <c r="C318" s="388" t="s">
        <v>1252</v>
      </c>
      <c r="D318" s="351"/>
    </row>
    <row r="319" spans="1:4">
      <c r="A319" s="68" t="s">
        <v>1253</v>
      </c>
      <c r="B319" s="64" t="s">
        <v>1248</v>
      </c>
      <c r="C319" s="388" t="s">
        <v>1254</v>
      </c>
      <c r="D319" s="351"/>
    </row>
    <row r="320" spans="1:4">
      <c r="A320" s="68" t="s">
        <v>1255</v>
      </c>
      <c r="B320" s="62" t="s">
        <v>1256</v>
      </c>
      <c r="C320" s="388" t="s">
        <v>1257</v>
      </c>
      <c r="D320" s="351"/>
    </row>
    <row r="321" spans="1:4">
      <c r="A321" s="68" t="s">
        <v>1258</v>
      </c>
      <c r="B321" s="62" t="s">
        <v>1259</v>
      </c>
      <c r="C321" s="388" t="s">
        <v>1260</v>
      </c>
      <c r="D321" s="351"/>
    </row>
    <row r="322" spans="1:4">
      <c r="A322" s="68" t="s">
        <v>1261</v>
      </c>
      <c r="B322" s="62" t="s">
        <v>1262</v>
      </c>
      <c r="C322" s="388" t="s">
        <v>1263</v>
      </c>
      <c r="D322" s="351"/>
    </row>
    <row r="323" spans="1:4">
      <c r="A323" s="68" t="s">
        <v>1264</v>
      </c>
      <c r="B323" s="64" t="s">
        <v>1265</v>
      </c>
      <c r="C323" s="388" t="s">
        <v>1266</v>
      </c>
      <c r="D323" s="351"/>
    </row>
    <row r="324" spans="1:4">
      <c r="A324" s="68" t="s">
        <v>1267</v>
      </c>
      <c r="B324" s="64" t="s">
        <v>1268</v>
      </c>
      <c r="C324" s="388" t="s">
        <v>1269</v>
      </c>
      <c r="D324" s="351"/>
    </row>
    <row r="325" spans="1:4">
      <c r="A325" s="68" t="s">
        <v>1270</v>
      </c>
      <c r="B325" s="62" t="s">
        <v>1271</v>
      </c>
      <c r="C325" s="388" t="s">
        <v>1272</v>
      </c>
      <c r="D325" s="351"/>
    </row>
    <row r="326" spans="1:4">
      <c r="A326" s="68" t="s">
        <v>1273</v>
      </c>
      <c r="B326" s="62" t="s">
        <v>1274</v>
      </c>
      <c r="C326" s="388" t="s">
        <v>1275</v>
      </c>
      <c r="D326" s="351"/>
    </row>
    <row r="327" spans="1:4">
      <c r="A327" s="385" t="s">
        <v>1276</v>
      </c>
      <c r="B327" s="350"/>
      <c r="C327" s="350"/>
      <c r="D327" s="351"/>
    </row>
    <row r="328" spans="1:4">
      <c r="A328" s="68" t="s">
        <v>167</v>
      </c>
      <c r="B328" s="64"/>
      <c r="C328" s="387" t="s">
        <v>1277</v>
      </c>
      <c r="D328" s="351"/>
    </row>
    <row r="329" spans="1:4">
      <c r="A329" s="68" t="s">
        <v>1217</v>
      </c>
      <c r="B329" s="62" t="s">
        <v>1218</v>
      </c>
      <c r="C329" s="388" t="s">
        <v>1278</v>
      </c>
      <c r="D329" s="351"/>
    </row>
    <row r="330" spans="1:4">
      <c r="A330" s="68" t="s">
        <v>1220</v>
      </c>
      <c r="B330" s="62" t="s">
        <v>1221</v>
      </c>
      <c r="C330" s="387" t="s">
        <v>1279</v>
      </c>
      <c r="D330" s="351"/>
    </row>
    <row r="331" spans="1:4">
      <c r="A331" s="68" t="s">
        <v>1223</v>
      </c>
      <c r="B331" s="62" t="s">
        <v>1224</v>
      </c>
      <c r="C331" s="387" t="s">
        <v>1280</v>
      </c>
      <c r="D331" s="351"/>
    </row>
    <row r="332" spans="1:4">
      <c r="A332" s="68" t="s">
        <v>1226</v>
      </c>
      <c r="B332" s="62" t="s">
        <v>1227</v>
      </c>
      <c r="C332" s="387" t="s">
        <v>1281</v>
      </c>
      <c r="D332" s="351"/>
    </row>
    <row r="333" spans="1:4">
      <c r="A333" s="68" t="s">
        <v>1229</v>
      </c>
      <c r="B333" s="62" t="s">
        <v>1230</v>
      </c>
      <c r="C333" s="387" t="s">
        <v>1282</v>
      </c>
      <c r="D333" s="351"/>
    </row>
    <row r="334" spans="1:4">
      <c r="A334" s="68" t="s">
        <v>1232</v>
      </c>
      <c r="B334" s="64" t="s">
        <v>1233</v>
      </c>
      <c r="C334" s="388" t="s">
        <v>1283</v>
      </c>
      <c r="D334" s="351"/>
    </row>
    <row r="335" spans="1:4">
      <c r="A335" s="68" t="s">
        <v>1235</v>
      </c>
      <c r="B335" s="64" t="s">
        <v>1236</v>
      </c>
      <c r="C335" s="387" t="s">
        <v>1284</v>
      </c>
      <c r="D335" s="351"/>
    </row>
    <row r="336" spans="1:4">
      <c r="A336" s="68" t="s">
        <v>1238</v>
      </c>
      <c r="B336" s="64" t="s">
        <v>1239</v>
      </c>
      <c r="C336" s="388" t="s">
        <v>1285</v>
      </c>
      <c r="D336" s="351"/>
    </row>
    <row r="337" spans="1:4">
      <c r="A337" s="68" t="s">
        <v>1241</v>
      </c>
      <c r="B337" s="64" t="s">
        <v>1286</v>
      </c>
      <c r="C337" s="387" t="s">
        <v>1287</v>
      </c>
      <c r="D337" s="351"/>
    </row>
    <row r="338" spans="1:4">
      <c r="A338" s="68" t="s">
        <v>1244</v>
      </c>
      <c r="B338" s="62" t="s">
        <v>1251</v>
      </c>
      <c r="C338" s="387" t="s">
        <v>1288</v>
      </c>
      <c r="D338" s="351"/>
    </row>
    <row r="339" spans="1:4">
      <c r="A339" s="68" t="s">
        <v>1247</v>
      </c>
      <c r="B339" s="62" t="s">
        <v>1256</v>
      </c>
      <c r="C339" s="387" t="s">
        <v>1289</v>
      </c>
      <c r="D339" s="351"/>
    </row>
    <row r="340" spans="1:4">
      <c r="A340" s="68" t="s">
        <v>1250</v>
      </c>
      <c r="B340" s="62" t="s">
        <v>1259</v>
      </c>
      <c r="C340" s="387" t="s">
        <v>1290</v>
      </c>
      <c r="D340" s="351"/>
    </row>
    <row r="341" spans="1:4">
      <c r="A341" s="68" t="s">
        <v>1253</v>
      </c>
      <c r="B341" s="62" t="s">
        <v>1262</v>
      </c>
      <c r="C341" s="387" t="s">
        <v>1291</v>
      </c>
      <c r="D341" s="351"/>
    </row>
    <row r="342" spans="1:4">
      <c r="A342" s="68" t="s">
        <v>1255</v>
      </c>
      <c r="B342" s="64" t="s">
        <v>1265</v>
      </c>
      <c r="C342" s="388" t="s">
        <v>1292</v>
      </c>
      <c r="D342" s="351"/>
    </row>
    <row r="343" spans="1:4">
      <c r="A343" s="68" t="s">
        <v>1258</v>
      </c>
      <c r="B343" s="64" t="s">
        <v>1268</v>
      </c>
      <c r="C343" s="388" t="s">
        <v>1293</v>
      </c>
      <c r="D343" s="351"/>
    </row>
    <row r="344" spans="1:4">
      <c r="A344" s="68" t="s">
        <v>1261</v>
      </c>
      <c r="B344" s="62" t="s">
        <v>1294</v>
      </c>
      <c r="C344" s="387" t="s">
        <v>1295</v>
      </c>
      <c r="D344" s="351"/>
    </row>
    <row r="345" spans="1:4">
      <c r="A345" s="68" t="s">
        <v>1264</v>
      </c>
      <c r="B345" s="64" t="s">
        <v>1296</v>
      </c>
      <c r="C345" s="388" t="s">
        <v>1297</v>
      </c>
      <c r="D345" s="351"/>
    </row>
    <row r="346" spans="1:4">
      <c r="A346" s="390" t="s">
        <v>1298</v>
      </c>
      <c r="B346" s="350"/>
      <c r="C346" s="350"/>
      <c r="D346" s="351"/>
    </row>
    <row r="347" spans="1:4">
      <c r="A347" s="68" t="s">
        <v>1299</v>
      </c>
      <c r="B347" s="63" t="s">
        <v>1300</v>
      </c>
      <c r="C347" s="387" t="s">
        <v>1301</v>
      </c>
      <c r="D347" s="351"/>
    </row>
    <row r="348" spans="1:4">
      <c r="A348" s="68" t="s">
        <v>1302</v>
      </c>
      <c r="B348" s="78"/>
      <c r="C348" s="360" t="s">
        <v>1303</v>
      </c>
      <c r="D348" s="351"/>
    </row>
    <row r="349" spans="1:4">
      <c r="A349" s="391" t="s">
        <v>1304</v>
      </c>
      <c r="B349" s="350"/>
      <c r="C349" s="350"/>
      <c r="D349" s="351"/>
    </row>
    <row r="350" spans="1:4">
      <c r="A350" s="68" t="s">
        <v>1305</v>
      </c>
      <c r="B350" s="62" t="s">
        <v>1306</v>
      </c>
      <c r="C350" s="387" t="s">
        <v>1307</v>
      </c>
      <c r="D350" s="351"/>
    </row>
    <row r="351" spans="1:4">
      <c r="A351" s="386" t="s">
        <v>1308</v>
      </c>
      <c r="B351" s="350"/>
      <c r="C351" s="350"/>
      <c r="D351" s="351"/>
    </row>
    <row r="352" spans="1:4">
      <c r="A352" s="383" t="s">
        <v>1309</v>
      </c>
      <c r="B352" s="350"/>
      <c r="C352" s="350"/>
      <c r="D352" s="351"/>
    </row>
    <row r="353" spans="1:4">
      <c r="A353" s="68" t="s">
        <v>1310</v>
      </c>
      <c r="B353" s="78"/>
      <c r="C353" s="387" t="s">
        <v>1311</v>
      </c>
      <c r="D353" s="351"/>
    </row>
    <row r="354" spans="1:4">
      <c r="A354" s="68" t="s">
        <v>1312</v>
      </c>
      <c r="B354" s="62" t="s">
        <v>1313</v>
      </c>
      <c r="C354" s="384"/>
      <c r="D354" s="351"/>
    </row>
    <row r="355" spans="1:4">
      <c r="A355" s="68" t="s">
        <v>1314</v>
      </c>
      <c r="B355" s="62" t="s">
        <v>1315</v>
      </c>
      <c r="C355" s="384"/>
      <c r="D355" s="351"/>
    </row>
    <row r="356" spans="1:4">
      <c r="A356" s="68" t="s">
        <v>1316</v>
      </c>
      <c r="B356" s="64" t="s">
        <v>1317</v>
      </c>
      <c r="C356" s="387" t="s">
        <v>1318</v>
      </c>
      <c r="D356" s="351"/>
    </row>
    <row r="357" spans="1:4">
      <c r="A357" s="68" t="s">
        <v>1319</v>
      </c>
      <c r="B357" s="65" t="s">
        <v>1320</v>
      </c>
      <c r="C357" s="387" t="s">
        <v>1321</v>
      </c>
      <c r="D357" s="351"/>
    </row>
    <row r="358" spans="1:4">
      <c r="A358" s="68" t="s">
        <v>1322</v>
      </c>
      <c r="B358" s="62" t="s">
        <v>1323</v>
      </c>
      <c r="C358" s="387" t="s">
        <v>1321</v>
      </c>
      <c r="D358" s="351"/>
    </row>
    <row r="359" spans="1:4">
      <c r="A359" s="68" t="s">
        <v>1324</v>
      </c>
      <c r="B359" s="62" t="s">
        <v>1325</v>
      </c>
      <c r="C359" s="387" t="s">
        <v>1326</v>
      </c>
      <c r="D359" s="351"/>
    </row>
    <row r="360" spans="1:4">
      <c r="A360" s="68" t="s">
        <v>1327</v>
      </c>
      <c r="B360" s="62" t="s">
        <v>1328</v>
      </c>
      <c r="C360" s="360" t="s">
        <v>1329</v>
      </c>
      <c r="D360" s="351"/>
    </row>
    <row r="361" spans="1:4">
      <c r="A361" s="68" t="s">
        <v>1330</v>
      </c>
      <c r="B361" s="62" t="s">
        <v>1331</v>
      </c>
      <c r="C361" s="387" t="s">
        <v>1332</v>
      </c>
      <c r="D361" s="351"/>
    </row>
    <row r="362" spans="1:4">
      <c r="A362" s="384" t="s">
        <v>1333</v>
      </c>
      <c r="B362" s="350"/>
      <c r="C362" s="350"/>
      <c r="D362" s="351"/>
    </row>
    <row r="363" spans="1:4">
      <c r="A363" s="68" t="s">
        <v>1334</v>
      </c>
      <c r="B363" s="78"/>
      <c r="C363" s="389" t="s">
        <v>1335</v>
      </c>
      <c r="D363" s="351"/>
    </row>
    <row r="364" spans="1:4">
      <c r="A364" s="68" t="s">
        <v>1336</v>
      </c>
      <c r="B364" s="62" t="s">
        <v>1337</v>
      </c>
      <c r="C364" s="387" t="s">
        <v>1338</v>
      </c>
      <c r="D364" s="351"/>
    </row>
    <row r="365" spans="1:4">
      <c r="A365" s="68" t="s">
        <v>1339</v>
      </c>
      <c r="B365" s="62" t="s">
        <v>1340</v>
      </c>
      <c r="C365" s="387" t="s">
        <v>1341</v>
      </c>
      <c r="D365" s="351"/>
    </row>
    <row r="366" spans="1:4">
      <c r="A366" s="68" t="s">
        <v>1342</v>
      </c>
      <c r="B366" s="62" t="s">
        <v>1343</v>
      </c>
      <c r="C366" s="387" t="s">
        <v>1344</v>
      </c>
      <c r="D366" s="351"/>
    </row>
    <row r="367" spans="1:4">
      <c r="A367" s="384" t="s">
        <v>1345</v>
      </c>
      <c r="B367" s="350"/>
      <c r="C367" s="350"/>
      <c r="D367" s="351"/>
    </row>
    <row r="368" spans="1:4">
      <c r="A368" s="68" t="s">
        <v>1346</v>
      </c>
      <c r="B368" s="78"/>
      <c r="C368" s="389" t="s">
        <v>1347</v>
      </c>
      <c r="D368" s="351"/>
    </row>
    <row r="369" spans="1:4">
      <c r="A369" s="68" t="s">
        <v>1348</v>
      </c>
      <c r="B369" s="62" t="s">
        <v>1313</v>
      </c>
      <c r="C369" s="384"/>
      <c r="D369" s="351"/>
    </row>
    <row r="370" spans="1:4">
      <c r="A370" s="68" t="s">
        <v>1349</v>
      </c>
      <c r="B370" s="62" t="s">
        <v>1315</v>
      </c>
      <c r="C370" s="384"/>
      <c r="D370" s="351"/>
    </row>
    <row r="371" spans="1:4">
      <c r="A371" s="68" t="s">
        <v>1350</v>
      </c>
      <c r="B371" s="62" t="s">
        <v>1351</v>
      </c>
      <c r="C371" s="387" t="s">
        <v>1338</v>
      </c>
      <c r="D371" s="351"/>
    </row>
    <row r="372" spans="1:4">
      <c r="A372" s="68" t="s">
        <v>1352</v>
      </c>
      <c r="B372" s="62" t="s">
        <v>1353</v>
      </c>
      <c r="C372" s="387" t="s">
        <v>1354</v>
      </c>
      <c r="D372" s="351"/>
    </row>
    <row r="373" spans="1:4">
      <c r="A373" s="68" t="s">
        <v>1355</v>
      </c>
      <c r="B373" s="62" t="s">
        <v>1356</v>
      </c>
      <c r="C373" s="387" t="s">
        <v>1344</v>
      </c>
      <c r="D373" s="351"/>
    </row>
    <row r="374" spans="1:4">
      <c r="A374" s="68" t="s">
        <v>1357</v>
      </c>
      <c r="B374" s="62" t="s">
        <v>1358</v>
      </c>
      <c r="C374" s="387" t="s">
        <v>1359</v>
      </c>
      <c r="D374" s="351"/>
    </row>
    <row r="375" spans="1:4">
      <c r="A375" s="68" t="s">
        <v>1360</v>
      </c>
      <c r="B375" s="62" t="s">
        <v>1361</v>
      </c>
      <c r="C375" s="387" t="s">
        <v>1362</v>
      </c>
      <c r="D375" s="351"/>
    </row>
    <row r="376" spans="1:4">
      <c r="A376" s="382" t="s">
        <v>1363</v>
      </c>
      <c r="B376" s="350"/>
      <c r="C376" s="350"/>
      <c r="D376" s="351"/>
    </row>
    <row r="377" spans="1:4">
      <c r="A377" s="68" t="s">
        <v>1364</v>
      </c>
      <c r="B377" s="78"/>
      <c r="C377" s="392" t="s">
        <v>1365</v>
      </c>
      <c r="D377" s="351"/>
    </row>
    <row r="378" spans="1:4">
      <c r="A378" s="68" t="s">
        <v>1366</v>
      </c>
      <c r="B378" s="62" t="s">
        <v>1313</v>
      </c>
      <c r="C378" s="384"/>
      <c r="D378" s="351"/>
    </row>
    <row r="379" spans="1:4">
      <c r="A379" s="68" t="s">
        <v>1367</v>
      </c>
      <c r="B379" s="62" t="s">
        <v>1315</v>
      </c>
      <c r="C379" s="384"/>
      <c r="D379" s="351"/>
    </row>
    <row r="380" spans="1:4">
      <c r="A380" s="68" t="s">
        <v>1368</v>
      </c>
      <c r="B380" s="62" t="s">
        <v>1369</v>
      </c>
      <c r="C380" s="387" t="s">
        <v>1370</v>
      </c>
      <c r="D380" s="351"/>
    </row>
    <row r="381" spans="1:4">
      <c r="A381" s="68" t="s">
        <v>1371</v>
      </c>
      <c r="B381" s="62" t="s">
        <v>1372</v>
      </c>
      <c r="C381" s="387" t="s">
        <v>1373</v>
      </c>
      <c r="D381" s="351"/>
    </row>
    <row r="382" spans="1:4">
      <c r="A382" s="68" t="s">
        <v>1374</v>
      </c>
      <c r="B382" s="62" t="s">
        <v>1375</v>
      </c>
      <c r="C382" s="387" t="s">
        <v>1376</v>
      </c>
      <c r="D382" s="351"/>
    </row>
    <row r="383" spans="1:4">
      <c r="A383" s="68" t="s">
        <v>1377</v>
      </c>
      <c r="B383" s="62" t="s">
        <v>1378</v>
      </c>
      <c r="C383" s="387" t="s">
        <v>1379</v>
      </c>
      <c r="D383" s="351"/>
    </row>
    <row r="384" spans="1:4">
      <c r="A384" s="68" t="s">
        <v>1380</v>
      </c>
      <c r="B384" s="62" t="s">
        <v>1381</v>
      </c>
      <c r="C384" s="387" t="s">
        <v>1382</v>
      </c>
      <c r="D384" s="351"/>
    </row>
    <row r="385" spans="1:4">
      <c r="A385" s="384" t="s">
        <v>1383</v>
      </c>
      <c r="B385" s="350"/>
      <c r="C385" s="350"/>
      <c r="D385" s="351"/>
    </row>
    <row r="386" spans="1:4">
      <c r="A386" s="68" t="s">
        <v>1384</v>
      </c>
      <c r="B386" s="78"/>
      <c r="C386" s="389" t="s">
        <v>1385</v>
      </c>
      <c r="D386" s="351"/>
    </row>
    <row r="387" spans="1:4">
      <c r="A387" s="68" t="s">
        <v>1386</v>
      </c>
      <c r="B387" s="62" t="s">
        <v>1387</v>
      </c>
      <c r="C387" s="387" t="s">
        <v>1388</v>
      </c>
      <c r="D387" s="351"/>
    </row>
    <row r="388" spans="1:4">
      <c r="A388" s="68" t="s">
        <v>1389</v>
      </c>
      <c r="B388" s="62" t="s">
        <v>1390</v>
      </c>
      <c r="C388" s="387" t="s">
        <v>1391</v>
      </c>
      <c r="D388" s="351"/>
    </row>
    <row r="389" spans="1:4">
      <c r="A389" s="68" t="s">
        <v>1392</v>
      </c>
      <c r="B389" s="62" t="s">
        <v>1393</v>
      </c>
      <c r="C389" s="387" t="s">
        <v>1391</v>
      </c>
      <c r="D389" s="351"/>
    </row>
    <row r="390" spans="1:4">
      <c r="A390" s="68" t="s">
        <v>1394</v>
      </c>
      <c r="B390" s="62" t="s">
        <v>1395</v>
      </c>
      <c r="C390" s="387" t="s">
        <v>1396</v>
      </c>
      <c r="D390" s="351"/>
    </row>
    <row r="391" spans="1:4">
      <c r="A391" s="68" t="s">
        <v>1397</v>
      </c>
      <c r="B391" s="62" t="s">
        <v>1398</v>
      </c>
      <c r="C391" s="387" t="s">
        <v>1399</v>
      </c>
      <c r="D391" s="351"/>
    </row>
    <row r="392" spans="1:4">
      <c r="A392" s="386" t="s">
        <v>1400</v>
      </c>
      <c r="B392" s="350"/>
      <c r="C392" s="350"/>
      <c r="D392" s="351"/>
    </row>
    <row r="393" spans="1:4">
      <c r="A393" s="68" t="s">
        <v>1401</v>
      </c>
      <c r="B393" s="65"/>
      <c r="C393" s="360" t="s">
        <v>1402</v>
      </c>
      <c r="D393" s="351"/>
    </row>
    <row r="394" spans="1:4">
      <c r="A394" s="68" t="s">
        <v>1403</v>
      </c>
      <c r="B394" s="62" t="s">
        <v>1404</v>
      </c>
      <c r="C394" s="387" t="s">
        <v>1391</v>
      </c>
      <c r="D394" s="351"/>
    </row>
    <row r="395" spans="1:4">
      <c r="A395" s="386" t="s">
        <v>1405</v>
      </c>
      <c r="B395" s="350"/>
      <c r="C395" s="350"/>
      <c r="D395" s="351"/>
    </row>
    <row r="396" spans="1:4">
      <c r="A396" s="386" t="s">
        <v>1406</v>
      </c>
      <c r="B396" s="350"/>
      <c r="C396" s="350"/>
      <c r="D396" s="351"/>
    </row>
    <row r="397" spans="1:4">
      <c r="A397" s="68" t="s">
        <v>1407</v>
      </c>
      <c r="B397" s="64"/>
      <c r="C397" s="360" t="s">
        <v>1408</v>
      </c>
      <c r="D397" s="351"/>
    </row>
    <row r="398" spans="1:4">
      <c r="A398" s="68" t="s">
        <v>1409</v>
      </c>
      <c r="B398" s="62" t="s">
        <v>1410</v>
      </c>
      <c r="C398" s="387" t="s">
        <v>1411</v>
      </c>
      <c r="D398" s="351"/>
    </row>
    <row r="399" spans="1:4">
      <c r="A399" s="68" t="s">
        <v>1412</v>
      </c>
      <c r="B399" s="63" t="s">
        <v>1413</v>
      </c>
      <c r="C399" s="387" t="s">
        <v>1414</v>
      </c>
      <c r="D399" s="351"/>
    </row>
    <row r="400" spans="1:4">
      <c r="A400" s="386" t="s">
        <v>1415</v>
      </c>
      <c r="B400" s="350"/>
      <c r="C400" s="350"/>
      <c r="D400" s="351"/>
    </row>
    <row r="401" spans="1:4">
      <c r="A401" s="383" t="s">
        <v>1416</v>
      </c>
      <c r="B401" s="350"/>
      <c r="C401" s="350"/>
      <c r="D401" s="351"/>
    </row>
    <row r="402" spans="1:4">
      <c r="A402" s="68" t="s">
        <v>1417</v>
      </c>
      <c r="B402" s="86"/>
      <c r="C402" s="360" t="s">
        <v>1418</v>
      </c>
      <c r="D402" s="351"/>
    </row>
    <row r="403" spans="1:4">
      <c r="A403" s="68" t="s">
        <v>1419</v>
      </c>
      <c r="B403" s="79" t="s">
        <v>1420</v>
      </c>
      <c r="C403" s="387" t="s">
        <v>1421</v>
      </c>
      <c r="D403" s="351"/>
    </row>
    <row r="404" spans="1:4">
      <c r="A404" s="68" t="s">
        <v>1422</v>
      </c>
      <c r="B404" s="63" t="s">
        <v>1423</v>
      </c>
      <c r="C404" s="387" t="s">
        <v>1424</v>
      </c>
      <c r="D404" s="351"/>
    </row>
    <row r="405" spans="1:4">
      <c r="A405" s="68" t="s">
        <v>1425</v>
      </c>
      <c r="B405" s="64" t="s">
        <v>1426</v>
      </c>
      <c r="C405" s="387" t="s">
        <v>1427</v>
      </c>
      <c r="D405" s="351"/>
    </row>
    <row r="406" spans="1:4">
      <c r="A406" s="68" t="s">
        <v>1428</v>
      </c>
      <c r="B406" s="63" t="s">
        <v>1429</v>
      </c>
      <c r="C406" s="387" t="s">
        <v>1430</v>
      </c>
      <c r="D406" s="351"/>
    </row>
    <row r="407" spans="1:4">
      <c r="A407" s="68" t="s">
        <v>1431</v>
      </c>
      <c r="B407" s="63" t="s">
        <v>1432</v>
      </c>
      <c r="C407" s="387" t="s">
        <v>1433</v>
      </c>
      <c r="D407" s="351"/>
    </row>
    <row r="408" spans="1:4">
      <c r="A408" s="68" t="s">
        <v>1434</v>
      </c>
      <c r="B408" s="63" t="s">
        <v>1435</v>
      </c>
      <c r="C408" s="387" t="s">
        <v>1436</v>
      </c>
      <c r="D408" s="351"/>
    </row>
    <row r="409" spans="1:4">
      <c r="A409" s="68" t="s">
        <v>1437</v>
      </c>
      <c r="B409" s="63" t="s">
        <v>1438</v>
      </c>
      <c r="C409" s="387" t="s">
        <v>1439</v>
      </c>
      <c r="D409" s="351"/>
    </row>
    <row r="410" spans="1:4">
      <c r="A410" s="68" t="s">
        <v>1440</v>
      </c>
      <c r="B410" s="63" t="s">
        <v>1441</v>
      </c>
      <c r="C410" s="387" t="s">
        <v>1442</v>
      </c>
      <c r="D410" s="351"/>
    </row>
    <row r="411" spans="1:4">
      <c r="A411" s="382" t="s">
        <v>1443</v>
      </c>
      <c r="B411" s="350"/>
      <c r="C411" s="350"/>
      <c r="D411" s="351"/>
    </row>
    <row r="412" spans="1:4">
      <c r="A412" s="68" t="s">
        <v>1444</v>
      </c>
      <c r="B412" s="87"/>
      <c r="C412" s="387" t="s">
        <v>1445</v>
      </c>
      <c r="D412" s="351"/>
    </row>
    <row r="413" spans="1:4">
      <c r="A413" s="393" t="s">
        <v>511</v>
      </c>
      <c r="B413" s="350"/>
      <c r="C413" s="350"/>
      <c r="D413" s="351"/>
    </row>
    <row r="414" spans="1:4">
      <c r="A414" s="394" t="s">
        <v>1446</v>
      </c>
      <c r="B414" s="350"/>
      <c r="C414" s="350"/>
      <c r="D414" s="351"/>
    </row>
    <row r="415" spans="1:4">
      <c r="A415" s="88"/>
      <c r="B415" s="88"/>
      <c r="C415" s="360" t="s">
        <v>1447</v>
      </c>
      <c r="D415" s="351"/>
    </row>
    <row r="416" spans="1:4">
      <c r="A416" s="395" t="s">
        <v>1448</v>
      </c>
      <c r="B416" s="350"/>
      <c r="C416" s="350"/>
      <c r="D416" s="351"/>
    </row>
    <row r="417" spans="1:4">
      <c r="A417" s="68" t="s">
        <v>1449</v>
      </c>
      <c r="B417" s="89"/>
      <c r="C417" s="387" t="s">
        <v>1450</v>
      </c>
      <c r="D417" s="351"/>
    </row>
    <row r="418" spans="1:4">
      <c r="A418" s="68" t="s">
        <v>1451</v>
      </c>
      <c r="B418" s="62" t="s">
        <v>1452</v>
      </c>
      <c r="C418" s="387" t="s">
        <v>1453</v>
      </c>
      <c r="D418" s="351"/>
    </row>
    <row r="419" spans="1:4">
      <c r="A419" s="68" t="s">
        <v>1454</v>
      </c>
      <c r="B419" s="62" t="s">
        <v>1455</v>
      </c>
      <c r="C419" s="387" t="s">
        <v>1456</v>
      </c>
      <c r="D419" s="351"/>
    </row>
    <row r="420" spans="1:4">
      <c r="A420" s="395" t="s">
        <v>1457</v>
      </c>
      <c r="B420" s="350"/>
      <c r="C420" s="350"/>
      <c r="D420" s="351"/>
    </row>
    <row r="421" spans="1:4">
      <c r="A421" s="68" t="s">
        <v>1458</v>
      </c>
      <c r="B421" s="89"/>
      <c r="C421" s="360" t="s">
        <v>1459</v>
      </c>
      <c r="D421" s="351"/>
    </row>
    <row r="422" spans="1:4">
      <c r="A422" s="68" t="s">
        <v>1460</v>
      </c>
      <c r="B422" s="62" t="s">
        <v>1461</v>
      </c>
      <c r="C422" s="387" t="s">
        <v>1462</v>
      </c>
      <c r="D422" s="351"/>
    </row>
    <row r="423" spans="1:4">
      <c r="A423" s="68" t="s">
        <v>1463</v>
      </c>
      <c r="B423" s="62" t="s">
        <v>1464</v>
      </c>
      <c r="C423" s="387" t="s">
        <v>1465</v>
      </c>
      <c r="D423" s="351"/>
    </row>
    <row r="424" spans="1:4">
      <c r="A424" s="68" t="s">
        <v>1466</v>
      </c>
      <c r="B424" s="62" t="s">
        <v>1467</v>
      </c>
      <c r="C424" s="387" t="s">
        <v>1468</v>
      </c>
      <c r="D424" s="351"/>
    </row>
    <row r="425" spans="1:4">
      <c r="A425" s="68" t="s">
        <v>1469</v>
      </c>
      <c r="B425" s="62" t="s">
        <v>1470</v>
      </c>
      <c r="C425" s="387" t="s">
        <v>1471</v>
      </c>
      <c r="D425" s="351"/>
    </row>
    <row r="426" spans="1:4">
      <c r="A426" s="68" t="s">
        <v>1472</v>
      </c>
      <c r="B426" s="62" t="s">
        <v>1473</v>
      </c>
      <c r="C426" s="387" t="s">
        <v>1474</v>
      </c>
      <c r="D426" s="351"/>
    </row>
    <row r="427" spans="1:4">
      <c r="A427" s="68" t="s">
        <v>1475</v>
      </c>
      <c r="B427" s="62" t="s">
        <v>1476</v>
      </c>
      <c r="C427" s="387" t="s">
        <v>1477</v>
      </c>
      <c r="D427" s="351"/>
    </row>
    <row r="428" spans="1:4">
      <c r="A428" s="395" t="s">
        <v>1478</v>
      </c>
      <c r="B428" s="350"/>
      <c r="C428" s="350"/>
      <c r="D428" s="351"/>
    </row>
    <row r="429" spans="1:4">
      <c r="A429" s="61" t="s">
        <v>1479</v>
      </c>
      <c r="B429" s="65" t="s">
        <v>1480</v>
      </c>
      <c r="C429" s="360" t="s">
        <v>1481</v>
      </c>
      <c r="D429" s="351"/>
    </row>
    <row r="430" spans="1:4">
      <c r="A430" s="61" t="s">
        <v>1482</v>
      </c>
      <c r="B430" s="65" t="s">
        <v>1483</v>
      </c>
      <c r="C430" s="360" t="s">
        <v>1484</v>
      </c>
      <c r="D430" s="351"/>
    </row>
    <row r="431" spans="1:4">
      <c r="A431" s="61" t="s">
        <v>1485</v>
      </c>
      <c r="B431" s="65" t="s">
        <v>1486</v>
      </c>
      <c r="C431" s="360" t="s">
        <v>1487</v>
      </c>
      <c r="D431" s="351"/>
    </row>
    <row r="432" spans="1:4">
      <c r="A432" s="61" t="s">
        <v>1488</v>
      </c>
      <c r="B432" s="65" t="s">
        <v>1489</v>
      </c>
      <c r="C432" s="360" t="s">
        <v>1490</v>
      </c>
      <c r="D432" s="351"/>
    </row>
    <row r="433" spans="1:4">
      <c r="A433" s="395" t="s">
        <v>1491</v>
      </c>
      <c r="B433" s="350"/>
      <c r="C433" s="350"/>
      <c r="D433" s="351"/>
    </row>
    <row r="434" spans="1:4">
      <c r="A434" s="61" t="s">
        <v>1492</v>
      </c>
      <c r="B434" s="63" t="s">
        <v>1493</v>
      </c>
      <c r="C434" s="360" t="s">
        <v>1494</v>
      </c>
      <c r="D434" s="351"/>
    </row>
    <row r="435" spans="1:4">
      <c r="A435" s="395" t="s">
        <v>1495</v>
      </c>
      <c r="B435" s="350"/>
      <c r="C435" s="350"/>
      <c r="D435" s="351"/>
    </row>
    <row r="436" spans="1:4">
      <c r="A436" s="61" t="s">
        <v>1496</v>
      </c>
      <c r="B436" s="63" t="s">
        <v>1497</v>
      </c>
      <c r="C436" s="360" t="s">
        <v>1498</v>
      </c>
      <c r="D436" s="351"/>
    </row>
    <row r="437" spans="1:4">
      <c r="A437" s="395" t="s">
        <v>1499</v>
      </c>
      <c r="B437" s="350"/>
      <c r="C437" s="350"/>
      <c r="D437" s="351"/>
    </row>
    <row r="438" spans="1:4">
      <c r="A438" s="394" t="s">
        <v>1500</v>
      </c>
      <c r="B438" s="350"/>
      <c r="C438" s="350"/>
      <c r="D438" s="351"/>
    </row>
    <row r="439" spans="1:4">
      <c r="A439" s="68" t="s">
        <v>1501</v>
      </c>
      <c r="B439" s="64"/>
      <c r="C439" s="360" t="s">
        <v>1502</v>
      </c>
      <c r="D439" s="351"/>
    </row>
    <row r="440" spans="1:4">
      <c r="A440" s="68" t="s">
        <v>1503</v>
      </c>
      <c r="B440" s="62" t="s">
        <v>1504</v>
      </c>
      <c r="C440" s="387" t="s">
        <v>1505</v>
      </c>
      <c r="D440" s="351"/>
    </row>
    <row r="441" spans="1:4">
      <c r="A441" s="68" t="s">
        <v>1506</v>
      </c>
      <c r="B441" s="62" t="s">
        <v>1507</v>
      </c>
      <c r="C441" s="387" t="s">
        <v>1508</v>
      </c>
      <c r="D441" s="351"/>
    </row>
    <row r="442" spans="1:4">
      <c r="A442" s="68" t="s">
        <v>1509</v>
      </c>
      <c r="B442" s="63" t="s">
        <v>1510</v>
      </c>
      <c r="C442" s="387" t="s">
        <v>1511</v>
      </c>
      <c r="D442" s="351"/>
    </row>
    <row r="443" spans="1:4">
      <c r="A443" s="68" t="s">
        <v>1512</v>
      </c>
      <c r="B443" s="63" t="s">
        <v>1513</v>
      </c>
      <c r="C443" s="360" t="s">
        <v>1514</v>
      </c>
      <c r="D443" s="351"/>
    </row>
    <row r="444" spans="1:4">
      <c r="A444" s="68" t="s">
        <v>1515</v>
      </c>
      <c r="B444" s="63" t="s">
        <v>1516</v>
      </c>
      <c r="C444" s="387" t="s">
        <v>1517</v>
      </c>
      <c r="D444" s="351"/>
    </row>
    <row r="445" spans="1:4">
      <c r="A445" s="68" t="s">
        <v>1518</v>
      </c>
      <c r="B445" s="63" t="s">
        <v>1519</v>
      </c>
      <c r="C445" s="387" t="s">
        <v>1520</v>
      </c>
      <c r="D445" s="351"/>
    </row>
    <row r="446" spans="1:4">
      <c r="A446" s="68" t="s">
        <v>1521</v>
      </c>
      <c r="B446" s="64" t="s">
        <v>1522</v>
      </c>
      <c r="C446" s="387" t="s">
        <v>1523</v>
      </c>
      <c r="D446" s="351"/>
    </row>
    <row r="447" spans="1:4">
      <c r="A447" s="68" t="s">
        <v>1524</v>
      </c>
      <c r="B447" s="62" t="s">
        <v>1525</v>
      </c>
      <c r="C447" s="387" t="s">
        <v>1526</v>
      </c>
      <c r="D447" s="351"/>
    </row>
    <row r="448" spans="1:4">
      <c r="A448" s="68" t="s">
        <v>1527</v>
      </c>
      <c r="B448" s="63" t="s">
        <v>1528</v>
      </c>
      <c r="C448" s="387" t="s">
        <v>1529</v>
      </c>
      <c r="D448" s="351"/>
    </row>
    <row r="449" spans="1:4">
      <c r="A449" s="68" t="s">
        <v>1530</v>
      </c>
      <c r="B449" s="79" t="s">
        <v>1531</v>
      </c>
      <c r="C449" s="387" t="s">
        <v>1532</v>
      </c>
      <c r="D449" s="351"/>
    </row>
    <row r="450" spans="1:4">
      <c r="A450" s="68" t="s">
        <v>1533</v>
      </c>
      <c r="B450" s="79" t="s">
        <v>1534</v>
      </c>
      <c r="C450" s="387" t="s">
        <v>1535</v>
      </c>
      <c r="D450" s="351"/>
    </row>
    <row r="451" spans="1:4">
      <c r="A451" s="68" t="s">
        <v>1536</v>
      </c>
      <c r="B451" s="63" t="s">
        <v>1537</v>
      </c>
      <c r="C451" s="360" t="s">
        <v>1538</v>
      </c>
      <c r="D451" s="351"/>
    </row>
    <row r="452" spans="1:4">
      <c r="A452" s="68" t="s">
        <v>1539</v>
      </c>
      <c r="B452" s="63" t="s">
        <v>1540</v>
      </c>
      <c r="C452" s="360" t="s">
        <v>1541</v>
      </c>
      <c r="D452" s="351"/>
    </row>
    <row r="453" spans="1:4">
      <c r="A453" s="68" t="s">
        <v>1542</v>
      </c>
      <c r="B453" s="63" t="s">
        <v>1543</v>
      </c>
      <c r="C453" s="360" t="s">
        <v>1544</v>
      </c>
      <c r="D453" s="351"/>
    </row>
    <row r="454" spans="1:4">
      <c r="A454" s="68" t="s">
        <v>1545</v>
      </c>
      <c r="B454" s="63" t="s">
        <v>1546</v>
      </c>
      <c r="C454" s="360" t="s">
        <v>1544</v>
      </c>
      <c r="D454" s="351"/>
    </row>
    <row r="455" spans="1:4">
      <c r="A455" s="68" t="s">
        <v>1547</v>
      </c>
      <c r="B455" s="63" t="s">
        <v>1548</v>
      </c>
      <c r="C455" s="360" t="s">
        <v>1544</v>
      </c>
      <c r="D455" s="351"/>
    </row>
    <row r="456" spans="1:4">
      <c r="A456" s="68" t="s">
        <v>1549</v>
      </c>
      <c r="B456" s="63" t="s">
        <v>1550</v>
      </c>
      <c r="C456" s="360" t="s">
        <v>1551</v>
      </c>
      <c r="D456" s="351"/>
    </row>
    <row r="457" spans="1:4">
      <c r="A457" s="68" t="s">
        <v>1552</v>
      </c>
      <c r="B457" s="63" t="s">
        <v>1553</v>
      </c>
      <c r="C457" s="360" t="s">
        <v>1554</v>
      </c>
      <c r="D457" s="351"/>
    </row>
    <row r="458" spans="1:4">
      <c r="A458" s="68" t="s">
        <v>1555</v>
      </c>
      <c r="B458" s="63" t="s">
        <v>1556</v>
      </c>
      <c r="C458" s="360" t="s">
        <v>1557</v>
      </c>
      <c r="D458" s="351"/>
    </row>
    <row r="459" spans="1:4">
      <c r="A459" s="68" t="s">
        <v>1558</v>
      </c>
      <c r="B459" s="63" t="s">
        <v>1559</v>
      </c>
      <c r="C459" s="360" t="s">
        <v>1560</v>
      </c>
      <c r="D459" s="351"/>
    </row>
    <row r="460" spans="1:4">
      <c r="A460" s="68" t="s">
        <v>1561</v>
      </c>
      <c r="B460" s="63" t="s">
        <v>1562</v>
      </c>
      <c r="C460" s="387" t="s">
        <v>1563</v>
      </c>
      <c r="D460" s="351"/>
    </row>
    <row r="461" spans="1:4">
      <c r="A461" s="68" t="s">
        <v>1564</v>
      </c>
      <c r="B461" s="63" t="s">
        <v>1565</v>
      </c>
      <c r="C461" s="360" t="s">
        <v>1566</v>
      </c>
      <c r="D461" s="351"/>
    </row>
    <row r="462" spans="1:4">
      <c r="A462" s="68" t="s">
        <v>1567</v>
      </c>
      <c r="B462" s="63" t="s">
        <v>1568</v>
      </c>
      <c r="C462" s="387" t="s">
        <v>1569</v>
      </c>
      <c r="D462" s="351"/>
    </row>
    <row r="463" spans="1:4">
      <c r="A463" s="68" t="s">
        <v>1570</v>
      </c>
      <c r="B463" s="79" t="s">
        <v>1571</v>
      </c>
      <c r="C463" s="360" t="s">
        <v>1572</v>
      </c>
      <c r="D463" s="351"/>
    </row>
    <row r="464" spans="1:4">
      <c r="A464" s="68" t="s">
        <v>1573</v>
      </c>
      <c r="B464" s="79" t="s">
        <v>1574</v>
      </c>
      <c r="C464" s="360" t="s">
        <v>1575</v>
      </c>
      <c r="D464" s="351"/>
    </row>
    <row r="465" spans="1:4">
      <c r="A465" s="68" t="s">
        <v>1576</v>
      </c>
      <c r="B465" s="79" t="s">
        <v>1577</v>
      </c>
      <c r="C465" s="387" t="s">
        <v>1578</v>
      </c>
      <c r="D465" s="351"/>
    </row>
    <row r="466" spans="1:4">
      <c r="A466" s="68" t="s">
        <v>1579</v>
      </c>
      <c r="B466" s="62" t="s">
        <v>1580</v>
      </c>
      <c r="C466" s="387" t="s">
        <v>1581</v>
      </c>
      <c r="D466" s="351"/>
    </row>
    <row r="467" spans="1:4">
      <c r="A467" s="68" t="s">
        <v>1582</v>
      </c>
      <c r="B467" s="83" t="s">
        <v>1583</v>
      </c>
      <c r="C467" s="387" t="s">
        <v>1584</v>
      </c>
      <c r="D467" s="351"/>
    </row>
    <row r="468" spans="1:4">
      <c r="A468" s="68" t="s">
        <v>1585</v>
      </c>
      <c r="B468" s="79" t="s">
        <v>1586</v>
      </c>
      <c r="C468" s="387" t="s">
        <v>1587</v>
      </c>
      <c r="D468" s="351"/>
    </row>
    <row r="469" spans="1:4">
      <c r="A469" s="68" t="s">
        <v>1588</v>
      </c>
      <c r="B469" s="90" t="s">
        <v>1589</v>
      </c>
      <c r="C469" s="387" t="s">
        <v>1590</v>
      </c>
      <c r="D469" s="351"/>
    </row>
    <row r="470" spans="1:4">
      <c r="A470" s="68" t="s">
        <v>1591</v>
      </c>
      <c r="B470" s="91" t="s">
        <v>1592</v>
      </c>
      <c r="C470" s="396" t="s">
        <v>1593</v>
      </c>
      <c r="D470" s="351"/>
    </row>
    <row r="471" spans="1:4">
      <c r="A471" s="384" t="s">
        <v>1594</v>
      </c>
      <c r="B471" s="350"/>
      <c r="C471" s="350"/>
      <c r="D471" s="351"/>
    </row>
    <row r="472" spans="1:4">
      <c r="A472" s="68" t="s">
        <v>1595</v>
      </c>
      <c r="B472" s="64"/>
      <c r="C472" s="360" t="s">
        <v>1596</v>
      </c>
      <c r="D472" s="351"/>
    </row>
    <row r="473" spans="1:4">
      <c r="A473" s="68" t="s">
        <v>1597</v>
      </c>
      <c r="B473" s="62" t="s">
        <v>1504</v>
      </c>
      <c r="C473" s="387" t="s">
        <v>1598</v>
      </c>
      <c r="D473" s="351"/>
    </row>
    <row r="474" spans="1:4">
      <c r="A474" s="68" t="s">
        <v>1599</v>
      </c>
      <c r="B474" s="62" t="s">
        <v>1507</v>
      </c>
      <c r="C474" s="387" t="s">
        <v>1508</v>
      </c>
      <c r="D474" s="351"/>
    </row>
    <row r="475" spans="1:4">
      <c r="A475" s="68" t="s">
        <v>1600</v>
      </c>
      <c r="B475" s="63" t="s">
        <v>1510</v>
      </c>
      <c r="C475" s="387" t="s">
        <v>1511</v>
      </c>
      <c r="D475" s="351"/>
    </row>
    <row r="476" spans="1:4">
      <c r="A476" s="68" t="s">
        <v>1601</v>
      </c>
      <c r="B476" s="63" t="s">
        <v>1602</v>
      </c>
      <c r="C476" s="360" t="s">
        <v>1514</v>
      </c>
      <c r="D476" s="351"/>
    </row>
    <row r="477" spans="1:4">
      <c r="A477" s="68" t="s">
        <v>1603</v>
      </c>
      <c r="B477" s="63" t="s">
        <v>1516</v>
      </c>
      <c r="C477" s="387" t="s">
        <v>1517</v>
      </c>
      <c r="D477" s="351"/>
    </row>
    <row r="478" spans="1:4">
      <c r="A478" s="68" t="s">
        <v>1604</v>
      </c>
      <c r="B478" s="63" t="s">
        <v>1605</v>
      </c>
      <c r="C478" s="387" t="s">
        <v>1520</v>
      </c>
      <c r="D478" s="351"/>
    </row>
    <row r="479" spans="1:4">
      <c r="A479" s="68" t="s">
        <v>1606</v>
      </c>
      <c r="B479" s="64" t="s">
        <v>1522</v>
      </c>
      <c r="C479" s="387" t="s">
        <v>1523</v>
      </c>
      <c r="D479" s="351"/>
    </row>
    <row r="480" spans="1:4">
      <c r="A480" s="68" t="s">
        <v>1607</v>
      </c>
      <c r="B480" s="62" t="s">
        <v>1525</v>
      </c>
      <c r="C480" s="387" t="s">
        <v>1526</v>
      </c>
      <c r="D480" s="351"/>
    </row>
    <row r="481" spans="1:4">
      <c r="A481" s="68" t="s">
        <v>1608</v>
      </c>
      <c r="B481" s="63" t="s">
        <v>1528</v>
      </c>
      <c r="C481" s="387" t="s">
        <v>1529</v>
      </c>
      <c r="D481" s="351"/>
    </row>
    <row r="482" spans="1:4">
      <c r="A482" s="68" t="s">
        <v>1609</v>
      </c>
      <c r="B482" s="63" t="s">
        <v>1531</v>
      </c>
      <c r="C482" s="387" t="s">
        <v>1610</v>
      </c>
      <c r="D482" s="351"/>
    </row>
    <row r="483" spans="1:4">
      <c r="A483" s="68" t="s">
        <v>1611</v>
      </c>
      <c r="B483" s="63" t="s">
        <v>1534</v>
      </c>
      <c r="C483" s="387" t="s">
        <v>1535</v>
      </c>
      <c r="D483" s="351"/>
    </row>
    <row r="484" spans="1:4">
      <c r="A484" s="68" t="s">
        <v>1612</v>
      </c>
      <c r="B484" s="63" t="s">
        <v>1613</v>
      </c>
      <c r="C484" s="360" t="s">
        <v>1614</v>
      </c>
      <c r="D484" s="351"/>
    </row>
    <row r="485" spans="1:4">
      <c r="A485" s="68" t="s">
        <v>1615</v>
      </c>
      <c r="B485" s="63" t="s">
        <v>1616</v>
      </c>
      <c r="C485" s="360" t="s">
        <v>1617</v>
      </c>
      <c r="D485" s="351"/>
    </row>
    <row r="486" spans="1:4">
      <c r="A486" s="68" t="s">
        <v>1618</v>
      </c>
      <c r="B486" s="63" t="s">
        <v>1619</v>
      </c>
      <c r="C486" s="360" t="s">
        <v>1544</v>
      </c>
      <c r="D486" s="351"/>
    </row>
    <row r="487" spans="1:4">
      <c r="A487" s="68" t="s">
        <v>1620</v>
      </c>
      <c r="B487" s="63" t="s">
        <v>1621</v>
      </c>
      <c r="C487" s="360" t="s">
        <v>1544</v>
      </c>
      <c r="D487" s="351"/>
    </row>
    <row r="488" spans="1:4">
      <c r="A488" s="68" t="s">
        <v>1622</v>
      </c>
      <c r="B488" s="63" t="s">
        <v>1623</v>
      </c>
      <c r="C488" s="360" t="s">
        <v>1544</v>
      </c>
      <c r="D488" s="351"/>
    </row>
    <row r="489" spans="1:4">
      <c r="A489" s="68" t="s">
        <v>1624</v>
      </c>
      <c r="B489" s="63" t="s">
        <v>1625</v>
      </c>
      <c r="C489" s="360" t="s">
        <v>1626</v>
      </c>
      <c r="D489" s="351"/>
    </row>
    <row r="490" spans="1:4">
      <c r="A490" s="68" t="s">
        <v>1627</v>
      </c>
      <c r="B490" s="63" t="s">
        <v>1628</v>
      </c>
      <c r="C490" s="360" t="s">
        <v>1554</v>
      </c>
      <c r="D490" s="351"/>
    </row>
    <row r="491" spans="1:4">
      <c r="A491" s="68" t="s">
        <v>1629</v>
      </c>
      <c r="B491" s="63" t="s">
        <v>1630</v>
      </c>
      <c r="C491" s="360" t="s">
        <v>1631</v>
      </c>
      <c r="D491" s="351"/>
    </row>
    <row r="492" spans="1:4">
      <c r="A492" s="68" t="s">
        <v>1632</v>
      </c>
      <c r="B492" s="63" t="s">
        <v>1633</v>
      </c>
      <c r="C492" s="360" t="s">
        <v>1560</v>
      </c>
      <c r="D492" s="351"/>
    </row>
    <row r="493" spans="1:4">
      <c r="A493" s="68" t="s">
        <v>1634</v>
      </c>
      <c r="B493" s="63" t="s">
        <v>1635</v>
      </c>
      <c r="C493" s="360" t="s">
        <v>1566</v>
      </c>
      <c r="D493" s="351"/>
    </row>
    <row r="494" spans="1:4">
      <c r="A494" s="68" t="s">
        <v>1636</v>
      </c>
      <c r="B494" s="63" t="s">
        <v>1568</v>
      </c>
      <c r="C494" s="387" t="s">
        <v>1637</v>
      </c>
      <c r="D494" s="351"/>
    </row>
    <row r="495" spans="1:4">
      <c r="A495" s="68" t="s">
        <v>1638</v>
      </c>
      <c r="B495" s="79" t="s">
        <v>1571</v>
      </c>
      <c r="C495" s="387" t="s">
        <v>1639</v>
      </c>
      <c r="D495" s="351"/>
    </row>
    <row r="496" spans="1:4">
      <c r="A496" s="68" t="s">
        <v>1638</v>
      </c>
      <c r="B496" s="79" t="s">
        <v>1577</v>
      </c>
      <c r="C496" s="387" t="s">
        <v>1578</v>
      </c>
      <c r="D496" s="351"/>
    </row>
    <row r="497" spans="1:4">
      <c r="A497" s="68" t="s">
        <v>1640</v>
      </c>
      <c r="B497" s="62" t="s">
        <v>1580</v>
      </c>
      <c r="C497" s="387" t="s">
        <v>1641</v>
      </c>
      <c r="D497" s="351"/>
    </row>
    <row r="498" spans="1:4">
      <c r="A498" s="68" t="s">
        <v>1642</v>
      </c>
      <c r="B498" s="79" t="s">
        <v>1583</v>
      </c>
      <c r="C498" s="387" t="s">
        <v>1584</v>
      </c>
      <c r="D498" s="351"/>
    </row>
    <row r="499" spans="1:4">
      <c r="A499" s="68" t="s">
        <v>1643</v>
      </c>
      <c r="B499" s="63" t="s">
        <v>1586</v>
      </c>
      <c r="C499" s="387" t="s">
        <v>1587</v>
      </c>
      <c r="D499" s="351"/>
    </row>
    <row r="500" spans="1:4">
      <c r="A500" s="68" t="s">
        <v>1644</v>
      </c>
      <c r="B500" s="62" t="s">
        <v>1589</v>
      </c>
      <c r="C500" s="387" t="s">
        <v>1645</v>
      </c>
      <c r="D500" s="351"/>
    </row>
    <row r="501" spans="1:4">
      <c r="A501" s="68" t="s">
        <v>1646</v>
      </c>
      <c r="B501" s="91" t="s">
        <v>1592</v>
      </c>
      <c r="C501" s="396" t="s">
        <v>1647</v>
      </c>
      <c r="D501" s="351"/>
    </row>
    <row r="502" spans="1:4">
      <c r="A502" s="384" t="s">
        <v>1648</v>
      </c>
      <c r="B502" s="350"/>
      <c r="C502" s="350"/>
      <c r="D502" s="351"/>
    </row>
    <row r="503" spans="1:4">
      <c r="A503" s="68" t="s">
        <v>1649</v>
      </c>
      <c r="B503" s="64"/>
      <c r="C503" s="360" t="s">
        <v>1650</v>
      </c>
      <c r="D503" s="351"/>
    </row>
    <row r="504" spans="1:4">
      <c r="A504" s="68" t="s">
        <v>1651</v>
      </c>
      <c r="B504" s="62" t="s">
        <v>1504</v>
      </c>
      <c r="C504" s="387" t="s">
        <v>1598</v>
      </c>
      <c r="D504" s="351"/>
    </row>
    <row r="505" spans="1:4">
      <c r="A505" s="68" t="s">
        <v>1652</v>
      </c>
      <c r="B505" s="62" t="s">
        <v>1507</v>
      </c>
      <c r="C505" s="387" t="s">
        <v>1508</v>
      </c>
      <c r="D505" s="351"/>
    </row>
    <row r="506" spans="1:4">
      <c r="A506" s="68" t="s">
        <v>1653</v>
      </c>
      <c r="B506" s="63" t="s">
        <v>1510</v>
      </c>
      <c r="C506" s="387" t="s">
        <v>1511</v>
      </c>
      <c r="D506" s="351"/>
    </row>
    <row r="507" spans="1:4">
      <c r="A507" s="68" t="s">
        <v>1654</v>
      </c>
      <c r="B507" s="63" t="s">
        <v>1655</v>
      </c>
      <c r="C507" s="360" t="s">
        <v>1514</v>
      </c>
      <c r="D507" s="351"/>
    </row>
    <row r="508" spans="1:4">
      <c r="A508" s="68" t="s">
        <v>1656</v>
      </c>
      <c r="B508" s="63" t="s">
        <v>1516</v>
      </c>
      <c r="C508" s="387" t="s">
        <v>1517</v>
      </c>
      <c r="D508" s="351"/>
    </row>
    <row r="509" spans="1:4">
      <c r="A509" s="68" t="s">
        <v>1657</v>
      </c>
      <c r="B509" s="64" t="s">
        <v>1658</v>
      </c>
      <c r="C509" s="387" t="s">
        <v>1520</v>
      </c>
      <c r="D509" s="351"/>
    </row>
    <row r="510" spans="1:4">
      <c r="A510" s="68" t="s">
        <v>1659</v>
      </c>
      <c r="B510" s="64" t="s">
        <v>1522</v>
      </c>
      <c r="C510" s="387" t="s">
        <v>1523</v>
      </c>
      <c r="D510" s="351"/>
    </row>
    <row r="511" spans="1:4">
      <c r="A511" s="68" t="s">
        <v>1660</v>
      </c>
      <c r="B511" s="62" t="s">
        <v>1525</v>
      </c>
      <c r="C511" s="387" t="s">
        <v>1526</v>
      </c>
      <c r="D511" s="351"/>
    </row>
    <row r="512" spans="1:4">
      <c r="A512" s="68" t="s">
        <v>1661</v>
      </c>
      <c r="B512" s="63" t="s">
        <v>1528</v>
      </c>
      <c r="C512" s="387" t="s">
        <v>1529</v>
      </c>
      <c r="D512" s="351"/>
    </row>
    <row r="513" spans="1:4">
      <c r="A513" s="68" t="s">
        <v>1662</v>
      </c>
      <c r="B513" s="63" t="s">
        <v>1531</v>
      </c>
      <c r="C513" s="387" t="s">
        <v>1610</v>
      </c>
      <c r="D513" s="351"/>
    </row>
    <row r="514" spans="1:4">
      <c r="A514" s="68" t="s">
        <v>1663</v>
      </c>
      <c r="B514" s="63" t="s">
        <v>1534</v>
      </c>
      <c r="C514" s="387" t="s">
        <v>1535</v>
      </c>
      <c r="D514" s="351"/>
    </row>
    <row r="515" spans="1:4">
      <c r="A515" s="68" t="s">
        <v>1664</v>
      </c>
      <c r="B515" s="63" t="s">
        <v>1665</v>
      </c>
      <c r="C515" s="360" t="s">
        <v>1666</v>
      </c>
      <c r="D515" s="351"/>
    </row>
    <row r="516" spans="1:4">
      <c r="A516" s="68" t="s">
        <v>1667</v>
      </c>
      <c r="B516" s="63" t="s">
        <v>1668</v>
      </c>
      <c r="C516" s="360" t="s">
        <v>1669</v>
      </c>
      <c r="D516" s="351"/>
    </row>
    <row r="517" spans="1:4">
      <c r="A517" s="68" t="s">
        <v>1670</v>
      </c>
      <c r="B517" s="63" t="s">
        <v>1671</v>
      </c>
      <c r="C517" s="360" t="s">
        <v>1544</v>
      </c>
      <c r="D517" s="351"/>
    </row>
    <row r="518" spans="1:4">
      <c r="A518" s="68" t="s">
        <v>1672</v>
      </c>
      <c r="B518" s="63" t="s">
        <v>1673</v>
      </c>
      <c r="C518" s="360" t="s">
        <v>1544</v>
      </c>
      <c r="D518" s="351"/>
    </row>
    <row r="519" spans="1:4">
      <c r="A519" s="68" t="s">
        <v>1674</v>
      </c>
      <c r="B519" s="63" t="s">
        <v>1675</v>
      </c>
      <c r="C519" s="360" t="s">
        <v>1544</v>
      </c>
      <c r="D519" s="351"/>
    </row>
    <row r="520" spans="1:4">
      <c r="A520" s="68" t="s">
        <v>1676</v>
      </c>
      <c r="B520" s="63" t="s">
        <v>1677</v>
      </c>
      <c r="C520" s="360" t="s">
        <v>1678</v>
      </c>
      <c r="D520" s="351"/>
    </row>
    <row r="521" spans="1:4">
      <c r="A521" s="68" t="s">
        <v>1679</v>
      </c>
      <c r="B521" s="63" t="s">
        <v>1680</v>
      </c>
      <c r="C521" s="360" t="s">
        <v>1554</v>
      </c>
      <c r="D521" s="351"/>
    </row>
    <row r="522" spans="1:4">
      <c r="A522" s="68" t="s">
        <v>1681</v>
      </c>
      <c r="B522" s="63" t="s">
        <v>1682</v>
      </c>
      <c r="C522" s="360" t="s">
        <v>1683</v>
      </c>
      <c r="D522" s="351"/>
    </row>
    <row r="523" spans="1:4">
      <c r="A523" s="68" t="s">
        <v>1684</v>
      </c>
      <c r="B523" s="63" t="s">
        <v>1685</v>
      </c>
      <c r="C523" s="360" t="s">
        <v>1560</v>
      </c>
      <c r="D523" s="351"/>
    </row>
    <row r="524" spans="1:4">
      <c r="A524" s="68" t="s">
        <v>1686</v>
      </c>
      <c r="B524" s="63" t="s">
        <v>1687</v>
      </c>
      <c r="C524" s="360" t="s">
        <v>1566</v>
      </c>
      <c r="D524" s="351"/>
    </row>
    <row r="525" spans="1:4">
      <c r="A525" s="68" t="s">
        <v>1688</v>
      </c>
      <c r="B525" s="63" t="s">
        <v>1568</v>
      </c>
      <c r="C525" s="387" t="s">
        <v>1689</v>
      </c>
      <c r="D525" s="351"/>
    </row>
    <row r="526" spans="1:4">
      <c r="A526" s="68" t="s">
        <v>1690</v>
      </c>
      <c r="B526" s="63" t="s">
        <v>1691</v>
      </c>
      <c r="C526" s="387" t="s">
        <v>1692</v>
      </c>
      <c r="D526" s="351"/>
    </row>
    <row r="527" spans="1:4">
      <c r="A527" s="68" t="s">
        <v>1693</v>
      </c>
      <c r="B527" s="62" t="s">
        <v>1580</v>
      </c>
      <c r="C527" s="387" t="s">
        <v>1694</v>
      </c>
      <c r="D527" s="351"/>
    </row>
    <row r="528" spans="1:4">
      <c r="A528" s="68" t="s">
        <v>1695</v>
      </c>
      <c r="B528" s="79" t="s">
        <v>1583</v>
      </c>
      <c r="C528" s="387" t="s">
        <v>1584</v>
      </c>
      <c r="D528" s="351"/>
    </row>
    <row r="529" spans="1:4">
      <c r="A529" s="68" t="s">
        <v>1696</v>
      </c>
      <c r="B529" s="63" t="s">
        <v>1586</v>
      </c>
      <c r="C529" s="387" t="s">
        <v>1587</v>
      </c>
      <c r="D529" s="351"/>
    </row>
    <row r="530" spans="1:4">
      <c r="A530" s="68" t="s">
        <v>1697</v>
      </c>
      <c r="B530" s="62" t="s">
        <v>1589</v>
      </c>
      <c r="C530" s="387" t="s">
        <v>1698</v>
      </c>
      <c r="D530" s="351"/>
    </row>
    <row r="531" spans="1:4">
      <c r="A531" s="68" t="s">
        <v>1699</v>
      </c>
      <c r="B531" s="91" t="s">
        <v>1592</v>
      </c>
      <c r="C531" s="396" t="s">
        <v>1700</v>
      </c>
      <c r="D531" s="351"/>
    </row>
    <row r="532" spans="1:4">
      <c r="A532" s="384" t="s">
        <v>1701</v>
      </c>
      <c r="B532" s="350"/>
      <c r="C532" s="350"/>
      <c r="D532" s="351"/>
    </row>
    <row r="533" spans="1:4">
      <c r="A533" s="68" t="s">
        <v>1702</v>
      </c>
      <c r="B533" s="92"/>
      <c r="C533" s="360" t="s">
        <v>1703</v>
      </c>
      <c r="D533" s="351"/>
    </row>
    <row r="534" spans="1:4">
      <c r="A534" s="68" t="s">
        <v>1704</v>
      </c>
      <c r="B534" s="62" t="s">
        <v>1504</v>
      </c>
      <c r="C534" s="387" t="s">
        <v>1598</v>
      </c>
      <c r="D534" s="351"/>
    </row>
    <row r="535" spans="1:4">
      <c r="A535" s="68" t="s">
        <v>1705</v>
      </c>
      <c r="B535" s="62" t="s">
        <v>1507</v>
      </c>
      <c r="C535" s="387" t="s">
        <v>1508</v>
      </c>
      <c r="D535" s="351"/>
    </row>
    <row r="536" spans="1:4">
      <c r="A536" s="68" t="s">
        <v>1706</v>
      </c>
      <c r="B536" s="63" t="s">
        <v>1510</v>
      </c>
      <c r="C536" s="387" t="s">
        <v>1511</v>
      </c>
      <c r="D536" s="351"/>
    </row>
    <row r="537" spans="1:4">
      <c r="A537" s="68" t="s">
        <v>1707</v>
      </c>
      <c r="B537" s="62" t="s">
        <v>1708</v>
      </c>
      <c r="C537" s="387" t="s">
        <v>1709</v>
      </c>
      <c r="D537" s="351"/>
    </row>
    <row r="538" spans="1:4">
      <c r="A538" s="68" t="s">
        <v>1710</v>
      </c>
      <c r="B538" s="64" t="s">
        <v>1711</v>
      </c>
      <c r="C538" s="387" t="s">
        <v>1712</v>
      </c>
      <c r="D538" s="351"/>
    </row>
    <row r="539" spans="1:4">
      <c r="A539" s="68" t="s">
        <v>1713</v>
      </c>
      <c r="B539" s="63" t="s">
        <v>1714</v>
      </c>
      <c r="C539" s="387" t="s">
        <v>1715</v>
      </c>
      <c r="D539" s="351"/>
    </row>
    <row r="540" spans="1:4">
      <c r="A540" s="68" t="s">
        <v>1716</v>
      </c>
      <c r="B540" s="62" t="s">
        <v>1717</v>
      </c>
      <c r="C540" s="387" t="s">
        <v>1718</v>
      </c>
      <c r="D540" s="351"/>
    </row>
    <row r="541" spans="1:4">
      <c r="A541" s="68" t="s">
        <v>1719</v>
      </c>
      <c r="B541" s="79" t="s">
        <v>1720</v>
      </c>
      <c r="C541" s="445" t="s">
        <v>1721</v>
      </c>
      <c r="D541" s="351"/>
    </row>
    <row r="542" spans="1:4">
      <c r="A542" s="68" t="s">
        <v>1722</v>
      </c>
      <c r="B542" s="64" t="s">
        <v>1723</v>
      </c>
      <c r="C542" s="387" t="s">
        <v>1724</v>
      </c>
      <c r="D542" s="351"/>
    </row>
    <row r="543" spans="1:4">
      <c r="A543" s="68" t="s">
        <v>1725</v>
      </c>
      <c r="B543" s="62" t="s">
        <v>1726</v>
      </c>
      <c r="C543" s="360" t="s">
        <v>1727</v>
      </c>
      <c r="D543" s="351"/>
    </row>
    <row r="544" spans="1:4">
      <c r="A544" s="68" t="s">
        <v>1728</v>
      </c>
      <c r="B544" s="62" t="s">
        <v>1729</v>
      </c>
      <c r="C544" s="360" t="s">
        <v>1730</v>
      </c>
      <c r="D544" s="351"/>
    </row>
    <row r="545" spans="1:4">
      <c r="A545" s="68" t="s">
        <v>1731</v>
      </c>
      <c r="B545" s="63" t="s">
        <v>1732</v>
      </c>
      <c r="C545" s="387" t="s">
        <v>1733</v>
      </c>
      <c r="D545" s="351"/>
    </row>
    <row r="546" spans="1:4">
      <c r="A546" s="68" t="s">
        <v>1734</v>
      </c>
      <c r="B546" s="64" t="s">
        <v>1735</v>
      </c>
      <c r="C546" s="387" t="s">
        <v>1736</v>
      </c>
      <c r="D546" s="351"/>
    </row>
    <row r="547" spans="1:4">
      <c r="A547" s="68" t="s">
        <v>1737</v>
      </c>
      <c r="B547" s="64" t="s">
        <v>1738</v>
      </c>
      <c r="C547" s="387" t="s">
        <v>1739</v>
      </c>
      <c r="D547" s="351"/>
    </row>
    <row r="548" spans="1:4">
      <c r="A548" s="68" t="s">
        <v>1740</v>
      </c>
      <c r="B548" s="62" t="s">
        <v>1589</v>
      </c>
      <c r="C548" s="360" t="s">
        <v>1741</v>
      </c>
      <c r="D548" s="351"/>
    </row>
    <row r="549" spans="1:4">
      <c r="A549" s="434" t="s">
        <v>1742</v>
      </c>
      <c r="B549" s="350"/>
      <c r="C549" s="350"/>
      <c r="D549" s="351"/>
    </row>
    <row r="550" spans="1:4">
      <c r="A550" s="386" t="s">
        <v>1743</v>
      </c>
      <c r="B550" s="350"/>
      <c r="C550" s="350"/>
      <c r="D550" s="351"/>
    </row>
    <row r="551" spans="1:4">
      <c r="A551" s="61" t="s">
        <v>325</v>
      </c>
      <c r="B551" s="65" t="s">
        <v>1744</v>
      </c>
      <c r="C551" s="360" t="s">
        <v>1745</v>
      </c>
      <c r="D551" s="351"/>
    </row>
    <row r="552" spans="1:4">
      <c r="A552" s="384" t="s">
        <v>1746</v>
      </c>
      <c r="B552" s="350"/>
      <c r="C552" s="350"/>
      <c r="D552" s="351"/>
    </row>
    <row r="553" spans="1:4">
      <c r="A553" s="387" t="s">
        <v>1747</v>
      </c>
      <c r="B553" s="350"/>
      <c r="C553" s="350"/>
      <c r="D553" s="351"/>
    </row>
    <row r="554" spans="1:4">
      <c r="A554" s="68" t="s">
        <v>1748</v>
      </c>
      <c r="B554" s="65" t="s">
        <v>1749</v>
      </c>
      <c r="C554" s="387" t="s">
        <v>1750</v>
      </c>
      <c r="D554" s="351"/>
    </row>
    <row r="555" spans="1:4">
      <c r="A555" s="426" t="s">
        <v>1751</v>
      </c>
      <c r="B555" s="350"/>
      <c r="C555" s="350"/>
      <c r="D555" s="351"/>
    </row>
    <row r="556" spans="1:4">
      <c r="A556" s="68" t="s">
        <v>1752</v>
      </c>
      <c r="B556" s="65" t="s">
        <v>1753</v>
      </c>
      <c r="C556" s="360" t="s">
        <v>1754</v>
      </c>
      <c r="D556" s="351"/>
    </row>
    <row r="557" spans="1:4">
      <c r="A557" s="68" t="s">
        <v>1755</v>
      </c>
      <c r="B557" s="65" t="s">
        <v>1756</v>
      </c>
      <c r="C557" s="360" t="s">
        <v>1757</v>
      </c>
      <c r="D557" s="351"/>
    </row>
    <row r="558" spans="1:4">
      <c r="A558" s="426" t="s">
        <v>1758</v>
      </c>
      <c r="B558" s="350"/>
      <c r="C558" s="350"/>
      <c r="D558" s="351"/>
    </row>
    <row r="559" spans="1:4">
      <c r="A559" s="68" t="s">
        <v>361</v>
      </c>
      <c r="B559" s="93" t="s">
        <v>1759</v>
      </c>
      <c r="C559" s="360" t="s">
        <v>1760</v>
      </c>
      <c r="D559" s="351"/>
    </row>
    <row r="560" spans="1:4">
      <c r="A560" s="68" t="s">
        <v>1761</v>
      </c>
      <c r="B560" s="94" t="s">
        <v>1762</v>
      </c>
      <c r="C560" s="360" t="s">
        <v>1763</v>
      </c>
      <c r="D560" s="351"/>
    </row>
    <row r="561" spans="1:4">
      <c r="A561" s="68" t="s">
        <v>1764</v>
      </c>
      <c r="B561" s="94" t="s">
        <v>1765</v>
      </c>
      <c r="C561" s="360" t="s">
        <v>1766</v>
      </c>
      <c r="D561" s="351"/>
    </row>
    <row r="562" spans="1:4">
      <c r="A562" s="68" t="s">
        <v>1767</v>
      </c>
      <c r="B562" s="94" t="s">
        <v>1768</v>
      </c>
      <c r="C562" s="360" t="s">
        <v>1769</v>
      </c>
      <c r="D562" s="351"/>
    </row>
    <row r="563" spans="1:4">
      <c r="A563" s="68" t="s">
        <v>1770</v>
      </c>
      <c r="B563" s="93" t="s">
        <v>1771</v>
      </c>
      <c r="C563" s="360" t="s">
        <v>1772</v>
      </c>
      <c r="D563" s="351"/>
    </row>
    <row r="564" spans="1:4">
      <c r="A564" s="68" t="s">
        <v>1773</v>
      </c>
      <c r="B564" s="62" t="s">
        <v>1774</v>
      </c>
      <c r="C564" s="387" t="s">
        <v>1775</v>
      </c>
      <c r="D564" s="351"/>
    </row>
    <row r="565" spans="1:4">
      <c r="A565" s="68" t="s">
        <v>1776</v>
      </c>
      <c r="B565" s="93" t="s">
        <v>1777</v>
      </c>
      <c r="C565" s="360" t="s">
        <v>1778</v>
      </c>
      <c r="D565" s="351"/>
    </row>
    <row r="566" spans="1:4">
      <c r="A566" s="68" t="s">
        <v>1779</v>
      </c>
      <c r="B566" s="93" t="s">
        <v>1780</v>
      </c>
      <c r="C566" s="360" t="s">
        <v>1781</v>
      </c>
      <c r="D566" s="351"/>
    </row>
    <row r="567" spans="1:4">
      <c r="A567" s="426" t="s">
        <v>1782</v>
      </c>
      <c r="B567" s="350"/>
      <c r="C567" s="350"/>
      <c r="D567" s="351"/>
    </row>
    <row r="568" spans="1:4">
      <c r="A568" s="68" t="s">
        <v>363</v>
      </c>
      <c r="B568" s="64"/>
      <c r="C568" s="360" t="s">
        <v>1783</v>
      </c>
      <c r="D568" s="351"/>
    </row>
    <row r="569" spans="1:4">
      <c r="A569" s="68" t="s">
        <v>1784</v>
      </c>
      <c r="B569" s="64" t="s">
        <v>1785</v>
      </c>
      <c r="C569" s="360" t="s">
        <v>1786</v>
      </c>
      <c r="D569" s="351"/>
    </row>
    <row r="570" spans="1:4">
      <c r="A570" s="68" t="s">
        <v>1787</v>
      </c>
      <c r="B570" s="62" t="s">
        <v>1774</v>
      </c>
      <c r="C570" s="360" t="s">
        <v>1775</v>
      </c>
      <c r="D570" s="351"/>
    </row>
    <row r="571" spans="1:4">
      <c r="A571" s="68" t="s">
        <v>1788</v>
      </c>
      <c r="B571" s="62" t="s">
        <v>1789</v>
      </c>
      <c r="C571" s="360" t="s">
        <v>1790</v>
      </c>
      <c r="D571" s="351"/>
    </row>
    <row r="572" spans="1:4">
      <c r="A572" s="68" t="s">
        <v>1791</v>
      </c>
      <c r="B572" s="64" t="s">
        <v>1792</v>
      </c>
      <c r="C572" s="360" t="s">
        <v>1793</v>
      </c>
      <c r="D572" s="351"/>
    </row>
    <row r="573" spans="1:4">
      <c r="A573" s="426" t="s">
        <v>1794</v>
      </c>
      <c r="B573" s="350"/>
      <c r="C573" s="350"/>
      <c r="D573" s="351"/>
    </row>
    <row r="574" spans="1:4">
      <c r="A574" s="68" t="s">
        <v>365</v>
      </c>
      <c r="B574" s="64"/>
      <c r="C574" s="360" t="s">
        <v>1795</v>
      </c>
      <c r="D574" s="351"/>
    </row>
    <row r="575" spans="1:4">
      <c r="A575" s="68" t="s">
        <v>1796</v>
      </c>
      <c r="B575" s="65" t="s">
        <v>1797</v>
      </c>
      <c r="C575" s="360" t="s">
        <v>1798</v>
      </c>
      <c r="D575" s="351"/>
    </row>
    <row r="576" spans="1:4">
      <c r="A576" s="68" t="s">
        <v>1799</v>
      </c>
      <c r="B576" s="62" t="s">
        <v>1774</v>
      </c>
      <c r="C576" s="360" t="s">
        <v>1800</v>
      </c>
      <c r="D576" s="351"/>
    </row>
    <row r="577" spans="1:4">
      <c r="A577" s="68" t="s">
        <v>1801</v>
      </c>
      <c r="B577" s="62" t="s">
        <v>1789</v>
      </c>
      <c r="C577" s="360" t="s">
        <v>1802</v>
      </c>
      <c r="D577" s="351"/>
    </row>
    <row r="578" spans="1:4">
      <c r="A578" s="426" t="s">
        <v>1803</v>
      </c>
      <c r="B578" s="350"/>
      <c r="C578" s="350"/>
      <c r="D578" s="351"/>
    </row>
    <row r="579" spans="1:4">
      <c r="A579" s="68" t="s">
        <v>367</v>
      </c>
      <c r="B579" s="64"/>
      <c r="C579" s="360" t="s">
        <v>1804</v>
      </c>
      <c r="D579" s="351"/>
    </row>
    <row r="580" spans="1:4">
      <c r="A580" s="68" t="s">
        <v>1805</v>
      </c>
      <c r="B580" s="65" t="s">
        <v>1806</v>
      </c>
      <c r="C580" s="360" t="s">
        <v>1807</v>
      </c>
      <c r="D580" s="351"/>
    </row>
    <row r="581" spans="1:4">
      <c r="A581" s="68" t="s">
        <v>1808</v>
      </c>
      <c r="B581" s="64" t="s">
        <v>1809</v>
      </c>
      <c r="C581" s="360" t="s">
        <v>1810</v>
      </c>
      <c r="D581" s="351"/>
    </row>
    <row r="582" spans="1:4">
      <c r="A582" s="68" t="s">
        <v>1811</v>
      </c>
      <c r="B582" s="64" t="s">
        <v>1812</v>
      </c>
      <c r="C582" s="360" t="s">
        <v>1813</v>
      </c>
      <c r="D582" s="351"/>
    </row>
    <row r="583" spans="1:4">
      <c r="A583" s="426" t="s">
        <v>1814</v>
      </c>
      <c r="B583" s="350"/>
      <c r="C583" s="350"/>
      <c r="D583" s="351"/>
    </row>
    <row r="584" spans="1:4">
      <c r="A584" s="68" t="s">
        <v>369</v>
      </c>
      <c r="B584" s="64"/>
      <c r="C584" s="387" t="s">
        <v>1815</v>
      </c>
      <c r="D584" s="351"/>
    </row>
    <row r="585" spans="1:4">
      <c r="A585" s="68" t="s">
        <v>1816</v>
      </c>
      <c r="B585" s="64" t="s">
        <v>1817</v>
      </c>
      <c r="C585" s="387" t="s">
        <v>1818</v>
      </c>
      <c r="D585" s="351"/>
    </row>
    <row r="586" spans="1:4">
      <c r="A586" s="68" t="s">
        <v>1819</v>
      </c>
      <c r="B586" s="64" t="s">
        <v>1820</v>
      </c>
      <c r="C586" s="387" t="s">
        <v>1821</v>
      </c>
      <c r="D586" s="351"/>
    </row>
    <row r="587" spans="1:4">
      <c r="A587" s="68" t="s">
        <v>1822</v>
      </c>
      <c r="B587" s="62" t="s">
        <v>1823</v>
      </c>
      <c r="C587" s="360" t="s">
        <v>1824</v>
      </c>
      <c r="D587" s="351"/>
    </row>
    <row r="588" spans="1:4">
      <c r="A588" s="68" t="s">
        <v>1825</v>
      </c>
      <c r="B588" s="62" t="s">
        <v>1774</v>
      </c>
      <c r="C588" s="360" t="s">
        <v>1826</v>
      </c>
      <c r="D588" s="351"/>
    </row>
    <row r="589" spans="1:4">
      <c r="A589" s="68" t="s">
        <v>1827</v>
      </c>
      <c r="B589" s="62" t="s">
        <v>1789</v>
      </c>
      <c r="C589" s="360" t="s">
        <v>1828</v>
      </c>
      <c r="D589" s="351"/>
    </row>
    <row r="590" spans="1:4">
      <c r="A590" s="390" t="s">
        <v>1829</v>
      </c>
      <c r="B590" s="350"/>
      <c r="C590" s="350"/>
      <c r="D590" s="351"/>
    </row>
    <row r="591" spans="1:4">
      <c r="A591" s="68" t="s">
        <v>371</v>
      </c>
      <c r="B591" s="64" t="s">
        <v>1830</v>
      </c>
      <c r="C591" s="387" t="s">
        <v>1831</v>
      </c>
      <c r="D591" s="351"/>
    </row>
    <row r="592" spans="1:4">
      <c r="A592" s="68" t="s">
        <v>379</v>
      </c>
      <c r="B592" s="95" t="s">
        <v>1832</v>
      </c>
      <c r="C592" s="360" t="s">
        <v>1833</v>
      </c>
      <c r="D592" s="351"/>
    </row>
    <row r="593" spans="1:4">
      <c r="A593" s="68" t="s">
        <v>381</v>
      </c>
      <c r="B593" s="65" t="s">
        <v>1834</v>
      </c>
      <c r="C593" s="360" t="s">
        <v>1835</v>
      </c>
      <c r="D593" s="351"/>
    </row>
    <row r="594" spans="1:4">
      <c r="A594" s="68" t="s">
        <v>383</v>
      </c>
      <c r="B594" s="64" t="s">
        <v>1836</v>
      </c>
      <c r="C594" s="360" t="s">
        <v>1837</v>
      </c>
      <c r="D594" s="351"/>
    </row>
    <row r="595" spans="1:4">
      <c r="A595" s="68" t="s">
        <v>385</v>
      </c>
      <c r="B595" s="64" t="s">
        <v>1838</v>
      </c>
      <c r="C595" s="360" t="s">
        <v>1839</v>
      </c>
      <c r="D595" s="351"/>
    </row>
    <row r="596" spans="1:4">
      <c r="A596" s="68" t="s">
        <v>387</v>
      </c>
      <c r="B596" s="64" t="s">
        <v>1840</v>
      </c>
      <c r="C596" s="360" t="s">
        <v>1841</v>
      </c>
      <c r="D596" s="351"/>
    </row>
    <row r="597" spans="1:4">
      <c r="A597" s="68" t="s">
        <v>389</v>
      </c>
      <c r="B597" s="64" t="s">
        <v>1842</v>
      </c>
      <c r="C597" s="360" t="s">
        <v>1843</v>
      </c>
      <c r="D597" s="351"/>
    </row>
    <row r="598" spans="1:4">
      <c r="A598" s="68" t="s">
        <v>391</v>
      </c>
      <c r="B598" s="64" t="s">
        <v>1844</v>
      </c>
      <c r="C598" s="360" t="s">
        <v>1845</v>
      </c>
      <c r="D598" s="351"/>
    </row>
    <row r="599" spans="1:4">
      <c r="A599" s="68" t="s">
        <v>395</v>
      </c>
      <c r="B599" s="64" t="s">
        <v>1846</v>
      </c>
      <c r="C599" s="360" t="s">
        <v>1847</v>
      </c>
      <c r="D599" s="351"/>
    </row>
    <row r="600" spans="1:4">
      <c r="A600" s="384" t="s">
        <v>1848</v>
      </c>
      <c r="B600" s="350"/>
      <c r="C600" s="350"/>
      <c r="D600" s="351"/>
    </row>
    <row r="601" spans="1:4">
      <c r="A601" s="68" t="s">
        <v>1849</v>
      </c>
      <c r="B601" s="64"/>
      <c r="C601" s="360" t="s">
        <v>1850</v>
      </c>
      <c r="D601" s="351"/>
    </row>
    <row r="602" spans="1:4">
      <c r="A602" s="68" t="s">
        <v>1851</v>
      </c>
      <c r="B602" s="65"/>
      <c r="C602" s="360" t="s">
        <v>1852</v>
      </c>
      <c r="D602" s="351"/>
    </row>
    <row r="603" spans="1:4">
      <c r="A603" s="68" t="s">
        <v>1853</v>
      </c>
      <c r="B603" s="64" t="s">
        <v>1854</v>
      </c>
      <c r="C603" s="360" t="s">
        <v>1855</v>
      </c>
      <c r="D603" s="351"/>
    </row>
    <row r="604" spans="1:4">
      <c r="A604" s="393" t="s">
        <v>1856</v>
      </c>
      <c r="B604" s="350"/>
      <c r="C604" s="350"/>
      <c r="D604" s="351"/>
    </row>
    <row r="605" spans="1:4">
      <c r="A605" s="386" t="s">
        <v>1857</v>
      </c>
      <c r="B605" s="350"/>
      <c r="C605" s="350"/>
      <c r="D605" s="351"/>
    </row>
    <row r="606" spans="1:4">
      <c r="A606" s="68" t="s">
        <v>1858</v>
      </c>
      <c r="B606" s="65" t="s">
        <v>1859</v>
      </c>
      <c r="C606" s="360" t="s">
        <v>1860</v>
      </c>
      <c r="D606" s="351"/>
    </row>
    <row r="607" spans="1:4">
      <c r="A607" s="68" t="s">
        <v>1861</v>
      </c>
      <c r="B607" s="65" t="s">
        <v>1862</v>
      </c>
      <c r="C607" s="360" t="s">
        <v>1863</v>
      </c>
      <c r="D607" s="351"/>
    </row>
    <row r="608" spans="1:4">
      <c r="A608" s="426" t="s">
        <v>1864</v>
      </c>
      <c r="B608" s="350"/>
      <c r="C608" s="350"/>
      <c r="D608" s="351"/>
    </row>
    <row r="609" spans="1:4">
      <c r="A609" s="68" t="s">
        <v>1865</v>
      </c>
      <c r="B609" s="64"/>
      <c r="C609" s="360" t="s">
        <v>1866</v>
      </c>
      <c r="D609" s="351"/>
    </row>
    <row r="610" spans="1:4">
      <c r="A610" s="68" t="s">
        <v>1867</v>
      </c>
      <c r="B610" s="62" t="s">
        <v>1868</v>
      </c>
      <c r="C610" s="360" t="s">
        <v>1869</v>
      </c>
      <c r="D610" s="351"/>
    </row>
    <row r="611" spans="1:4">
      <c r="A611" s="68" t="s">
        <v>1870</v>
      </c>
      <c r="B611" s="62" t="s">
        <v>1871</v>
      </c>
      <c r="C611" s="446" t="s">
        <v>1872</v>
      </c>
      <c r="D611" s="351"/>
    </row>
    <row r="612" spans="1:4">
      <c r="A612" s="68" t="s">
        <v>1873</v>
      </c>
      <c r="B612" s="62" t="s">
        <v>1874</v>
      </c>
      <c r="C612" s="360" t="s">
        <v>1875</v>
      </c>
      <c r="D612" s="351"/>
    </row>
    <row r="613" spans="1:4">
      <c r="A613" s="68" t="s">
        <v>1876</v>
      </c>
      <c r="B613" s="62" t="s">
        <v>1877</v>
      </c>
      <c r="C613" s="447" t="s">
        <v>1878</v>
      </c>
      <c r="D613" s="351"/>
    </row>
    <row r="614" spans="1:4">
      <c r="A614" s="68" t="s">
        <v>1879</v>
      </c>
      <c r="B614" s="62" t="s">
        <v>1880</v>
      </c>
      <c r="C614" s="447" t="s">
        <v>1881</v>
      </c>
      <c r="D614" s="351"/>
    </row>
    <row r="615" spans="1:4">
      <c r="A615" s="68" t="s">
        <v>1882</v>
      </c>
      <c r="B615" s="96" t="s">
        <v>1883</v>
      </c>
      <c r="C615" s="447" t="s">
        <v>1884</v>
      </c>
      <c r="D615" s="351"/>
    </row>
    <row r="616" spans="1:4">
      <c r="A616" s="68" t="s">
        <v>1885</v>
      </c>
      <c r="B616" s="62" t="s">
        <v>1886</v>
      </c>
      <c r="C616" s="387" t="s">
        <v>1887</v>
      </c>
      <c r="D616" s="351"/>
    </row>
    <row r="617" spans="1:4">
      <c r="A617" s="68" t="s">
        <v>1888</v>
      </c>
      <c r="B617" s="62" t="s">
        <v>1889</v>
      </c>
      <c r="C617" s="387" t="s">
        <v>1890</v>
      </c>
      <c r="D617" s="351"/>
    </row>
    <row r="618" spans="1:4">
      <c r="A618" s="68" t="s">
        <v>1891</v>
      </c>
      <c r="B618" s="62" t="s">
        <v>1892</v>
      </c>
      <c r="C618" s="387" t="s">
        <v>1893</v>
      </c>
      <c r="D618" s="351"/>
    </row>
    <row r="619" spans="1:4">
      <c r="A619" s="68" t="s">
        <v>1894</v>
      </c>
      <c r="B619" s="62" t="s">
        <v>1895</v>
      </c>
      <c r="C619" s="392" t="s">
        <v>1896</v>
      </c>
      <c r="D619" s="351"/>
    </row>
    <row r="620" spans="1:4">
      <c r="A620" s="426" t="s">
        <v>1897</v>
      </c>
      <c r="B620" s="350"/>
      <c r="C620" s="350"/>
      <c r="D620" s="351"/>
    </row>
    <row r="621" spans="1:4">
      <c r="A621" s="68" t="s">
        <v>1865</v>
      </c>
      <c r="B621" s="64"/>
      <c r="C621" s="387" t="s">
        <v>1898</v>
      </c>
      <c r="D621" s="351"/>
    </row>
    <row r="622" spans="1:4">
      <c r="A622" s="68" t="s">
        <v>1867</v>
      </c>
      <c r="B622" s="62" t="s">
        <v>1868</v>
      </c>
      <c r="C622" s="360" t="s">
        <v>1869</v>
      </c>
      <c r="D622" s="351"/>
    </row>
    <row r="623" spans="1:4">
      <c r="A623" s="68" t="s">
        <v>1870</v>
      </c>
      <c r="B623" s="62" t="s">
        <v>1871</v>
      </c>
      <c r="C623" s="446" t="s">
        <v>1872</v>
      </c>
      <c r="D623" s="351"/>
    </row>
    <row r="624" spans="1:4">
      <c r="A624" s="68" t="s">
        <v>1873</v>
      </c>
      <c r="B624" s="62" t="s">
        <v>1874</v>
      </c>
      <c r="C624" s="360" t="s">
        <v>1899</v>
      </c>
      <c r="D624" s="351"/>
    </row>
    <row r="625" spans="1:4">
      <c r="A625" s="68" t="s">
        <v>1876</v>
      </c>
      <c r="B625" s="62" t="s">
        <v>1877</v>
      </c>
      <c r="C625" s="447" t="s">
        <v>1878</v>
      </c>
      <c r="D625" s="351"/>
    </row>
    <row r="626" spans="1:4">
      <c r="A626" s="68" t="s">
        <v>1882</v>
      </c>
      <c r="B626" s="64" t="s">
        <v>1900</v>
      </c>
      <c r="C626" s="447" t="s">
        <v>1901</v>
      </c>
      <c r="D626" s="351"/>
    </row>
    <row r="627" spans="1:4">
      <c r="A627" s="68" t="s">
        <v>1888</v>
      </c>
      <c r="B627" s="62" t="s">
        <v>1889</v>
      </c>
      <c r="C627" s="387" t="s">
        <v>1902</v>
      </c>
      <c r="D627" s="351"/>
    </row>
    <row r="628" spans="1:4">
      <c r="A628" s="68" t="s">
        <v>1891</v>
      </c>
      <c r="B628" s="62" t="s">
        <v>1892</v>
      </c>
      <c r="C628" s="387" t="s">
        <v>1893</v>
      </c>
      <c r="D628" s="351"/>
    </row>
    <row r="629" spans="1:4">
      <c r="A629" s="68" t="s">
        <v>1894</v>
      </c>
      <c r="B629" s="62" t="s">
        <v>1895</v>
      </c>
      <c r="C629" s="392" t="s">
        <v>1896</v>
      </c>
      <c r="D629" s="351"/>
    </row>
    <row r="630" spans="1:4">
      <c r="A630" s="426" t="s">
        <v>1903</v>
      </c>
      <c r="B630" s="350"/>
      <c r="C630" s="350"/>
      <c r="D630" s="351"/>
    </row>
    <row r="631" spans="1:4">
      <c r="A631" s="68" t="s">
        <v>1904</v>
      </c>
      <c r="B631" s="64"/>
      <c r="C631" s="387" t="s">
        <v>1905</v>
      </c>
      <c r="D631" s="351"/>
    </row>
    <row r="632" spans="1:4">
      <c r="A632" s="68" t="s">
        <v>1906</v>
      </c>
      <c r="B632" s="62" t="s">
        <v>1907</v>
      </c>
      <c r="C632" s="387" t="s">
        <v>1908</v>
      </c>
      <c r="D632" s="351"/>
    </row>
    <row r="633" spans="1:4">
      <c r="A633" s="68" t="s">
        <v>1909</v>
      </c>
      <c r="B633" s="62" t="s">
        <v>1871</v>
      </c>
      <c r="C633" s="360" t="s">
        <v>1910</v>
      </c>
      <c r="D633" s="351"/>
    </row>
    <row r="634" spans="1:4">
      <c r="A634" s="61" t="s">
        <v>1911</v>
      </c>
      <c r="B634" s="69" t="s">
        <v>1874</v>
      </c>
      <c r="C634" s="360" t="s">
        <v>1912</v>
      </c>
      <c r="D634" s="351"/>
    </row>
    <row r="635" spans="1:4">
      <c r="A635" s="68" t="s">
        <v>1913</v>
      </c>
      <c r="B635" s="65" t="s">
        <v>1914</v>
      </c>
      <c r="C635" s="427" t="s">
        <v>1915</v>
      </c>
      <c r="D635" s="351"/>
    </row>
    <row r="636" spans="1:4">
      <c r="A636" s="68" t="s">
        <v>1916</v>
      </c>
      <c r="B636" s="65" t="s">
        <v>1917</v>
      </c>
      <c r="C636" s="360" t="s">
        <v>1918</v>
      </c>
      <c r="D636" s="351"/>
    </row>
    <row r="637" spans="1:4">
      <c r="A637" s="68" t="s">
        <v>1919</v>
      </c>
      <c r="B637" s="64" t="s">
        <v>1920</v>
      </c>
      <c r="C637" s="387" t="s">
        <v>1921</v>
      </c>
      <c r="D637" s="351"/>
    </row>
    <row r="638" spans="1:4">
      <c r="A638" s="68" t="s">
        <v>1922</v>
      </c>
      <c r="B638" s="65" t="s">
        <v>1923</v>
      </c>
      <c r="C638" s="360" t="s">
        <v>1924</v>
      </c>
      <c r="D638" s="351"/>
    </row>
    <row r="639" spans="1:4">
      <c r="A639" s="68" t="s">
        <v>1925</v>
      </c>
      <c r="B639" s="62" t="s">
        <v>1889</v>
      </c>
      <c r="C639" s="387" t="s">
        <v>1902</v>
      </c>
      <c r="D639" s="351"/>
    </row>
    <row r="640" spans="1:4">
      <c r="A640" s="68" t="s">
        <v>1926</v>
      </c>
      <c r="B640" s="62" t="s">
        <v>1892</v>
      </c>
      <c r="C640" s="387" t="s">
        <v>1893</v>
      </c>
      <c r="D640" s="351"/>
    </row>
    <row r="641" spans="1:4">
      <c r="A641" s="68" t="s">
        <v>1927</v>
      </c>
      <c r="B641" s="62" t="s">
        <v>1895</v>
      </c>
      <c r="C641" s="387" t="s">
        <v>1896</v>
      </c>
      <c r="D641" s="351"/>
    </row>
    <row r="642" spans="1:4">
      <c r="A642" s="426" t="s">
        <v>1928</v>
      </c>
      <c r="B642" s="350"/>
      <c r="C642" s="350"/>
      <c r="D642" s="351"/>
    </row>
    <row r="643" spans="1:4">
      <c r="A643" s="68" t="s">
        <v>1904</v>
      </c>
      <c r="B643" s="64"/>
      <c r="C643" s="387" t="s">
        <v>1905</v>
      </c>
      <c r="D643" s="351"/>
    </row>
    <row r="644" spans="1:4">
      <c r="A644" s="68" t="s">
        <v>1906</v>
      </c>
      <c r="B644" s="62" t="s">
        <v>1907</v>
      </c>
      <c r="C644" s="387" t="s">
        <v>1908</v>
      </c>
      <c r="D644" s="351"/>
    </row>
    <row r="645" spans="1:4">
      <c r="A645" s="68" t="s">
        <v>1909</v>
      </c>
      <c r="B645" s="62" t="s">
        <v>1871</v>
      </c>
      <c r="C645" s="360" t="s">
        <v>1929</v>
      </c>
      <c r="D645" s="351"/>
    </row>
    <row r="646" spans="1:4">
      <c r="A646" s="61" t="s">
        <v>1911</v>
      </c>
      <c r="B646" s="69" t="s">
        <v>1874</v>
      </c>
      <c r="C646" s="360" t="s">
        <v>1930</v>
      </c>
      <c r="D646" s="351"/>
    </row>
    <row r="647" spans="1:4">
      <c r="A647" s="68" t="s">
        <v>1913</v>
      </c>
      <c r="B647" s="65" t="s">
        <v>1914</v>
      </c>
      <c r="C647" s="427" t="s">
        <v>1931</v>
      </c>
      <c r="D647" s="351"/>
    </row>
    <row r="648" spans="1:4">
      <c r="A648" s="68" t="s">
        <v>1916</v>
      </c>
      <c r="B648" s="65" t="s">
        <v>1932</v>
      </c>
      <c r="C648" s="360" t="s">
        <v>1933</v>
      </c>
      <c r="D648" s="351"/>
    </row>
    <row r="649" spans="1:4">
      <c r="A649" s="68" t="s">
        <v>1919</v>
      </c>
      <c r="B649" s="62" t="s">
        <v>1889</v>
      </c>
      <c r="C649" s="387" t="s">
        <v>1902</v>
      </c>
      <c r="D649" s="351"/>
    </row>
    <row r="650" spans="1:4">
      <c r="A650" s="68" t="s">
        <v>1922</v>
      </c>
      <c r="B650" s="62" t="s">
        <v>1892</v>
      </c>
      <c r="C650" s="387" t="s">
        <v>1893</v>
      </c>
      <c r="D650" s="351"/>
    </row>
    <row r="651" spans="1:4">
      <c r="A651" s="68" t="s">
        <v>1925</v>
      </c>
      <c r="B651" s="62" t="s">
        <v>1895</v>
      </c>
      <c r="C651" s="387" t="s">
        <v>1896</v>
      </c>
      <c r="D651" s="351"/>
    </row>
    <row r="652" spans="1:4">
      <c r="A652" s="386" t="s">
        <v>1934</v>
      </c>
      <c r="B652" s="350"/>
      <c r="C652" s="350"/>
      <c r="D652" s="351"/>
    </row>
    <row r="653" spans="1:4">
      <c r="A653" s="68" t="s">
        <v>1935</v>
      </c>
      <c r="B653" s="65" t="s">
        <v>1936</v>
      </c>
      <c r="C653" s="360" t="s">
        <v>1937</v>
      </c>
      <c r="D653" s="351"/>
    </row>
    <row r="654" spans="1:4">
      <c r="A654" s="428" t="s">
        <v>1938</v>
      </c>
      <c r="B654" s="350"/>
      <c r="C654" s="350"/>
      <c r="D654" s="351"/>
    </row>
    <row r="655" spans="1:4">
      <c r="A655" s="68" t="s">
        <v>1939</v>
      </c>
      <c r="B655" s="64"/>
      <c r="C655" s="360" t="s">
        <v>1940</v>
      </c>
      <c r="D655" s="351"/>
    </row>
    <row r="656" spans="1:4">
      <c r="A656" s="68" t="s">
        <v>1941</v>
      </c>
      <c r="B656" s="97" t="s">
        <v>1942</v>
      </c>
      <c r="C656" s="427" t="s">
        <v>1943</v>
      </c>
      <c r="D656" s="351"/>
    </row>
    <row r="657" spans="1:4">
      <c r="A657" s="68" t="s">
        <v>1944</v>
      </c>
      <c r="B657" s="97" t="s">
        <v>1945</v>
      </c>
      <c r="C657" s="360" t="s">
        <v>1946</v>
      </c>
      <c r="D657" s="351"/>
    </row>
    <row r="658" spans="1:4">
      <c r="A658" s="68" t="s">
        <v>1947</v>
      </c>
      <c r="B658" s="97" t="s">
        <v>1948</v>
      </c>
      <c r="C658" s="429" t="s">
        <v>1949</v>
      </c>
      <c r="D658" s="351"/>
    </row>
    <row r="659" spans="1:4">
      <c r="A659" s="68" t="s">
        <v>1950</v>
      </c>
      <c r="B659" s="97" t="s">
        <v>1951</v>
      </c>
      <c r="C659" s="429" t="s">
        <v>1952</v>
      </c>
      <c r="D659" s="351"/>
    </row>
    <row r="660" spans="1:4">
      <c r="A660" s="68" t="s">
        <v>1953</v>
      </c>
      <c r="B660" s="62" t="s">
        <v>1895</v>
      </c>
      <c r="C660" s="429" t="s">
        <v>1954</v>
      </c>
      <c r="D660" s="351"/>
    </row>
    <row r="661" spans="1:4">
      <c r="A661" s="428" t="s">
        <v>1955</v>
      </c>
      <c r="B661" s="350"/>
      <c r="C661" s="350"/>
      <c r="D661" s="351"/>
    </row>
    <row r="662" spans="1:4">
      <c r="A662" s="68" t="s">
        <v>1956</v>
      </c>
      <c r="B662" s="64"/>
      <c r="C662" s="360" t="s">
        <v>1940</v>
      </c>
      <c r="D662" s="351"/>
    </row>
    <row r="663" spans="1:4">
      <c r="A663" s="68" t="s">
        <v>1957</v>
      </c>
      <c r="B663" s="97" t="s">
        <v>1942</v>
      </c>
      <c r="C663" s="427" t="s">
        <v>1958</v>
      </c>
      <c r="D663" s="351"/>
    </row>
    <row r="664" spans="1:4">
      <c r="A664" s="68" t="s">
        <v>1959</v>
      </c>
      <c r="B664" s="97" t="s">
        <v>1945</v>
      </c>
      <c r="C664" s="360" t="s">
        <v>1960</v>
      </c>
      <c r="D664" s="351"/>
    </row>
    <row r="665" spans="1:4">
      <c r="A665" s="68" t="s">
        <v>1961</v>
      </c>
      <c r="B665" s="97" t="s">
        <v>1948</v>
      </c>
      <c r="C665" s="429" t="s">
        <v>1949</v>
      </c>
      <c r="D665" s="351"/>
    </row>
    <row r="666" spans="1:4">
      <c r="A666" s="68" t="s">
        <v>1962</v>
      </c>
      <c r="B666" s="98" t="s">
        <v>1963</v>
      </c>
      <c r="C666" s="429" t="s">
        <v>1964</v>
      </c>
      <c r="D666" s="351"/>
    </row>
    <row r="667" spans="1:4">
      <c r="A667" s="68" t="s">
        <v>1965</v>
      </c>
      <c r="B667" s="62" t="s">
        <v>1895</v>
      </c>
      <c r="C667" s="429" t="s">
        <v>1954</v>
      </c>
      <c r="D667" s="351"/>
    </row>
    <row r="668" spans="1:4">
      <c r="A668" s="428" t="s">
        <v>1966</v>
      </c>
      <c r="B668" s="350"/>
      <c r="C668" s="350"/>
      <c r="D668" s="351"/>
    </row>
    <row r="669" spans="1:4">
      <c r="A669" s="68" t="s">
        <v>1956</v>
      </c>
      <c r="B669" s="65"/>
      <c r="C669" s="360" t="s">
        <v>1967</v>
      </c>
      <c r="D669" s="351"/>
    </row>
    <row r="670" spans="1:4">
      <c r="A670" s="68" t="s">
        <v>1957</v>
      </c>
      <c r="B670" s="62" t="s">
        <v>1942</v>
      </c>
      <c r="C670" s="360" t="s">
        <v>1968</v>
      </c>
      <c r="D670" s="351"/>
    </row>
    <row r="671" spans="1:4">
      <c r="A671" s="68" t="s">
        <v>1959</v>
      </c>
      <c r="B671" s="65" t="s">
        <v>1969</v>
      </c>
      <c r="C671" s="360" t="s">
        <v>1970</v>
      </c>
      <c r="D671" s="351"/>
    </row>
    <row r="672" spans="1:4">
      <c r="A672" s="68" t="s">
        <v>1961</v>
      </c>
      <c r="B672" s="99" t="s">
        <v>1971</v>
      </c>
      <c r="C672" s="427" t="s">
        <v>1972</v>
      </c>
      <c r="D672" s="351"/>
    </row>
    <row r="673" spans="1:4">
      <c r="A673" s="68" t="s">
        <v>1962</v>
      </c>
      <c r="B673" s="62" t="s">
        <v>1948</v>
      </c>
      <c r="C673" s="387" t="s">
        <v>1949</v>
      </c>
      <c r="D673" s="351"/>
    </row>
    <row r="674" spans="1:4">
      <c r="A674" s="68" t="s">
        <v>1965</v>
      </c>
      <c r="B674" s="64" t="s">
        <v>1895</v>
      </c>
      <c r="C674" s="448" t="s">
        <v>1954</v>
      </c>
      <c r="D674" s="351"/>
    </row>
    <row r="675" spans="1:4">
      <c r="A675" s="386" t="s">
        <v>1973</v>
      </c>
      <c r="B675" s="350"/>
      <c r="C675" s="350"/>
      <c r="D675" s="351"/>
    </row>
    <row r="676" spans="1:4">
      <c r="A676" s="68" t="s">
        <v>1974</v>
      </c>
      <c r="B676" s="65" t="s">
        <v>1975</v>
      </c>
      <c r="C676" s="360" t="s">
        <v>1976</v>
      </c>
      <c r="D676" s="351"/>
    </row>
    <row r="677" spans="1:4">
      <c r="A677" s="449" t="s">
        <v>1977</v>
      </c>
      <c r="B677" s="350"/>
      <c r="C677" s="350"/>
      <c r="D677" s="351"/>
    </row>
    <row r="678" spans="1:4">
      <c r="A678" s="68" t="s">
        <v>1978</v>
      </c>
      <c r="B678" s="65"/>
      <c r="C678" s="387" t="s">
        <v>1979</v>
      </c>
      <c r="D678" s="351"/>
    </row>
    <row r="679" spans="1:4">
      <c r="A679" s="68" t="s">
        <v>1980</v>
      </c>
      <c r="B679" s="97" t="s">
        <v>1981</v>
      </c>
      <c r="C679" s="360" t="s">
        <v>1982</v>
      </c>
      <c r="D679" s="351"/>
    </row>
    <row r="680" spans="1:4">
      <c r="A680" s="68" t="s">
        <v>1983</v>
      </c>
      <c r="B680" s="97" t="s">
        <v>1984</v>
      </c>
      <c r="C680" s="447" t="s">
        <v>1985</v>
      </c>
      <c r="D680" s="351"/>
    </row>
    <row r="681" spans="1:4">
      <c r="A681" s="68" t="s">
        <v>1986</v>
      </c>
      <c r="B681" s="97" t="s">
        <v>1987</v>
      </c>
      <c r="C681" s="431" t="s">
        <v>1988</v>
      </c>
      <c r="D681" s="351"/>
    </row>
    <row r="682" spans="1:4">
      <c r="A682" s="68" t="s">
        <v>1989</v>
      </c>
      <c r="B682" s="99" t="s">
        <v>1990</v>
      </c>
      <c r="C682" s="447" t="s">
        <v>1991</v>
      </c>
      <c r="D682" s="351"/>
    </row>
    <row r="683" spans="1:4">
      <c r="A683" s="68" t="s">
        <v>1992</v>
      </c>
      <c r="B683" s="97" t="s">
        <v>1993</v>
      </c>
      <c r="C683" s="447" t="s">
        <v>1994</v>
      </c>
      <c r="D683" s="351"/>
    </row>
    <row r="684" spans="1:4">
      <c r="A684" s="68" t="s">
        <v>1995</v>
      </c>
      <c r="B684" s="99" t="s">
        <v>1996</v>
      </c>
      <c r="C684" s="447" t="s">
        <v>1997</v>
      </c>
      <c r="D684" s="351"/>
    </row>
    <row r="685" spans="1:4">
      <c r="A685" s="449" t="s">
        <v>1998</v>
      </c>
      <c r="B685" s="350"/>
      <c r="C685" s="350"/>
      <c r="D685" s="351"/>
    </row>
    <row r="686" spans="1:4">
      <c r="A686" s="68" t="s">
        <v>1999</v>
      </c>
      <c r="B686" s="65"/>
      <c r="C686" s="360" t="s">
        <v>2000</v>
      </c>
      <c r="D686" s="351"/>
    </row>
    <row r="687" spans="1:4">
      <c r="A687" s="68" t="s">
        <v>2001</v>
      </c>
      <c r="B687" s="97" t="s">
        <v>1984</v>
      </c>
      <c r="C687" s="429" t="s">
        <v>1985</v>
      </c>
      <c r="D687" s="351"/>
    </row>
    <row r="688" spans="1:4">
      <c r="A688" s="68" t="s">
        <v>2002</v>
      </c>
      <c r="B688" s="97" t="s">
        <v>1987</v>
      </c>
      <c r="C688" s="429" t="s">
        <v>1988</v>
      </c>
      <c r="D688" s="351"/>
    </row>
    <row r="689" spans="1:4">
      <c r="A689" s="449" t="s">
        <v>2003</v>
      </c>
      <c r="B689" s="350"/>
      <c r="C689" s="350"/>
      <c r="D689" s="351"/>
    </row>
    <row r="690" spans="1:4">
      <c r="A690" s="68" t="s">
        <v>2004</v>
      </c>
      <c r="B690" s="64"/>
      <c r="C690" s="360" t="s">
        <v>2005</v>
      </c>
      <c r="D690" s="351"/>
    </row>
    <row r="691" spans="1:4">
      <c r="A691" s="68" t="s">
        <v>2006</v>
      </c>
      <c r="B691" s="97" t="s">
        <v>2007</v>
      </c>
      <c r="C691" s="360" t="s">
        <v>2008</v>
      </c>
      <c r="D691" s="351"/>
    </row>
    <row r="692" spans="1:4">
      <c r="A692" s="68" t="s">
        <v>2009</v>
      </c>
      <c r="B692" s="99" t="s">
        <v>2010</v>
      </c>
      <c r="C692" s="427" t="s">
        <v>2011</v>
      </c>
      <c r="D692" s="351"/>
    </row>
    <row r="693" spans="1:4">
      <c r="A693" s="68" t="s">
        <v>2012</v>
      </c>
      <c r="B693" s="100" t="s">
        <v>2013</v>
      </c>
      <c r="C693" s="427" t="s">
        <v>2014</v>
      </c>
      <c r="D693" s="351"/>
    </row>
    <row r="694" spans="1:4">
      <c r="A694" s="428" t="s">
        <v>2015</v>
      </c>
      <c r="B694" s="350"/>
      <c r="C694" s="350"/>
      <c r="D694" s="351"/>
    </row>
    <row r="695" spans="1:4">
      <c r="A695" s="68" t="s">
        <v>2016</v>
      </c>
      <c r="B695" s="64"/>
      <c r="C695" s="387" t="s">
        <v>2017</v>
      </c>
      <c r="D695" s="351"/>
    </row>
    <row r="696" spans="1:4">
      <c r="A696" s="68" t="s">
        <v>2018</v>
      </c>
      <c r="B696" s="97" t="s">
        <v>2019</v>
      </c>
      <c r="C696" s="429" t="s">
        <v>2020</v>
      </c>
      <c r="D696" s="351"/>
    </row>
    <row r="697" spans="1:4">
      <c r="A697" s="428" t="s">
        <v>2021</v>
      </c>
      <c r="B697" s="350"/>
      <c r="C697" s="350"/>
      <c r="D697" s="351"/>
    </row>
    <row r="698" spans="1:4">
      <c r="A698" s="61" t="s">
        <v>2022</v>
      </c>
      <c r="B698" s="69"/>
      <c r="C698" s="360" t="s">
        <v>2023</v>
      </c>
      <c r="D698" s="351"/>
    </row>
    <row r="699" spans="1:4">
      <c r="A699" s="61" t="s">
        <v>2024</v>
      </c>
      <c r="B699" s="100" t="s">
        <v>2025</v>
      </c>
      <c r="C699" s="427" t="s">
        <v>2026</v>
      </c>
      <c r="D699" s="351"/>
    </row>
    <row r="700" spans="1:4">
      <c r="A700" s="61" t="s">
        <v>2027</v>
      </c>
      <c r="B700" s="97" t="s">
        <v>2028</v>
      </c>
      <c r="C700" s="360" t="s">
        <v>2029</v>
      </c>
      <c r="D700" s="351"/>
    </row>
    <row r="701" spans="1:4">
      <c r="A701" s="428" t="s">
        <v>2030</v>
      </c>
      <c r="B701" s="350"/>
      <c r="C701" s="350"/>
      <c r="D701" s="351"/>
    </row>
    <row r="702" spans="1:4">
      <c r="A702" s="68" t="s">
        <v>2031</v>
      </c>
      <c r="B702" s="64"/>
      <c r="C702" s="360" t="s">
        <v>2032</v>
      </c>
      <c r="D702" s="351"/>
    </row>
    <row r="703" spans="1:4">
      <c r="A703" s="68" t="s">
        <v>2033</v>
      </c>
      <c r="B703" s="97" t="s">
        <v>2034</v>
      </c>
      <c r="C703" s="429" t="s">
        <v>2035</v>
      </c>
      <c r="D703" s="351"/>
    </row>
    <row r="704" spans="1:4">
      <c r="A704" s="68" t="s">
        <v>2036</v>
      </c>
      <c r="B704" s="97" t="s">
        <v>2037</v>
      </c>
      <c r="C704" s="429" t="s">
        <v>2038</v>
      </c>
      <c r="D704" s="351"/>
    </row>
    <row r="705" spans="1:4">
      <c r="A705" s="68" t="s">
        <v>2039</v>
      </c>
      <c r="B705" s="97" t="s">
        <v>2040</v>
      </c>
      <c r="C705" s="429" t="s">
        <v>2041</v>
      </c>
      <c r="D705" s="351"/>
    </row>
    <row r="706" spans="1:4">
      <c r="A706" s="428" t="s">
        <v>2042</v>
      </c>
      <c r="B706" s="350"/>
      <c r="C706" s="350"/>
      <c r="D706" s="351"/>
    </row>
    <row r="707" spans="1:4">
      <c r="A707" s="68" t="s">
        <v>2043</v>
      </c>
      <c r="B707" s="65"/>
      <c r="C707" s="387" t="s">
        <v>2044</v>
      </c>
      <c r="D707" s="351"/>
    </row>
    <row r="708" spans="1:4">
      <c r="A708" s="68" t="s">
        <v>2045</v>
      </c>
      <c r="B708" s="62" t="s">
        <v>2025</v>
      </c>
      <c r="C708" s="387" t="s">
        <v>2046</v>
      </c>
      <c r="D708" s="351"/>
    </row>
    <row r="709" spans="1:4">
      <c r="A709" s="68" t="s">
        <v>2047</v>
      </c>
      <c r="B709" s="62" t="s">
        <v>2028</v>
      </c>
      <c r="C709" s="387" t="s">
        <v>2048</v>
      </c>
      <c r="D709" s="351"/>
    </row>
    <row r="710" spans="1:4">
      <c r="A710" s="430" t="s">
        <v>522</v>
      </c>
      <c r="B710" s="350"/>
      <c r="C710" s="350"/>
      <c r="D710" s="351"/>
    </row>
    <row r="711" spans="1:4">
      <c r="A711" s="386" t="s">
        <v>2049</v>
      </c>
      <c r="B711" s="350"/>
      <c r="C711" s="350"/>
      <c r="D711" s="351"/>
    </row>
    <row r="712" spans="1:4">
      <c r="A712" s="68" t="s">
        <v>2050</v>
      </c>
      <c r="B712" s="65" t="s">
        <v>2051</v>
      </c>
      <c r="C712" s="360" t="s">
        <v>2052</v>
      </c>
      <c r="D712" s="351"/>
    </row>
    <row r="713" spans="1:4">
      <c r="A713" s="68" t="s">
        <v>2053</v>
      </c>
      <c r="B713" s="65" t="s">
        <v>2054</v>
      </c>
      <c r="C713" s="360" t="s">
        <v>2055</v>
      </c>
      <c r="D713" s="351"/>
    </row>
    <row r="714" spans="1:4">
      <c r="A714" s="428" t="s">
        <v>2056</v>
      </c>
      <c r="B714" s="350"/>
      <c r="C714" s="350"/>
      <c r="D714" s="351"/>
    </row>
    <row r="715" spans="1:4">
      <c r="A715" s="68" t="s">
        <v>2057</v>
      </c>
      <c r="B715" s="64"/>
      <c r="C715" s="360" t="s">
        <v>2058</v>
      </c>
      <c r="D715" s="351"/>
    </row>
    <row r="716" spans="1:4">
      <c r="A716" s="68" t="s">
        <v>2059</v>
      </c>
      <c r="B716" s="97" t="s">
        <v>2060</v>
      </c>
      <c r="C716" s="429" t="s">
        <v>2061</v>
      </c>
      <c r="D716" s="351"/>
    </row>
    <row r="717" spans="1:4">
      <c r="A717" s="68" t="s">
        <v>2062</v>
      </c>
      <c r="B717" s="97" t="s">
        <v>2063</v>
      </c>
      <c r="C717" s="427" t="s">
        <v>2064</v>
      </c>
      <c r="D717" s="351"/>
    </row>
    <row r="718" spans="1:4">
      <c r="A718" s="68" t="s">
        <v>2065</v>
      </c>
      <c r="B718" s="101" t="s">
        <v>2066</v>
      </c>
      <c r="C718" s="427" t="s">
        <v>2067</v>
      </c>
      <c r="D718" s="351"/>
    </row>
    <row r="719" spans="1:4">
      <c r="A719" s="68" t="s">
        <v>2068</v>
      </c>
      <c r="B719" s="97" t="s">
        <v>2069</v>
      </c>
      <c r="C719" s="429" t="s">
        <v>2070</v>
      </c>
      <c r="D719" s="351"/>
    </row>
    <row r="720" spans="1:4">
      <c r="A720" s="68" t="s">
        <v>2071</v>
      </c>
      <c r="B720" s="97" t="s">
        <v>2072</v>
      </c>
      <c r="C720" s="427" t="s">
        <v>2073</v>
      </c>
      <c r="D720" s="351"/>
    </row>
    <row r="721" spans="1:4">
      <c r="A721" s="68" t="s">
        <v>2074</v>
      </c>
      <c r="B721" s="97" t="s">
        <v>2075</v>
      </c>
      <c r="C721" s="427" t="s">
        <v>2076</v>
      </c>
      <c r="D721" s="351"/>
    </row>
    <row r="722" spans="1:4">
      <c r="A722" s="68" t="s">
        <v>2077</v>
      </c>
      <c r="B722" s="97" t="s">
        <v>2078</v>
      </c>
      <c r="C722" s="427" t="s">
        <v>2079</v>
      </c>
      <c r="D722" s="351"/>
    </row>
    <row r="723" spans="1:4">
      <c r="A723" s="68" t="s">
        <v>2080</v>
      </c>
      <c r="B723" s="97" t="s">
        <v>2081</v>
      </c>
      <c r="C723" s="427" t="s">
        <v>2082</v>
      </c>
      <c r="D723" s="351"/>
    </row>
    <row r="724" spans="1:4">
      <c r="A724" s="68" t="s">
        <v>2083</v>
      </c>
      <c r="B724" s="69" t="s">
        <v>1895</v>
      </c>
      <c r="C724" s="389" t="s">
        <v>1954</v>
      </c>
      <c r="D724" s="351"/>
    </row>
    <row r="725" spans="1:4">
      <c r="A725" s="428" t="s">
        <v>2084</v>
      </c>
      <c r="B725" s="350"/>
      <c r="C725" s="350"/>
      <c r="D725" s="351"/>
    </row>
    <row r="726" spans="1:4">
      <c r="A726" s="68" t="s">
        <v>2085</v>
      </c>
      <c r="B726" s="64"/>
      <c r="C726" s="360" t="s">
        <v>2086</v>
      </c>
      <c r="D726" s="351"/>
    </row>
    <row r="727" spans="1:4">
      <c r="A727" s="68" t="s">
        <v>2087</v>
      </c>
      <c r="B727" s="97" t="s">
        <v>2060</v>
      </c>
      <c r="C727" s="429" t="s">
        <v>2061</v>
      </c>
      <c r="D727" s="351"/>
    </row>
    <row r="728" spans="1:4">
      <c r="A728" s="68" t="s">
        <v>2088</v>
      </c>
      <c r="B728" s="97" t="s">
        <v>2063</v>
      </c>
      <c r="C728" s="427" t="s">
        <v>2089</v>
      </c>
      <c r="D728" s="351"/>
    </row>
    <row r="729" spans="1:4">
      <c r="A729" s="68" t="s">
        <v>2090</v>
      </c>
      <c r="B729" s="101" t="s">
        <v>2066</v>
      </c>
      <c r="C729" s="427" t="s">
        <v>2091</v>
      </c>
      <c r="D729" s="351"/>
    </row>
    <row r="730" spans="1:4">
      <c r="A730" s="68" t="s">
        <v>2092</v>
      </c>
      <c r="B730" s="97" t="s">
        <v>2069</v>
      </c>
      <c r="C730" s="429" t="s">
        <v>2070</v>
      </c>
      <c r="D730" s="351"/>
    </row>
    <row r="731" spans="1:4">
      <c r="A731" s="68" t="s">
        <v>2093</v>
      </c>
      <c r="B731" s="97" t="s">
        <v>2072</v>
      </c>
      <c r="C731" s="427" t="s">
        <v>2094</v>
      </c>
      <c r="D731" s="351"/>
    </row>
    <row r="732" spans="1:4">
      <c r="A732" s="68" t="s">
        <v>2095</v>
      </c>
      <c r="B732" s="98" t="s">
        <v>2096</v>
      </c>
      <c r="C732" s="427" t="s">
        <v>2097</v>
      </c>
      <c r="D732" s="351"/>
    </row>
    <row r="733" spans="1:4">
      <c r="A733" s="68" t="s">
        <v>2098</v>
      </c>
      <c r="B733" s="97" t="s">
        <v>2081</v>
      </c>
      <c r="C733" s="427" t="s">
        <v>2099</v>
      </c>
      <c r="D733" s="351"/>
    </row>
    <row r="734" spans="1:4">
      <c r="A734" s="68" t="s">
        <v>2100</v>
      </c>
      <c r="B734" s="69" t="s">
        <v>1895</v>
      </c>
      <c r="C734" s="389" t="s">
        <v>1954</v>
      </c>
      <c r="D734" s="351"/>
    </row>
    <row r="735" spans="1:4">
      <c r="A735" s="449" t="s">
        <v>2101</v>
      </c>
      <c r="B735" s="350"/>
      <c r="C735" s="350"/>
      <c r="D735" s="351"/>
    </row>
    <row r="736" spans="1:4">
      <c r="A736" s="68" t="s">
        <v>2085</v>
      </c>
      <c r="B736" s="64"/>
      <c r="C736" s="387" t="s">
        <v>2102</v>
      </c>
      <c r="D736" s="351"/>
    </row>
    <row r="737" spans="1:4">
      <c r="A737" s="68" t="s">
        <v>2059</v>
      </c>
      <c r="B737" s="97" t="s">
        <v>2060</v>
      </c>
      <c r="C737" s="429" t="s">
        <v>2061</v>
      </c>
      <c r="D737" s="351"/>
    </row>
    <row r="738" spans="1:4">
      <c r="A738" s="68" t="s">
        <v>2088</v>
      </c>
      <c r="B738" s="102" t="s">
        <v>2066</v>
      </c>
      <c r="C738" s="427" t="s">
        <v>2103</v>
      </c>
      <c r="D738" s="351"/>
    </row>
    <row r="739" spans="1:4">
      <c r="A739" s="68" t="s">
        <v>2090</v>
      </c>
      <c r="B739" s="97" t="s">
        <v>2104</v>
      </c>
      <c r="C739" s="427" t="s">
        <v>2105</v>
      </c>
      <c r="D739" s="351"/>
    </row>
    <row r="740" spans="1:4">
      <c r="A740" s="68" t="s">
        <v>2092</v>
      </c>
      <c r="B740" s="97" t="s">
        <v>2081</v>
      </c>
      <c r="C740" s="427" t="s">
        <v>2106</v>
      </c>
      <c r="D740" s="351"/>
    </row>
    <row r="741" spans="1:4">
      <c r="A741" s="68" t="s">
        <v>2093</v>
      </c>
      <c r="B741" s="97" t="s">
        <v>2107</v>
      </c>
      <c r="C741" s="429" t="s">
        <v>2108</v>
      </c>
      <c r="D741" s="351"/>
    </row>
    <row r="742" spans="1:4">
      <c r="A742" s="68" t="s">
        <v>2095</v>
      </c>
      <c r="B742" s="62" t="s">
        <v>1895</v>
      </c>
      <c r="C742" s="392" t="s">
        <v>1954</v>
      </c>
      <c r="D742" s="351"/>
    </row>
    <row r="743" spans="1:4">
      <c r="A743" s="428" t="s">
        <v>2109</v>
      </c>
      <c r="B743" s="350"/>
      <c r="C743" s="350"/>
      <c r="D743" s="351"/>
    </row>
    <row r="744" spans="1:4">
      <c r="A744" s="68" t="s">
        <v>2110</v>
      </c>
      <c r="B744" s="64"/>
      <c r="C744" s="360" t="s">
        <v>2111</v>
      </c>
      <c r="D744" s="351"/>
    </row>
    <row r="745" spans="1:4">
      <c r="A745" s="68" t="s">
        <v>2112</v>
      </c>
      <c r="B745" s="97" t="s">
        <v>2060</v>
      </c>
      <c r="C745" s="429" t="s">
        <v>2113</v>
      </c>
      <c r="D745" s="351"/>
    </row>
    <row r="746" spans="1:4">
      <c r="A746" s="68" t="s">
        <v>2114</v>
      </c>
      <c r="B746" s="97" t="s">
        <v>2115</v>
      </c>
      <c r="C746" s="429" t="s">
        <v>2116</v>
      </c>
      <c r="D746" s="351"/>
    </row>
    <row r="747" spans="1:4">
      <c r="A747" s="68" t="s">
        <v>2117</v>
      </c>
      <c r="B747" s="97" t="s">
        <v>2118</v>
      </c>
      <c r="C747" s="429" t="s">
        <v>2119</v>
      </c>
      <c r="D747" s="351"/>
    </row>
    <row r="748" spans="1:4">
      <c r="A748" s="68" t="s">
        <v>2120</v>
      </c>
      <c r="B748" s="102" t="s">
        <v>2066</v>
      </c>
      <c r="C748" s="427" t="s">
        <v>2121</v>
      </c>
      <c r="D748" s="351"/>
    </row>
    <row r="749" spans="1:4">
      <c r="A749" s="68" t="s">
        <v>2122</v>
      </c>
      <c r="B749" s="97" t="s">
        <v>2072</v>
      </c>
      <c r="C749" s="427" t="s">
        <v>2123</v>
      </c>
      <c r="D749" s="351"/>
    </row>
    <row r="750" spans="1:4">
      <c r="A750" s="68" t="s">
        <v>2124</v>
      </c>
      <c r="B750" s="97" t="s">
        <v>2104</v>
      </c>
      <c r="C750" s="427" t="s">
        <v>2105</v>
      </c>
      <c r="D750" s="351"/>
    </row>
    <row r="751" spans="1:4">
      <c r="A751" s="68" t="s">
        <v>2125</v>
      </c>
      <c r="B751" s="97" t="s">
        <v>2081</v>
      </c>
      <c r="C751" s="427" t="s">
        <v>2126</v>
      </c>
      <c r="D751" s="351"/>
    </row>
    <row r="752" spans="1:4">
      <c r="A752" s="68" t="s">
        <v>2127</v>
      </c>
      <c r="B752" s="62" t="s">
        <v>1895</v>
      </c>
      <c r="C752" s="392" t="s">
        <v>1954</v>
      </c>
      <c r="D752" s="351"/>
    </row>
    <row r="753" spans="1:4">
      <c r="A753" s="428" t="s">
        <v>2128</v>
      </c>
      <c r="B753" s="350"/>
      <c r="C753" s="350"/>
      <c r="D753" s="351"/>
    </row>
    <row r="754" spans="1:4">
      <c r="A754" s="68" t="s">
        <v>2129</v>
      </c>
      <c r="B754" s="103"/>
      <c r="C754" s="360" t="s">
        <v>2130</v>
      </c>
      <c r="D754" s="351"/>
    </row>
    <row r="755" spans="1:4">
      <c r="A755" s="68" t="s">
        <v>2131</v>
      </c>
      <c r="B755" s="97" t="s">
        <v>2132</v>
      </c>
      <c r="C755" s="429" t="s">
        <v>2133</v>
      </c>
      <c r="D755" s="351"/>
    </row>
    <row r="756" spans="1:4">
      <c r="A756" s="428" t="s">
        <v>2134</v>
      </c>
      <c r="B756" s="350"/>
      <c r="C756" s="350"/>
      <c r="D756" s="351"/>
    </row>
    <row r="757" spans="1:4">
      <c r="A757" s="68" t="s">
        <v>2135</v>
      </c>
      <c r="B757" s="103"/>
      <c r="C757" s="360" t="s">
        <v>2136</v>
      </c>
      <c r="D757" s="351"/>
    </row>
    <row r="758" spans="1:4">
      <c r="A758" s="386" t="s">
        <v>2137</v>
      </c>
      <c r="B758" s="350"/>
      <c r="C758" s="350"/>
      <c r="D758" s="351"/>
    </row>
    <row r="759" spans="1:4">
      <c r="A759" s="68" t="s">
        <v>2138</v>
      </c>
      <c r="B759" s="65" t="s">
        <v>2139</v>
      </c>
      <c r="C759" s="360" t="s">
        <v>2140</v>
      </c>
      <c r="D759" s="351"/>
    </row>
    <row r="760" spans="1:4">
      <c r="A760" s="390" t="s">
        <v>2141</v>
      </c>
      <c r="B760" s="350"/>
      <c r="C760" s="350"/>
      <c r="D760" s="351"/>
    </row>
    <row r="761" spans="1:4">
      <c r="A761" s="68" t="s">
        <v>2142</v>
      </c>
      <c r="B761" s="65" t="s">
        <v>2143</v>
      </c>
      <c r="C761" s="387" t="s">
        <v>2144</v>
      </c>
      <c r="D761" s="351"/>
    </row>
    <row r="762" spans="1:4">
      <c r="A762" s="68" t="s">
        <v>2145</v>
      </c>
      <c r="B762" s="62" t="s">
        <v>2146</v>
      </c>
      <c r="C762" s="387" t="s">
        <v>2147</v>
      </c>
      <c r="D762" s="351"/>
    </row>
    <row r="763" spans="1:4">
      <c r="A763" s="68" t="s">
        <v>2148</v>
      </c>
      <c r="B763" s="62" t="s">
        <v>2149</v>
      </c>
      <c r="C763" s="396" t="s">
        <v>2150</v>
      </c>
      <c r="D763" s="351"/>
    </row>
    <row r="764" spans="1:4">
      <c r="A764" s="68" t="s">
        <v>2151</v>
      </c>
      <c r="B764" s="62" t="s">
        <v>2152</v>
      </c>
      <c r="C764" s="431" t="s">
        <v>2153</v>
      </c>
      <c r="D764" s="351"/>
    </row>
    <row r="765" spans="1:4">
      <c r="A765" s="68" t="s">
        <v>2154</v>
      </c>
      <c r="B765" s="62" t="s">
        <v>2155</v>
      </c>
      <c r="C765" s="431" t="s">
        <v>2156</v>
      </c>
      <c r="D765" s="351"/>
    </row>
    <row r="766" spans="1:4">
      <c r="A766" s="68" t="s">
        <v>2157</v>
      </c>
      <c r="B766" s="69" t="s">
        <v>2158</v>
      </c>
      <c r="C766" s="360" t="s">
        <v>2159</v>
      </c>
      <c r="D766" s="351"/>
    </row>
    <row r="767" spans="1:4">
      <c r="A767" s="68" t="s">
        <v>2160</v>
      </c>
      <c r="B767" s="64" t="s">
        <v>2161</v>
      </c>
      <c r="C767" s="432" t="s">
        <v>2162</v>
      </c>
      <c r="D767" s="351"/>
    </row>
    <row r="768" spans="1:4">
      <c r="A768" s="68" t="s">
        <v>2163</v>
      </c>
      <c r="B768" s="64" t="s">
        <v>2164</v>
      </c>
      <c r="C768" s="432" t="s">
        <v>2165</v>
      </c>
      <c r="D768" s="351"/>
    </row>
    <row r="769" spans="1:4">
      <c r="A769" s="68" t="s">
        <v>2166</v>
      </c>
      <c r="B769" s="64" t="s">
        <v>2167</v>
      </c>
      <c r="C769" s="432" t="s">
        <v>2168</v>
      </c>
      <c r="D769" s="351"/>
    </row>
    <row r="770" spans="1:4">
      <c r="A770" s="390" t="s">
        <v>2169</v>
      </c>
      <c r="B770" s="350"/>
      <c r="C770" s="350"/>
      <c r="D770" s="351"/>
    </row>
    <row r="771" spans="1:4">
      <c r="A771" s="68" t="s">
        <v>2170</v>
      </c>
      <c r="B771" s="104"/>
      <c r="C771" s="387" t="s">
        <v>2171</v>
      </c>
      <c r="D771" s="351"/>
    </row>
    <row r="772" spans="1:4">
      <c r="A772" s="68" t="s">
        <v>2172</v>
      </c>
      <c r="B772" s="104"/>
      <c r="C772" s="387" t="s">
        <v>2173</v>
      </c>
      <c r="D772" s="351"/>
    </row>
    <row r="773" spans="1:4">
      <c r="A773" s="68" t="s">
        <v>2174</v>
      </c>
      <c r="B773" s="62" t="s">
        <v>2146</v>
      </c>
      <c r="C773" s="387" t="s">
        <v>2175</v>
      </c>
      <c r="D773" s="351"/>
    </row>
    <row r="774" spans="1:4">
      <c r="A774" s="68" t="s">
        <v>2176</v>
      </c>
      <c r="B774" s="62" t="s">
        <v>2158</v>
      </c>
      <c r="C774" s="360" t="s">
        <v>2177</v>
      </c>
      <c r="D774" s="351"/>
    </row>
    <row r="775" spans="1:4">
      <c r="A775" s="68" t="s">
        <v>2178</v>
      </c>
      <c r="B775" s="62" t="s">
        <v>2179</v>
      </c>
      <c r="C775" s="431" t="s">
        <v>2180</v>
      </c>
      <c r="D775" s="351"/>
    </row>
    <row r="776" spans="1:4">
      <c r="A776" s="68" t="s">
        <v>2181</v>
      </c>
      <c r="B776" s="64" t="s">
        <v>2182</v>
      </c>
      <c r="C776" s="432" t="s">
        <v>2183</v>
      </c>
      <c r="D776" s="351"/>
    </row>
    <row r="777" spans="1:4">
      <c r="A777" s="390" t="s">
        <v>2184</v>
      </c>
      <c r="B777" s="350"/>
      <c r="C777" s="350"/>
      <c r="D777" s="351"/>
    </row>
    <row r="778" spans="1:4">
      <c r="A778" s="68" t="s">
        <v>2185</v>
      </c>
      <c r="B778" s="65"/>
      <c r="C778" s="387" t="s">
        <v>2186</v>
      </c>
      <c r="D778" s="351"/>
    </row>
    <row r="779" spans="1:4">
      <c r="A779" s="390" t="s">
        <v>2187</v>
      </c>
      <c r="B779" s="350"/>
      <c r="C779" s="350"/>
      <c r="D779" s="351"/>
    </row>
    <row r="780" spans="1:4">
      <c r="A780" s="68" t="s">
        <v>2188</v>
      </c>
      <c r="B780" s="65"/>
      <c r="C780" s="387" t="s">
        <v>2189</v>
      </c>
      <c r="D780" s="351"/>
    </row>
    <row r="781" spans="1:4">
      <c r="A781" s="68" t="s">
        <v>2190</v>
      </c>
      <c r="B781" s="62" t="s">
        <v>2146</v>
      </c>
      <c r="C781" s="387" t="s">
        <v>2175</v>
      </c>
      <c r="D781" s="351"/>
    </row>
    <row r="782" spans="1:4">
      <c r="A782" s="68" t="s">
        <v>2191</v>
      </c>
      <c r="B782" s="62" t="s">
        <v>2158</v>
      </c>
      <c r="C782" s="360" t="s">
        <v>2192</v>
      </c>
      <c r="D782" s="351"/>
    </row>
    <row r="783" spans="1:4">
      <c r="A783" s="68" t="s">
        <v>2193</v>
      </c>
      <c r="B783" s="64" t="s">
        <v>2194</v>
      </c>
      <c r="C783" s="432" t="s">
        <v>2195</v>
      </c>
      <c r="D783" s="351"/>
    </row>
    <row r="784" spans="1:4">
      <c r="A784" s="390" t="s">
        <v>2196</v>
      </c>
      <c r="B784" s="350"/>
      <c r="C784" s="350"/>
      <c r="D784" s="351"/>
    </row>
    <row r="785" spans="1:4">
      <c r="A785" s="68" t="s">
        <v>2197</v>
      </c>
      <c r="B785" s="64"/>
      <c r="C785" s="387" t="s">
        <v>2198</v>
      </c>
      <c r="D785" s="351"/>
    </row>
    <row r="786" spans="1:4">
      <c r="A786" s="68" t="s">
        <v>2199</v>
      </c>
      <c r="B786" s="62" t="s">
        <v>2200</v>
      </c>
      <c r="C786" s="387" t="s">
        <v>2201</v>
      </c>
      <c r="D786" s="351"/>
    </row>
    <row r="787" spans="1:4">
      <c r="A787" s="68" t="s">
        <v>2202</v>
      </c>
      <c r="B787" s="62" t="s">
        <v>2146</v>
      </c>
      <c r="C787" s="387" t="s">
        <v>2203</v>
      </c>
      <c r="D787" s="351"/>
    </row>
    <row r="788" spans="1:4">
      <c r="A788" s="68" t="s">
        <v>2204</v>
      </c>
      <c r="B788" s="62" t="s">
        <v>2158</v>
      </c>
      <c r="C788" s="360" t="s">
        <v>2205</v>
      </c>
      <c r="D788" s="351"/>
    </row>
    <row r="789" spans="1:4">
      <c r="A789" s="68" t="s">
        <v>2206</v>
      </c>
      <c r="B789" s="62" t="s">
        <v>2158</v>
      </c>
      <c r="C789" s="450" t="s">
        <v>2207</v>
      </c>
      <c r="D789" s="351"/>
    </row>
    <row r="790" spans="1:4">
      <c r="A790" s="68" t="s">
        <v>2208</v>
      </c>
      <c r="B790" s="64" t="s">
        <v>2209</v>
      </c>
      <c r="C790" s="432" t="s">
        <v>2210</v>
      </c>
      <c r="D790" s="351"/>
    </row>
    <row r="791" spans="1:4">
      <c r="A791" s="386" t="s">
        <v>2211</v>
      </c>
      <c r="B791" s="350"/>
      <c r="C791" s="350"/>
      <c r="D791" s="351"/>
    </row>
    <row r="792" spans="1:4">
      <c r="A792" s="68" t="s">
        <v>2212</v>
      </c>
      <c r="B792" s="65" t="s">
        <v>2213</v>
      </c>
      <c r="C792" s="360" t="s">
        <v>2214</v>
      </c>
      <c r="D792" s="351"/>
    </row>
    <row r="793" spans="1:4">
      <c r="A793" s="390" t="s">
        <v>2215</v>
      </c>
      <c r="B793" s="350"/>
      <c r="C793" s="350"/>
      <c r="D793" s="351"/>
    </row>
    <row r="794" spans="1:4">
      <c r="A794" s="68" t="s">
        <v>2216</v>
      </c>
      <c r="B794" s="65"/>
      <c r="C794" s="387" t="s">
        <v>2217</v>
      </c>
      <c r="D794" s="351"/>
    </row>
    <row r="795" spans="1:4">
      <c r="A795" s="68" t="s">
        <v>2218</v>
      </c>
      <c r="B795" s="62" t="s">
        <v>2219</v>
      </c>
      <c r="C795" s="447" t="s">
        <v>2220</v>
      </c>
      <c r="D795" s="351"/>
    </row>
    <row r="796" spans="1:4">
      <c r="A796" s="68" t="s">
        <v>2221</v>
      </c>
      <c r="B796" s="62" t="s">
        <v>2222</v>
      </c>
      <c r="C796" s="447" t="s">
        <v>2223</v>
      </c>
      <c r="D796" s="351"/>
    </row>
    <row r="797" spans="1:4">
      <c r="A797" s="68" t="s">
        <v>2224</v>
      </c>
      <c r="B797" s="62" t="s">
        <v>2225</v>
      </c>
      <c r="C797" s="446" t="s">
        <v>2226</v>
      </c>
      <c r="D797" s="351"/>
    </row>
    <row r="798" spans="1:4">
      <c r="A798" s="68" t="s">
        <v>2227</v>
      </c>
      <c r="B798" s="62" t="s">
        <v>2225</v>
      </c>
      <c r="C798" s="446" t="s">
        <v>2228</v>
      </c>
      <c r="D798" s="351"/>
    </row>
    <row r="799" spans="1:4">
      <c r="A799" s="68" t="s">
        <v>2229</v>
      </c>
      <c r="B799" s="64" t="s">
        <v>2230</v>
      </c>
      <c r="C799" s="360" t="s">
        <v>2231</v>
      </c>
      <c r="D799" s="351"/>
    </row>
    <row r="800" spans="1:4">
      <c r="A800" s="390" t="s">
        <v>2232</v>
      </c>
      <c r="B800" s="350"/>
      <c r="C800" s="350"/>
      <c r="D800" s="351"/>
    </row>
    <row r="801" spans="1:4">
      <c r="A801" s="68" t="s">
        <v>2233</v>
      </c>
      <c r="B801" s="64"/>
      <c r="C801" s="387" t="s">
        <v>2234</v>
      </c>
      <c r="D801" s="351"/>
    </row>
    <row r="802" spans="1:4">
      <c r="A802" s="68" t="s">
        <v>2235</v>
      </c>
      <c r="B802" s="65" t="s">
        <v>2219</v>
      </c>
      <c r="C802" s="432" t="s">
        <v>2220</v>
      </c>
      <c r="D802" s="351"/>
    </row>
    <row r="803" spans="1:4">
      <c r="A803" s="68" t="s">
        <v>2236</v>
      </c>
      <c r="B803" s="65" t="s">
        <v>2222</v>
      </c>
      <c r="C803" s="432" t="s">
        <v>2237</v>
      </c>
      <c r="D803" s="351"/>
    </row>
    <row r="804" spans="1:4">
      <c r="A804" s="68" t="s">
        <v>2238</v>
      </c>
      <c r="B804" s="65" t="s">
        <v>2225</v>
      </c>
      <c r="C804" s="432" t="s">
        <v>2239</v>
      </c>
      <c r="D804" s="351"/>
    </row>
    <row r="805" spans="1:4">
      <c r="A805" s="68" t="s">
        <v>2240</v>
      </c>
      <c r="B805" s="65" t="s">
        <v>2225</v>
      </c>
      <c r="C805" s="432" t="s">
        <v>2241</v>
      </c>
      <c r="D805" s="351"/>
    </row>
    <row r="806" spans="1:4">
      <c r="A806" s="68" t="s">
        <v>2242</v>
      </c>
      <c r="B806" s="65" t="s">
        <v>2243</v>
      </c>
      <c r="C806" s="360" t="s">
        <v>2244</v>
      </c>
      <c r="D806" s="351"/>
    </row>
    <row r="807" spans="1:4">
      <c r="A807" s="386" t="s">
        <v>2245</v>
      </c>
      <c r="B807" s="350"/>
      <c r="C807" s="350"/>
      <c r="D807" s="351"/>
    </row>
    <row r="808" spans="1:4">
      <c r="A808" s="68" t="s">
        <v>2246</v>
      </c>
      <c r="B808" s="65" t="s">
        <v>2247</v>
      </c>
      <c r="C808" s="360" t="s">
        <v>2248</v>
      </c>
      <c r="D808" s="351"/>
    </row>
    <row r="809" spans="1:4">
      <c r="A809" s="390" t="s">
        <v>2249</v>
      </c>
      <c r="B809" s="350"/>
      <c r="C809" s="350"/>
      <c r="D809" s="351"/>
    </row>
    <row r="810" spans="1:4">
      <c r="A810" s="68" t="s">
        <v>2250</v>
      </c>
      <c r="B810" s="65" t="s">
        <v>2251</v>
      </c>
      <c r="C810" s="451" t="s">
        <v>2252</v>
      </c>
      <c r="D810" s="351"/>
    </row>
    <row r="811" spans="1:4">
      <c r="A811" s="68" t="s">
        <v>2253</v>
      </c>
      <c r="B811" s="64" t="s">
        <v>2254</v>
      </c>
      <c r="C811" s="387" t="s">
        <v>2255</v>
      </c>
      <c r="D811" s="351"/>
    </row>
    <row r="812" spans="1:4">
      <c r="A812" s="452" t="s">
        <v>2256</v>
      </c>
      <c r="B812" s="350"/>
      <c r="C812" s="350"/>
      <c r="D812" s="351"/>
    </row>
    <row r="813" spans="1:4">
      <c r="A813" s="68" t="s">
        <v>2257</v>
      </c>
      <c r="B813" s="63" t="s">
        <v>2258</v>
      </c>
      <c r="C813" s="360" t="s">
        <v>2259</v>
      </c>
      <c r="D813" s="351"/>
    </row>
    <row r="814" spans="1:4">
      <c r="A814" s="68" t="s">
        <v>2260</v>
      </c>
      <c r="B814" s="63" t="s">
        <v>2261</v>
      </c>
      <c r="C814" s="360" t="s">
        <v>2259</v>
      </c>
      <c r="D814" s="351"/>
    </row>
    <row r="815" spans="1:4">
      <c r="A815" s="386" t="s">
        <v>2262</v>
      </c>
      <c r="B815" s="350"/>
      <c r="C815" s="350"/>
      <c r="D815" s="351"/>
    </row>
    <row r="816" spans="1:4">
      <c r="A816" s="68" t="s">
        <v>2263</v>
      </c>
      <c r="B816" s="65" t="s">
        <v>2264</v>
      </c>
      <c r="C816" s="360" t="s">
        <v>2265</v>
      </c>
      <c r="D816" s="351"/>
    </row>
    <row r="817" spans="1:4">
      <c r="A817" s="68" t="s">
        <v>2266</v>
      </c>
      <c r="B817" s="62" t="s">
        <v>2267</v>
      </c>
      <c r="C817" s="387" t="s">
        <v>2268</v>
      </c>
      <c r="D817" s="351"/>
    </row>
    <row r="818" spans="1:4">
      <c r="A818" s="68" t="s">
        <v>2269</v>
      </c>
      <c r="B818" s="62" t="s">
        <v>2270</v>
      </c>
      <c r="C818" s="360" t="s">
        <v>2271</v>
      </c>
      <c r="D818" s="351"/>
    </row>
    <row r="819" spans="1:4">
      <c r="A819" s="386" t="s">
        <v>2272</v>
      </c>
      <c r="B819" s="350"/>
      <c r="C819" s="350"/>
      <c r="D819" s="351"/>
    </row>
    <row r="820" spans="1:4">
      <c r="A820" s="68" t="s">
        <v>2273</v>
      </c>
      <c r="B820" s="64"/>
      <c r="C820" s="360" t="s">
        <v>2274</v>
      </c>
      <c r="D820" s="351"/>
    </row>
    <row r="821" spans="1:4">
      <c r="A821" s="68" t="s">
        <v>2275</v>
      </c>
      <c r="B821" s="62" t="s">
        <v>2276</v>
      </c>
      <c r="C821" s="360" t="s">
        <v>2277</v>
      </c>
      <c r="D821" s="351"/>
    </row>
    <row r="822" spans="1:4">
      <c r="A822" s="68" t="s">
        <v>2278</v>
      </c>
      <c r="B822" s="62" t="s">
        <v>2279</v>
      </c>
      <c r="C822" s="360" t="s">
        <v>2280</v>
      </c>
      <c r="D822" s="351"/>
    </row>
    <row r="823" spans="1:4">
      <c r="A823" s="68" t="s">
        <v>2281</v>
      </c>
      <c r="B823" s="62" t="s">
        <v>2282</v>
      </c>
      <c r="C823" s="360" t="s">
        <v>2283</v>
      </c>
      <c r="D823" s="351"/>
    </row>
    <row r="824" spans="1:4">
      <c r="A824" s="434" t="s">
        <v>526</v>
      </c>
      <c r="B824" s="350"/>
      <c r="C824" s="350"/>
      <c r="D824" s="351"/>
    </row>
    <row r="825" spans="1:4">
      <c r="A825" s="384" t="s">
        <v>2284</v>
      </c>
      <c r="B825" s="350"/>
      <c r="C825" s="350"/>
      <c r="D825" s="351"/>
    </row>
    <row r="826" spans="1:4">
      <c r="A826" s="374" t="s">
        <v>2285</v>
      </c>
      <c r="B826" s="350"/>
      <c r="C826" s="350"/>
      <c r="D826" s="351"/>
    </row>
    <row r="827" spans="1:4">
      <c r="A827" s="68" t="s">
        <v>2286</v>
      </c>
      <c r="B827" s="63" t="s">
        <v>2287</v>
      </c>
      <c r="C827" s="360" t="s">
        <v>2288</v>
      </c>
      <c r="D827" s="351"/>
    </row>
    <row r="828" spans="1:4">
      <c r="A828" s="68" t="s">
        <v>2289</v>
      </c>
      <c r="B828" s="63" t="s">
        <v>2290</v>
      </c>
      <c r="C828" s="360" t="s">
        <v>2291</v>
      </c>
      <c r="D828" s="351"/>
    </row>
    <row r="829" spans="1:4">
      <c r="A829" s="68" t="s">
        <v>2292</v>
      </c>
      <c r="B829" s="63" t="s">
        <v>2293</v>
      </c>
      <c r="C829" s="360" t="s">
        <v>2294</v>
      </c>
      <c r="D829" s="351"/>
    </row>
    <row r="830" spans="1:4">
      <c r="A830" s="68" t="s">
        <v>2295</v>
      </c>
      <c r="B830" s="63" t="s">
        <v>2296</v>
      </c>
      <c r="C830" s="360" t="s">
        <v>2297</v>
      </c>
      <c r="D830" s="351"/>
    </row>
    <row r="831" spans="1:4">
      <c r="A831" s="68" t="s">
        <v>2298</v>
      </c>
      <c r="B831" s="63" t="s">
        <v>2299</v>
      </c>
      <c r="C831" s="360" t="s">
        <v>2300</v>
      </c>
      <c r="D831" s="351"/>
    </row>
    <row r="832" spans="1:4">
      <c r="A832" s="68" t="s">
        <v>2301</v>
      </c>
      <c r="B832" s="79" t="s">
        <v>2302</v>
      </c>
      <c r="C832" s="360" t="s">
        <v>2303</v>
      </c>
      <c r="D832" s="351"/>
    </row>
    <row r="833" spans="1:4">
      <c r="A833" s="68" t="s">
        <v>2304</v>
      </c>
      <c r="B833" s="63" t="s">
        <v>2305</v>
      </c>
      <c r="C833" s="360" t="s">
        <v>2306</v>
      </c>
      <c r="D833" s="351"/>
    </row>
    <row r="834" spans="1:4">
      <c r="A834" s="68" t="s">
        <v>2307</v>
      </c>
      <c r="B834" s="63" t="s">
        <v>2308</v>
      </c>
      <c r="C834" s="360" t="s">
        <v>2309</v>
      </c>
      <c r="D834" s="351"/>
    </row>
    <row r="835" spans="1:4">
      <c r="A835" s="68" t="s">
        <v>2310</v>
      </c>
      <c r="B835" s="63" t="s">
        <v>2311</v>
      </c>
      <c r="C835" s="360" t="s">
        <v>2312</v>
      </c>
      <c r="D835" s="351"/>
    </row>
    <row r="836" spans="1:4">
      <c r="A836" s="68" t="s">
        <v>2313</v>
      </c>
      <c r="B836" s="105" t="s">
        <v>2314</v>
      </c>
      <c r="C836" s="360" t="s">
        <v>2315</v>
      </c>
      <c r="D836" s="351"/>
    </row>
    <row r="837" spans="1:4">
      <c r="A837" s="386" t="s">
        <v>2316</v>
      </c>
      <c r="B837" s="350"/>
      <c r="C837" s="350"/>
      <c r="D837" s="351"/>
    </row>
    <row r="838" spans="1:4">
      <c r="A838" s="435" t="s">
        <v>2317</v>
      </c>
      <c r="B838" s="350"/>
      <c r="C838" s="350"/>
      <c r="D838" s="351"/>
    </row>
    <row r="839" spans="1:4">
      <c r="A839" s="68" t="s">
        <v>2318</v>
      </c>
      <c r="B839" s="106" t="s">
        <v>2319</v>
      </c>
      <c r="C839" s="360" t="s">
        <v>2320</v>
      </c>
      <c r="D839" s="351"/>
    </row>
    <row r="840" spans="1:4">
      <c r="A840" s="384" t="s">
        <v>2321</v>
      </c>
      <c r="B840" s="350"/>
      <c r="C840" s="350"/>
      <c r="D840" s="351"/>
    </row>
    <row r="841" spans="1:4">
      <c r="A841" s="436" t="s">
        <v>2322</v>
      </c>
      <c r="B841" s="350"/>
      <c r="C841" s="350"/>
      <c r="D841" s="351"/>
    </row>
    <row r="842" spans="1:4">
      <c r="A842" s="68" t="s">
        <v>2323</v>
      </c>
      <c r="B842" s="107" t="s">
        <v>2324</v>
      </c>
      <c r="C842" s="360" t="s">
        <v>2325</v>
      </c>
      <c r="D842" s="351"/>
    </row>
    <row r="843" spans="1:4">
      <c r="A843" s="435" t="s">
        <v>2326</v>
      </c>
      <c r="B843" s="350"/>
      <c r="C843" s="350"/>
      <c r="D843" s="351"/>
    </row>
    <row r="844" spans="1:4">
      <c r="A844" s="68" t="s">
        <v>2327</v>
      </c>
      <c r="B844" s="107" t="s">
        <v>2328</v>
      </c>
      <c r="C844" s="360" t="s">
        <v>2329</v>
      </c>
      <c r="D844" s="351"/>
    </row>
    <row r="845" spans="1:4">
      <c r="A845" s="384" t="s">
        <v>2330</v>
      </c>
      <c r="B845" s="350"/>
      <c r="C845" s="350"/>
      <c r="D845" s="351"/>
    </row>
    <row r="846" spans="1:4">
      <c r="A846" s="435" t="s">
        <v>2331</v>
      </c>
      <c r="B846" s="350"/>
      <c r="C846" s="350"/>
      <c r="D846" s="351"/>
    </row>
    <row r="847" spans="1:4">
      <c r="A847" s="68" t="s">
        <v>446</v>
      </c>
      <c r="B847" s="108" t="s">
        <v>2332</v>
      </c>
      <c r="C847" s="360" t="s">
        <v>2333</v>
      </c>
      <c r="D847" s="351"/>
    </row>
    <row r="848" spans="1:4">
      <c r="A848" s="384" t="s">
        <v>2334</v>
      </c>
      <c r="B848" s="350"/>
      <c r="C848" s="350"/>
      <c r="D848" s="351"/>
    </row>
    <row r="849" spans="1:4">
      <c r="A849" s="435" t="s">
        <v>2335</v>
      </c>
      <c r="B849" s="350"/>
      <c r="C849" s="350"/>
      <c r="D849" s="351"/>
    </row>
    <row r="850" spans="1:4">
      <c r="A850" s="68" t="s">
        <v>2336</v>
      </c>
      <c r="B850" s="107" t="s">
        <v>2337</v>
      </c>
      <c r="C850" s="360" t="s">
        <v>2338</v>
      </c>
      <c r="D850" s="351"/>
    </row>
    <row r="851" spans="1:4">
      <c r="A851" s="384" t="s">
        <v>2339</v>
      </c>
      <c r="B851" s="350"/>
      <c r="C851" s="350"/>
      <c r="D851" s="351"/>
    </row>
    <row r="852" spans="1:4">
      <c r="A852" s="437" t="s">
        <v>2340</v>
      </c>
      <c r="B852" s="350"/>
      <c r="C852" s="350"/>
      <c r="D852" s="351"/>
    </row>
    <row r="853" spans="1:4">
      <c r="A853" s="68" t="s">
        <v>2341</v>
      </c>
      <c r="B853" s="106" t="s">
        <v>2342</v>
      </c>
      <c r="C853" s="360" t="s">
        <v>2343</v>
      </c>
      <c r="D853" s="351"/>
    </row>
    <row r="854" spans="1:4">
      <c r="A854" s="384" t="s">
        <v>2344</v>
      </c>
      <c r="B854" s="350"/>
      <c r="C854" s="350"/>
      <c r="D854" s="351"/>
    </row>
    <row r="855" spans="1:4">
      <c r="A855" s="437" t="s">
        <v>2345</v>
      </c>
      <c r="B855" s="350"/>
      <c r="C855" s="350"/>
      <c r="D855" s="351"/>
    </row>
    <row r="856" spans="1:4">
      <c r="A856" s="68" t="s">
        <v>2346</v>
      </c>
      <c r="B856" s="106" t="s">
        <v>2347</v>
      </c>
      <c r="C856" s="360" t="s">
        <v>2348</v>
      </c>
      <c r="D856" s="351"/>
    </row>
    <row r="857" spans="1:4">
      <c r="A857" s="433" t="s">
        <v>2349</v>
      </c>
      <c r="B857" s="350"/>
      <c r="C857" s="350"/>
      <c r="D857" s="351"/>
    </row>
    <row r="858" spans="1:4">
      <c r="A858" s="438" t="s">
        <v>2350</v>
      </c>
      <c r="B858" s="350"/>
      <c r="C858" s="350"/>
      <c r="D858" s="351"/>
    </row>
    <row r="859" spans="1:4">
      <c r="A859" s="438" t="s">
        <v>2351</v>
      </c>
      <c r="B859" s="350"/>
      <c r="C859" s="350"/>
      <c r="D859" s="351"/>
    </row>
    <row r="860" spans="1:4">
      <c r="A860" s="68" t="s">
        <v>2352</v>
      </c>
      <c r="B860" s="65"/>
      <c r="C860" s="360" t="s">
        <v>2353</v>
      </c>
      <c r="D860" s="351"/>
    </row>
    <row r="861" spans="1:4">
      <c r="A861" s="68" t="s">
        <v>2354</v>
      </c>
      <c r="B861" s="64" t="s">
        <v>2355</v>
      </c>
      <c r="C861" s="387" t="s">
        <v>2356</v>
      </c>
      <c r="D861" s="351"/>
    </row>
    <row r="862" spans="1:4">
      <c r="A862" s="68" t="s">
        <v>2357</v>
      </c>
      <c r="B862" s="64" t="s">
        <v>2358</v>
      </c>
      <c r="C862" s="387" t="s">
        <v>2359</v>
      </c>
      <c r="D862" s="351"/>
    </row>
    <row r="863" spans="1:4">
      <c r="A863" s="433" t="s">
        <v>2360</v>
      </c>
      <c r="B863" s="350"/>
      <c r="C863" s="350"/>
      <c r="D863" s="351"/>
    </row>
    <row r="864" spans="1:4">
      <c r="A864" s="433" t="s">
        <v>2361</v>
      </c>
      <c r="B864" s="350"/>
      <c r="C864" s="350"/>
      <c r="D864" s="351"/>
    </row>
    <row r="865" spans="1:4">
      <c r="A865" s="68" t="s">
        <v>2362</v>
      </c>
      <c r="B865" s="64"/>
      <c r="C865" s="360" t="s">
        <v>2363</v>
      </c>
      <c r="D865" s="351"/>
    </row>
    <row r="866" spans="1:4">
      <c r="A866" s="386" t="s">
        <v>2364</v>
      </c>
      <c r="B866" s="350"/>
      <c r="C866" s="350"/>
      <c r="D866" s="351"/>
    </row>
    <row r="867" spans="1:4">
      <c r="A867" s="68" t="s">
        <v>2365</v>
      </c>
      <c r="B867" s="64" t="s">
        <v>903</v>
      </c>
      <c r="C867" s="360" t="s">
        <v>2366</v>
      </c>
      <c r="D867" s="351"/>
    </row>
    <row r="868" spans="1:4">
      <c r="A868" s="386" t="s">
        <v>2367</v>
      </c>
      <c r="B868" s="350"/>
      <c r="C868" s="350"/>
      <c r="D868" s="351"/>
    </row>
    <row r="869" spans="1:4">
      <c r="A869" s="386" t="s">
        <v>2368</v>
      </c>
      <c r="B869" s="350"/>
      <c r="C869" s="350"/>
      <c r="D869" s="351"/>
    </row>
    <row r="870" spans="1:4">
      <c r="A870" s="68" t="s">
        <v>2369</v>
      </c>
      <c r="B870" s="64" t="s">
        <v>2264</v>
      </c>
      <c r="C870" s="387" t="s">
        <v>2370</v>
      </c>
      <c r="D870" s="351"/>
    </row>
    <row r="871" spans="1:4">
      <c r="A871" s="386" t="s">
        <v>2371</v>
      </c>
      <c r="B871" s="350"/>
      <c r="C871" s="350"/>
      <c r="D871" s="351"/>
    </row>
    <row r="872" spans="1:4">
      <c r="A872" s="68" t="s">
        <v>2372</v>
      </c>
      <c r="B872" s="64" t="s">
        <v>1846</v>
      </c>
      <c r="C872" s="387" t="s">
        <v>2373</v>
      </c>
      <c r="D872" s="351"/>
    </row>
    <row r="873" spans="1:4">
      <c r="A873" s="386" t="s">
        <v>2374</v>
      </c>
      <c r="B873" s="350"/>
      <c r="C873" s="350"/>
      <c r="D873" s="351"/>
    </row>
    <row r="874" spans="1:4">
      <c r="A874" s="68" t="s">
        <v>2375</v>
      </c>
      <c r="B874" s="109"/>
      <c r="C874" s="392" t="s">
        <v>2376</v>
      </c>
      <c r="D874" s="351"/>
    </row>
    <row r="875" spans="1:4">
      <c r="A875" s="110"/>
      <c r="B875" s="110"/>
      <c r="C875" s="110"/>
      <c r="D875" s="110"/>
    </row>
    <row r="876" spans="1:4">
      <c r="A876" s="443" t="s">
        <v>457</v>
      </c>
      <c r="B876" s="398"/>
      <c r="C876" s="398"/>
      <c r="D876" s="110"/>
    </row>
    <row r="877" spans="1:4">
      <c r="A877" s="111"/>
      <c r="B877" s="111"/>
      <c r="C877" s="111"/>
      <c r="D877" s="111"/>
    </row>
    <row r="878" spans="1:4">
      <c r="A878" s="444" t="s">
        <v>2377</v>
      </c>
      <c r="B878" s="398"/>
      <c r="C878" s="398"/>
      <c r="D878" s="111"/>
    </row>
    <row r="879" spans="1:4">
      <c r="A879" s="111"/>
      <c r="B879" s="443"/>
      <c r="C879" s="399"/>
      <c r="D879" s="111"/>
    </row>
    <row r="880" spans="1:4">
      <c r="A880" s="443" t="s">
        <v>459</v>
      </c>
      <c r="B880" s="398"/>
      <c r="C880" s="398"/>
      <c r="D880" s="110"/>
    </row>
    <row r="881" spans="1:4">
      <c r="A881" s="111"/>
      <c r="B881" s="111"/>
      <c r="C881" s="111"/>
      <c r="D881" s="111"/>
    </row>
    <row r="882" spans="1:4">
      <c r="A882" s="444" t="s">
        <v>460</v>
      </c>
      <c r="B882" s="398"/>
      <c r="C882" s="398"/>
      <c r="D882" s="111"/>
    </row>
    <row r="883" spans="1:4">
      <c r="A883" s="403" t="s">
        <v>2378</v>
      </c>
      <c r="B883" s="399"/>
      <c r="C883" s="112" t="s">
        <v>462</v>
      </c>
      <c r="D883" s="111"/>
    </row>
    <row r="884" spans="1:4">
      <c r="A884" s="403" t="s">
        <v>463</v>
      </c>
      <c r="B884" s="398"/>
      <c r="C884" s="398"/>
      <c r="D884" s="111"/>
    </row>
    <row r="885" spans="1:4">
      <c r="A885" s="111"/>
      <c r="B885" s="111"/>
      <c r="C885" s="111"/>
      <c r="D885" s="111"/>
    </row>
    <row r="886" spans="1:4">
      <c r="A886" s="420" t="s">
        <v>466</v>
      </c>
      <c r="B886" s="399"/>
      <c r="C886" s="439" t="s">
        <v>467</v>
      </c>
      <c r="D886" s="399"/>
    </row>
    <row r="887" spans="1:4">
      <c r="A887" s="409" t="s">
        <v>481</v>
      </c>
      <c r="B887" s="399"/>
      <c r="C887" s="440" t="s">
        <v>481</v>
      </c>
      <c r="D887" s="399"/>
    </row>
    <row r="888" spans="1:4">
      <c r="A888" s="111"/>
      <c r="B888" s="111"/>
      <c r="C888" s="111"/>
      <c r="D888" s="111"/>
    </row>
    <row r="889" spans="1:4">
      <c r="A889" s="441" t="s">
        <v>470</v>
      </c>
      <c r="B889" s="399"/>
      <c r="C889" s="113"/>
      <c r="D889" s="114" t="s">
        <v>470</v>
      </c>
    </row>
    <row r="890" spans="1:4">
      <c r="A890" s="442" t="s">
        <v>556</v>
      </c>
      <c r="B890" s="399"/>
      <c r="C890" s="114"/>
      <c r="D890" s="115" t="s">
        <v>556</v>
      </c>
    </row>
    <row r="891" spans="1:4">
      <c r="A891" s="113"/>
      <c r="B891" s="114" t="s">
        <v>471</v>
      </c>
      <c r="C891" s="113"/>
      <c r="D891" s="114" t="s">
        <v>471</v>
      </c>
    </row>
    <row r="892" spans="1:4">
      <c r="A892" s="113"/>
      <c r="B892" s="114"/>
      <c r="C892" s="113"/>
      <c r="D892" s="114"/>
    </row>
  </sheetData>
  <mergeCells count="896">
    <mergeCell ref="A815:D815"/>
    <mergeCell ref="C816:D816"/>
    <mergeCell ref="C817:D817"/>
    <mergeCell ref="C818:D818"/>
    <mergeCell ref="C806:D806"/>
    <mergeCell ref="A807:D807"/>
    <mergeCell ref="C808:D808"/>
    <mergeCell ref="A809:D809"/>
    <mergeCell ref="C810:D810"/>
    <mergeCell ref="C811:D811"/>
    <mergeCell ref="A812:D812"/>
    <mergeCell ref="C813:D813"/>
    <mergeCell ref="C814:D814"/>
    <mergeCell ref="C797:D797"/>
    <mergeCell ref="C798:D798"/>
    <mergeCell ref="C799:D799"/>
    <mergeCell ref="A800:D800"/>
    <mergeCell ref="C801:D801"/>
    <mergeCell ref="C802:D802"/>
    <mergeCell ref="C803:D803"/>
    <mergeCell ref="C804:D804"/>
    <mergeCell ref="C805:D805"/>
    <mergeCell ref="C788:D788"/>
    <mergeCell ref="C789:D789"/>
    <mergeCell ref="C790:D790"/>
    <mergeCell ref="A791:D791"/>
    <mergeCell ref="C792:D792"/>
    <mergeCell ref="A793:D793"/>
    <mergeCell ref="C794:D794"/>
    <mergeCell ref="C795:D795"/>
    <mergeCell ref="C796:D796"/>
    <mergeCell ref="A779:D779"/>
    <mergeCell ref="C780:D780"/>
    <mergeCell ref="C781:D781"/>
    <mergeCell ref="C782:D782"/>
    <mergeCell ref="C783:D783"/>
    <mergeCell ref="A784:D784"/>
    <mergeCell ref="C785:D785"/>
    <mergeCell ref="C786:D786"/>
    <mergeCell ref="C787:D787"/>
    <mergeCell ref="A770:D770"/>
    <mergeCell ref="C771:D771"/>
    <mergeCell ref="C772:D772"/>
    <mergeCell ref="C773:D773"/>
    <mergeCell ref="C774:D774"/>
    <mergeCell ref="C775:D775"/>
    <mergeCell ref="C776:D776"/>
    <mergeCell ref="A777:D777"/>
    <mergeCell ref="C778:D778"/>
    <mergeCell ref="C657:D657"/>
    <mergeCell ref="C686:D686"/>
    <mergeCell ref="C687:D687"/>
    <mergeCell ref="C688:D688"/>
    <mergeCell ref="A689:D689"/>
    <mergeCell ref="C690:D690"/>
    <mergeCell ref="C691:D691"/>
    <mergeCell ref="C692:D692"/>
    <mergeCell ref="A735:D735"/>
    <mergeCell ref="C648:D648"/>
    <mergeCell ref="C649:D649"/>
    <mergeCell ref="C650:D650"/>
    <mergeCell ref="C651:D651"/>
    <mergeCell ref="A652:D652"/>
    <mergeCell ref="C653:D653"/>
    <mergeCell ref="A654:D654"/>
    <mergeCell ref="C655:D655"/>
    <mergeCell ref="C656:D656"/>
    <mergeCell ref="C679:D679"/>
    <mergeCell ref="C680:D680"/>
    <mergeCell ref="C681:D681"/>
    <mergeCell ref="C682:D682"/>
    <mergeCell ref="C683:D683"/>
    <mergeCell ref="C684:D684"/>
    <mergeCell ref="A685:D685"/>
    <mergeCell ref="C616:D616"/>
    <mergeCell ref="C617:D617"/>
    <mergeCell ref="C618:D618"/>
    <mergeCell ref="C619:D619"/>
    <mergeCell ref="A620:D620"/>
    <mergeCell ref="C621:D621"/>
    <mergeCell ref="C622:D622"/>
    <mergeCell ref="C623:D623"/>
    <mergeCell ref="C624:D624"/>
    <mergeCell ref="C625:D625"/>
    <mergeCell ref="C626:D626"/>
    <mergeCell ref="C627:D627"/>
    <mergeCell ref="C628:D628"/>
    <mergeCell ref="C629:D629"/>
    <mergeCell ref="A630:D630"/>
    <mergeCell ref="C631:D631"/>
    <mergeCell ref="C632:D632"/>
    <mergeCell ref="C670:D670"/>
    <mergeCell ref="C671:D671"/>
    <mergeCell ref="C672:D672"/>
    <mergeCell ref="C673:D673"/>
    <mergeCell ref="C674:D674"/>
    <mergeCell ref="A675:D675"/>
    <mergeCell ref="C676:D676"/>
    <mergeCell ref="A677:D677"/>
    <mergeCell ref="C678:D678"/>
    <mergeCell ref="A661:D661"/>
    <mergeCell ref="C662:D662"/>
    <mergeCell ref="C663:D663"/>
    <mergeCell ref="C664:D664"/>
    <mergeCell ref="C665:D665"/>
    <mergeCell ref="C666:D666"/>
    <mergeCell ref="C667:D667"/>
    <mergeCell ref="A668:D668"/>
    <mergeCell ref="C669:D669"/>
    <mergeCell ref="C610:D610"/>
    <mergeCell ref="C611:D611"/>
    <mergeCell ref="C612:D612"/>
    <mergeCell ref="C613:D613"/>
    <mergeCell ref="C614:D614"/>
    <mergeCell ref="C615:D615"/>
    <mergeCell ref="C658:D658"/>
    <mergeCell ref="C659:D659"/>
    <mergeCell ref="C660:D660"/>
    <mergeCell ref="C633:D633"/>
    <mergeCell ref="C634:D634"/>
    <mergeCell ref="C635:D635"/>
    <mergeCell ref="C636:D636"/>
    <mergeCell ref="C637:D637"/>
    <mergeCell ref="C638:D638"/>
    <mergeCell ref="C639:D639"/>
    <mergeCell ref="C640:D640"/>
    <mergeCell ref="C641:D641"/>
    <mergeCell ref="A642:D642"/>
    <mergeCell ref="C643:D643"/>
    <mergeCell ref="C644:D644"/>
    <mergeCell ref="C645:D645"/>
    <mergeCell ref="C646:D646"/>
    <mergeCell ref="C647:D647"/>
    <mergeCell ref="A573:D573"/>
    <mergeCell ref="C574:D574"/>
    <mergeCell ref="C575:D575"/>
    <mergeCell ref="C576:D576"/>
    <mergeCell ref="C577:D577"/>
    <mergeCell ref="A578:D578"/>
    <mergeCell ref="C579:D579"/>
    <mergeCell ref="C580:D580"/>
    <mergeCell ref="C609:D609"/>
    <mergeCell ref="A604:D604"/>
    <mergeCell ref="A605:D605"/>
    <mergeCell ref="C606:D606"/>
    <mergeCell ref="C607:D607"/>
    <mergeCell ref="A608:D608"/>
    <mergeCell ref="C539:D539"/>
    <mergeCell ref="C540:D540"/>
    <mergeCell ref="C541:D541"/>
    <mergeCell ref="C542:D542"/>
    <mergeCell ref="C543:D543"/>
    <mergeCell ref="C544:D544"/>
    <mergeCell ref="C545:D545"/>
    <mergeCell ref="C546:D546"/>
    <mergeCell ref="C547:D547"/>
    <mergeCell ref="C548:D548"/>
    <mergeCell ref="A549:D549"/>
    <mergeCell ref="A550:D550"/>
    <mergeCell ref="C551:D551"/>
    <mergeCell ref="A552:D552"/>
    <mergeCell ref="A553:D553"/>
    <mergeCell ref="C554:D554"/>
    <mergeCell ref="A555:D555"/>
    <mergeCell ref="C556:D556"/>
    <mergeCell ref="C557:D557"/>
    <mergeCell ref="C595:D595"/>
    <mergeCell ref="C596:D596"/>
    <mergeCell ref="C597:D597"/>
    <mergeCell ref="C598:D598"/>
    <mergeCell ref="C599:D599"/>
    <mergeCell ref="A600:D600"/>
    <mergeCell ref="C601:D601"/>
    <mergeCell ref="C602:D602"/>
    <mergeCell ref="C603:D603"/>
    <mergeCell ref="A859:D859"/>
    <mergeCell ref="C860:D860"/>
    <mergeCell ref="A886:B886"/>
    <mergeCell ref="C886:D886"/>
    <mergeCell ref="A887:B887"/>
    <mergeCell ref="C887:D887"/>
    <mergeCell ref="A889:B889"/>
    <mergeCell ref="A890:B890"/>
    <mergeCell ref="A876:C876"/>
    <mergeCell ref="A878:C878"/>
    <mergeCell ref="B879:C879"/>
    <mergeCell ref="A880:C880"/>
    <mergeCell ref="A882:C882"/>
    <mergeCell ref="A883:B883"/>
    <mergeCell ref="A884:C884"/>
    <mergeCell ref="C850:D850"/>
    <mergeCell ref="A851:D851"/>
    <mergeCell ref="A852:D852"/>
    <mergeCell ref="C853:D853"/>
    <mergeCell ref="A854:D854"/>
    <mergeCell ref="A855:D855"/>
    <mergeCell ref="C856:D856"/>
    <mergeCell ref="A857:D857"/>
    <mergeCell ref="A858:D858"/>
    <mergeCell ref="C867:D867"/>
    <mergeCell ref="A868:D868"/>
    <mergeCell ref="A869:D869"/>
    <mergeCell ref="C870:D870"/>
    <mergeCell ref="A871:D871"/>
    <mergeCell ref="C872:D872"/>
    <mergeCell ref="A873:D873"/>
    <mergeCell ref="C874:D874"/>
    <mergeCell ref="A819:D819"/>
    <mergeCell ref="C820:D820"/>
    <mergeCell ref="C821:D821"/>
    <mergeCell ref="C822:D822"/>
    <mergeCell ref="C823:D823"/>
    <mergeCell ref="A824:D824"/>
    <mergeCell ref="A825:D825"/>
    <mergeCell ref="A826:D826"/>
    <mergeCell ref="C827:D827"/>
    <mergeCell ref="C828:D828"/>
    <mergeCell ref="C829:D829"/>
    <mergeCell ref="C830:D830"/>
    <mergeCell ref="C831:D831"/>
    <mergeCell ref="C832:D832"/>
    <mergeCell ref="C833:D833"/>
    <mergeCell ref="C834:D834"/>
    <mergeCell ref="C767:D767"/>
    <mergeCell ref="C768:D768"/>
    <mergeCell ref="C769:D769"/>
    <mergeCell ref="C861:D861"/>
    <mergeCell ref="C862:D862"/>
    <mergeCell ref="A863:D863"/>
    <mergeCell ref="A864:D864"/>
    <mergeCell ref="C865:D865"/>
    <mergeCell ref="A866:D866"/>
    <mergeCell ref="C835:D835"/>
    <mergeCell ref="C836:D836"/>
    <mergeCell ref="A837:D837"/>
    <mergeCell ref="A838:D838"/>
    <mergeCell ref="C839:D839"/>
    <mergeCell ref="A840:D840"/>
    <mergeCell ref="A841:D841"/>
    <mergeCell ref="C842:D842"/>
    <mergeCell ref="A843:D843"/>
    <mergeCell ref="C844:D844"/>
    <mergeCell ref="A845:D845"/>
    <mergeCell ref="A846:D846"/>
    <mergeCell ref="C847:D847"/>
    <mergeCell ref="A848:D848"/>
    <mergeCell ref="A849:D849"/>
    <mergeCell ref="C730:D730"/>
    <mergeCell ref="C731:D731"/>
    <mergeCell ref="C732:D732"/>
    <mergeCell ref="C733:D733"/>
    <mergeCell ref="C734:D734"/>
    <mergeCell ref="C763:D763"/>
    <mergeCell ref="C764:D764"/>
    <mergeCell ref="C765:D765"/>
    <mergeCell ref="C766:D766"/>
    <mergeCell ref="C736:D736"/>
    <mergeCell ref="C737:D737"/>
    <mergeCell ref="C738:D738"/>
    <mergeCell ref="C739:D739"/>
    <mergeCell ref="C740:D740"/>
    <mergeCell ref="C741:D741"/>
    <mergeCell ref="C742:D742"/>
    <mergeCell ref="A743:D743"/>
    <mergeCell ref="C744:D744"/>
    <mergeCell ref="C745:D745"/>
    <mergeCell ref="C746:D746"/>
    <mergeCell ref="C747:D747"/>
    <mergeCell ref="C748:D748"/>
    <mergeCell ref="C761:D761"/>
    <mergeCell ref="C762:D762"/>
    <mergeCell ref="C693:D693"/>
    <mergeCell ref="A694:D694"/>
    <mergeCell ref="C695:D695"/>
    <mergeCell ref="C696:D696"/>
    <mergeCell ref="A697:D697"/>
    <mergeCell ref="C698:D698"/>
    <mergeCell ref="C699:D699"/>
    <mergeCell ref="C700:D700"/>
    <mergeCell ref="A701:D701"/>
    <mergeCell ref="C702:D702"/>
    <mergeCell ref="C703:D703"/>
    <mergeCell ref="C704:D704"/>
    <mergeCell ref="C705:D705"/>
    <mergeCell ref="A706:D706"/>
    <mergeCell ref="C707:D707"/>
    <mergeCell ref="C708:D708"/>
    <mergeCell ref="C709:D709"/>
    <mergeCell ref="A710:D710"/>
    <mergeCell ref="A711:D711"/>
    <mergeCell ref="C712:D712"/>
    <mergeCell ref="C713:D713"/>
    <mergeCell ref="A714:D714"/>
    <mergeCell ref="C752:D752"/>
    <mergeCell ref="A753:D753"/>
    <mergeCell ref="C754:D754"/>
    <mergeCell ref="C755:D755"/>
    <mergeCell ref="A756:D756"/>
    <mergeCell ref="C757:D757"/>
    <mergeCell ref="A758:D758"/>
    <mergeCell ref="C759:D759"/>
    <mergeCell ref="A760:D760"/>
    <mergeCell ref="C589:D589"/>
    <mergeCell ref="A590:D590"/>
    <mergeCell ref="C591:D591"/>
    <mergeCell ref="C592:D592"/>
    <mergeCell ref="C593:D593"/>
    <mergeCell ref="C594:D594"/>
    <mergeCell ref="C749:D749"/>
    <mergeCell ref="C750:D750"/>
    <mergeCell ref="C751:D751"/>
    <mergeCell ref="C715:D715"/>
    <mergeCell ref="C716:D716"/>
    <mergeCell ref="C717:D717"/>
    <mergeCell ref="C718:D718"/>
    <mergeCell ref="C719:D719"/>
    <mergeCell ref="C720:D720"/>
    <mergeCell ref="C721:D721"/>
    <mergeCell ref="C722:D722"/>
    <mergeCell ref="C723:D723"/>
    <mergeCell ref="C724:D724"/>
    <mergeCell ref="A725:D725"/>
    <mergeCell ref="C726:D726"/>
    <mergeCell ref="C727:D727"/>
    <mergeCell ref="C728:D728"/>
    <mergeCell ref="C729:D729"/>
    <mergeCell ref="C258:D258"/>
    <mergeCell ref="C581:D581"/>
    <mergeCell ref="C582:D582"/>
    <mergeCell ref="A583:D583"/>
    <mergeCell ref="C584:D584"/>
    <mergeCell ref="C585:D585"/>
    <mergeCell ref="C586:D586"/>
    <mergeCell ref="C587:D587"/>
    <mergeCell ref="C588:D588"/>
    <mergeCell ref="A558:D558"/>
    <mergeCell ref="C559:D559"/>
    <mergeCell ref="C560:D560"/>
    <mergeCell ref="C561:D561"/>
    <mergeCell ref="C562:D562"/>
    <mergeCell ref="C563:D563"/>
    <mergeCell ref="C564:D564"/>
    <mergeCell ref="C565:D565"/>
    <mergeCell ref="C566:D566"/>
    <mergeCell ref="A567:D567"/>
    <mergeCell ref="C568:D568"/>
    <mergeCell ref="C569:D569"/>
    <mergeCell ref="C570:D570"/>
    <mergeCell ref="C571:D571"/>
    <mergeCell ref="C572:D572"/>
    <mergeCell ref="C249:D249"/>
    <mergeCell ref="C250:D250"/>
    <mergeCell ref="C251:D251"/>
    <mergeCell ref="C252:D252"/>
    <mergeCell ref="A253:D253"/>
    <mergeCell ref="A254:D254"/>
    <mergeCell ref="C255:D255"/>
    <mergeCell ref="C256:D256"/>
    <mergeCell ref="C257:D257"/>
    <mergeCell ref="C183:D183"/>
    <mergeCell ref="A184:D184"/>
    <mergeCell ref="C185:D185"/>
    <mergeCell ref="A186:D186"/>
    <mergeCell ref="C187:D187"/>
    <mergeCell ref="A188:D188"/>
    <mergeCell ref="C231:D231"/>
    <mergeCell ref="C232:D232"/>
    <mergeCell ref="C233:D233"/>
    <mergeCell ref="C174:D174"/>
    <mergeCell ref="A175:D175"/>
    <mergeCell ref="C176:D176"/>
    <mergeCell ref="A177:D177"/>
    <mergeCell ref="C178:D178"/>
    <mergeCell ref="A179:D179"/>
    <mergeCell ref="C180:D180"/>
    <mergeCell ref="C181:D181"/>
    <mergeCell ref="A182:D182"/>
    <mergeCell ref="C165:D165"/>
    <mergeCell ref="C166:D166"/>
    <mergeCell ref="C167:D167"/>
    <mergeCell ref="A168:D168"/>
    <mergeCell ref="A169:D169"/>
    <mergeCell ref="C170:D170"/>
    <mergeCell ref="A171:D171"/>
    <mergeCell ref="C172:D172"/>
    <mergeCell ref="A173:D173"/>
    <mergeCell ref="C156:D156"/>
    <mergeCell ref="C157:D157"/>
    <mergeCell ref="C158:D158"/>
    <mergeCell ref="C159:D159"/>
    <mergeCell ref="C160:D160"/>
    <mergeCell ref="C161:D161"/>
    <mergeCell ref="C162:D162"/>
    <mergeCell ref="C163:D163"/>
    <mergeCell ref="C164:D164"/>
    <mergeCell ref="C147:D147"/>
    <mergeCell ref="C148:D148"/>
    <mergeCell ref="C149:D149"/>
    <mergeCell ref="C150:D150"/>
    <mergeCell ref="C151:D151"/>
    <mergeCell ref="C152:D152"/>
    <mergeCell ref="C153:D153"/>
    <mergeCell ref="C154:D154"/>
    <mergeCell ref="C155:D155"/>
    <mergeCell ref="C138:D138"/>
    <mergeCell ref="C139:D139"/>
    <mergeCell ref="C140:D140"/>
    <mergeCell ref="C141:D141"/>
    <mergeCell ref="C142:D142"/>
    <mergeCell ref="C143:D143"/>
    <mergeCell ref="A144:D144"/>
    <mergeCell ref="C145:D145"/>
    <mergeCell ref="C146:D146"/>
    <mergeCell ref="C129:D129"/>
    <mergeCell ref="C130:D130"/>
    <mergeCell ref="C131:D131"/>
    <mergeCell ref="C132:D132"/>
    <mergeCell ref="C133:D133"/>
    <mergeCell ref="C134:D134"/>
    <mergeCell ref="C135:D135"/>
    <mergeCell ref="C136:D136"/>
    <mergeCell ref="C137:D137"/>
    <mergeCell ref="C120:D120"/>
    <mergeCell ref="C121:D121"/>
    <mergeCell ref="C122:D122"/>
    <mergeCell ref="C123:D123"/>
    <mergeCell ref="A124:D124"/>
    <mergeCell ref="C125:D125"/>
    <mergeCell ref="A126:D126"/>
    <mergeCell ref="C127:D127"/>
    <mergeCell ref="C128:D128"/>
    <mergeCell ref="C111:D111"/>
    <mergeCell ref="C112:D112"/>
    <mergeCell ref="C113:D113"/>
    <mergeCell ref="C114:D114"/>
    <mergeCell ref="C115:D115"/>
    <mergeCell ref="C116:D116"/>
    <mergeCell ref="C117:D117"/>
    <mergeCell ref="C118:D118"/>
    <mergeCell ref="C119:D119"/>
    <mergeCell ref="C102:D102"/>
    <mergeCell ref="C103:D103"/>
    <mergeCell ref="C104:D104"/>
    <mergeCell ref="C105:D105"/>
    <mergeCell ref="C106:D106"/>
    <mergeCell ref="C107:D107"/>
    <mergeCell ref="C108:D108"/>
    <mergeCell ref="C109:D109"/>
    <mergeCell ref="C110:D110"/>
    <mergeCell ref="C93:D93"/>
    <mergeCell ref="C94:D94"/>
    <mergeCell ref="A95:D95"/>
    <mergeCell ref="C96:D96"/>
    <mergeCell ref="C97:D97"/>
    <mergeCell ref="C98:D98"/>
    <mergeCell ref="C99:D99"/>
    <mergeCell ref="C100:D100"/>
    <mergeCell ref="C101:D101"/>
    <mergeCell ref="C84:D84"/>
    <mergeCell ref="C85:D85"/>
    <mergeCell ref="C86:D86"/>
    <mergeCell ref="C87:D87"/>
    <mergeCell ref="C88:D88"/>
    <mergeCell ref="C89:D89"/>
    <mergeCell ref="C90:D90"/>
    <mergeCell ref="C91:D91"/>
    <mergeCell ref="C92:D92"/>
    <mergeCell ref="C75:D75"/>
    <mergeCell ref="C76:D76"/>
    <mergeCell ref="C77:D77"/>
    <mergeCell ref="C78:D78"/>
    <mergeCell ref="C79:D79"/>
    <mergeCell ref="C80:D80"/>
    <mergeCell ref="C81:D81"/>
    <mergeCell ref="C82:D82"/>
    <mergeCell ref="C83:D83"/>
    <mergeCell ref="C66:D66"/>
    <mergeCell ref="C67:D67"/>
    <mergeCell ref="C68:D68"/>
    <mergeCell ref="C69:D69"/>
    <mergeCell ref="C70:D70"/>
    <mergeCell ref="C71:D71"/>
    <mergeCell ref="C72:D72"/>
    <mergeCell ref="C73:D73"/>
    <mergeCell ref="C74:D74"/>
    <mergeCell ref="C57:D57"/>
    <mergeCell ref="C58:D58"/>
    <mergeCell ref="A59:D59"/>
    <mergeCell ref="A60:D60"/>
    <mergeCell ref="C61:D61"/>
    <mergeCell ref="A62:D62"/>
    <mergeCell ref="A63:D63"/>
    <mergeCell ref="C64:D64"/>
    <mergeCell ref="C65:D65"/>
    <mergeCell ref="C48:D48"/>
    <mergeCell ref="C49:D49"/>
    <mergeCell ref="C50:D50"/>
    <mergeCell ref="C51:D51"/>
    <mergeCell ref="C52:D52"/>
    <mergeCell ref="C53:D53"/>
    <mergeCell ref="A54:D54"/>
    <mergeCell ref="C55:D55"/>
    <mergeCell ref="C56:D56"/>
    <mergeCell ref="A39:D39"/>
    <mergeCell ref="C40:D40"/>
    <mergeCell ref="C41:D41"/>
    <mergeCell ref="C42:D42"/>
    <mergeCell ref="C43:D43"/>
    <mergeCell ref="C44:D44"/>
    <mergeCell ref="C45:D45"/>
    <mergeCell ref="C46:D46"/>
    <mergeCell ref="C47:D47"/>
    <mergeCell ref="A25:D25"/>
    <mergeCell ref="A27:B27"/>
    <mergeCell ref="A28:B28"/>
    <mergeCell ref="A29:B31"/>
    <mergeCell ref="D29:D31"/>
    <mergeCell ref="A34:D34"/>
    <mergeCell ref="A36:D36"/>
    <mergeCell ref="A37:D37"/>
    <mergeCell ref="C38:D38"/>
    <mergeCell ref="C20:D20"/>
    <mergeCell ref="C21:D21"/>
    <mergeCell ref="C22:D22"/>
    <mergeCell ref="C23:D23"/>
    <mergeCell ref="C24:D24"/>
    <mergeCell ref="A13:B13"/>
    <mergeCell ref="C13:D13"/>
    <mergeCell ref="A14:B14"/>
    <mergeCell ref="C14:D14"/>
    <mergeCell ref="A15:B15"/>
    <mergeCell ref="C15:D15"/>
    <mergeCell ref="C16:D16"/>
    <mergeCell ref="A16:B16"/>
    <mergeCell ref="A17:B17"/>
    <mergeCell ref="A18:B18"/>
    <mergeCell ref="A19:B19"/>
    <mergeCell ref="A20:B20"/>
    <mergeCell ref="A21:B21"/>
    <mergeCell ref="A22:B22"/>
    <mergeCell ref="A23:B23"/>
    <mergeCell ref="A24:B24"/>
    <mergeCell ref="A532:D532"/>
    <mergeCell ref="C533:D533"/>
    <mergeCell ref="C534:D534"/>
    <mergeCell ref="C535:D535"/>
    <mergeCell ref="C536:D536"/>
    <mergeCell ref="C537:D537"/>
    <mergeCell ref="C538:D538"/>
    <mergeCell ref="A1:D1"/>
    <mergeCell ref="A2:D2"/>
    <mergeCell ref="A3:B3"/>
    <mergeCell ref="C3:D3"/>
    <mergeCell ref="A4:B4"/>
    <mergeCell ref="C4:D4"/>
    <mergeCell ref="A6:D6"/>
    <mergeCell ref="A7:D7"/>
    <mergeCell ref="A8:D8"/>
    <mergeCell ref="A9:D9"/>
    <mergeCell ref="A10:D10"/>
    <mergeCell ref="C11:D11"/>
    <mergeCell ref="A12:B12"/>
    <mergeCell ref="C12:D12"/>
    <mergeCell ref="C17:D17"/>
    <mergeCell ref="C18:D18"/>
    <mergeCell ref="C19:D19"/>
    <mergeCell ref="C509:D509"/>
    <mergeCell ref="C510:D510"/>
    <mergeCell ref="C511:D511"/>
    <mergeCell ref="C512:D512"/>
    <mergeCell ref="C513:D513"/>
    <mergeCell ref="C514:D514"/>
    <mergeCell ref="C515:D515"/>
    <mergeCell ref="C516:D516"/>
    <mergeCell ref="C517:D517"/>
    <mergeCell ref="C500:D500"/>
    <mergeCell ref="C501:D501"/>
    <mergeCell ref="A502:D502"/>
    <mergeCell ref="C503:D503"/>
    <mergeCell ref="C504:D504"/>
    <mergeCell ref="C505:D505"/>
    <mergeCell ref="C506:D506"/>
    <mergeCell ref="C507:D507"/>
    <mergeCell ref="C508:D508"/>
    <mergeCell ref="C491:D491"/>
    <mergeCell ref="C492:D492"/>
    <mergeCell ref="C493:D493"/>
    <mergeCell ref="C494:D494"/>
    <mergeCell ref="C495:D495"/>
    <mergeCell ref="C496:D496"/>
    <mergeCell ref="C497:D497"/>
    <mergeCell ref="C498:D498"/>
    <mergeCell ref="C499:D499"/>
    <mergeCell ref="C523:D523"/>
    <mergeCell ref="C524:D524"/>
    <mergeCell ref="C525:D525"/>
    <mergeCell ref="C526:D526"/>
    <mergeCell ref="C527:D527"/>
    <mergeCell ref="C528:D528"/>
    <mergeCell ref="C529:D529"/>
    <mergeCell ref="C530:D530"/>
    <mergeCell ref="C531:D531"/>
    <mergeCell ref="C472:D472"/>
    <mergeCell ref="C473:D473"/>
    <mergeCell ref="C474:D474"/>
    <mergeCell ref="C475:D475"/>
    <mergeCell ref="C518:D518"/>
    <mergeCell ref="C519:D519"/>
    <mergeCell ref="C520:D520"/>
    <mergeCell ref="C521:D521"/>
    <mergeCell ref="C522:D522"/>
    <mergeCell ref="C476:D476"/>
    <mergeCell ref="C477:D477"/>
    <mergeCell ref="C478:D478"/>
    <mergeCell ref="C479:D479"/>
    <mergeCell ref="C480:D480"/>
    <mergeCell ref="C481:D481"/>
    <mergeCell ref="C482:D482"/>
    <mergeCell ref="C483:D483"/>
    <mergeCell ref="C484:D484"/>
    <mergeCell ref="C485:D485"/>
    <mergeCell ref="C486:D486"/>
    <mergeCell ref="C487:D487"/>
    <mergeCell ref="C488:D488"/>
    <mergeCell ref="C489:D489"/>
    <mergeCell ref="C490:D490"/>
    <mergeCell ref="C463:D463"/>
    <mergeCell ref="C464:D464"/>
    <mergeCell ref="C465:D465"/>
    <mergeCell ref="C466:D466"/>
    <mergeCell ref="C467:D467"/>
    <mergeCell ref="C468:D468"/>
    <mergeCell ref="C469:D469"/>
    <mergeCell ref="C470:D470"/>
    <mergeCell ref="A471:D471"/>
    <mergeCell ref="C454:D454"/>
    <mergeCell ref="C455:D455"/>
    <mergeCell ref="C456:D456"/>
    <mergeCell ref="C457:D457"/>
    <mergeCell ref="C458:D458"/>
    <mergeCell ref="C459:D459"/>
    <mergeCell ref="C460:D460"/>
    <mergeCell ref="C461:D461"/>
    <mergeCell ref="C462:D462"/>
    <mergeCell ref="C445:D445"/>
    <mergeCell ref="C446:D446"/>
    <mergeCell ref="C447:D447"/>
    <mergeCell ref="C448:D448"/>
    <mergeCell ref="C449:D449"/>
    <mergeCell ref="C450:D450"/>
    <mergeCell ref="C451:D451"/>
    <mergeCell ref="C452:D452"/>
    <mergeCell ref="C453:D453"/>
    <mergeCell ref="C436:D436"/>
    <mergeCell ref="A437:D437"/>
    <mergeCell ref="A438:D438"/>
    <mergeCell ref="C439:D439"/>
    <mergeCell ref="C440:D440"/>
    <mergeCell ref="C441:D441"/>
    <mergeCell ref="C442:D442"/>
    <mergeCell ref="C443:D443"/>
    <mergeCell ref="C444:D444"/>
    <mergeCell ref="C427:D427"/>
    <mergeCell ref="A428:D428"/>
    <mergeCell ref="C429:D429"/>
    <mergeCell ref="C430:D430"/>
    <mergeCell ref="C431:D431"/>
    <mergeCell ref="C432:D432"/>
    <mergeCell ref="A433:D433"/>
    <mergeCell ref="C434:D434"/>
    <mergeCell ref="A435:D435"/>
    <mergeCell ref="C418:D418"/>
    <mergeCell ref="C419:D419"/>
    <mergeCell ref="A420:D420"/>
    <mergeCell ref="C421:D421"/>
    <mergeCell ref="C422:D422"/>
    <mergeCell ref="C423:D423"/>
    <mergeCell ref="C424:D424"/>
    <mergeCell ref="C425:D425"/>
    <mergeCell ref="C426:D426"/>
    <mergeCell ref="C409:D409"/>
    <mergeCell ref="C410:D410"/>
    <mergeCell ref="A411:D411"/>
    <mergeCell ref="C412:D412"/>
    <mergeCell ref="A413:D413"/>
    <mergeCell ref="A414:D414"/>
    <mergeCell ref="C415:D415"/>
    <mergeCell ref="A416:D416"/>
    <mergeCell ref="C417:D417"/>
    <mergeCell ref="A400:D400"/>
    <mergeCell ref="A401:D401"/>
    <mergeCell ref="C402:D402"/>
    <mergeCell ref="C403:D403"/>
    <mergeCell ref="C404:D404"/>
    <mergeCell ref="C405:D405"/>
    <mergeCell ref="C406:D406"/>
    <mergeCell ref="C407:D407"/>
    <mergeCell ref="C408:D408"/>
    <mergeCell ref="C391:D391"/>
    <mergeCell ref="A392:D392"/>
    <mergeCell ref="C393:D393"/>
    <mergeCell ref="C394:D394"/>
    <mergeCell ref="A395:D395"/>
    <mergeCell ref="A396:D396"/>
    <mergeCell ref="C397:D397"/>
    <mergeCell ref="C398:D398"/>
    <mergeCell ref="C399:D399"/>
    <mergeCell ref="C382:D382"/>
    <mergeCell ref="C383:D383"/>
    <mergeCell ref="C384:D384"/>
    <mergeCell ref="A385:D385"/>
    <mergeCell ref="C386:D386"/>
    <mergeCell ref="C387:D387"/>
    <mergeCell ref="C388:D388"/>
    <mergeCell ref="C389:D389"/>
    <mergeCell ref="C390:D390"/>
    <mergeCell ref="C373:D373"/>
    <mergeCell ref="C374:D374"/>
    <mergeCell ref="C375:D375"/>
    <mergeCell ref="A376:D376"/>
    <mergeCell ref="C377:D377"/>
    <mergeCell ref="C378:D378"/>
    <mergeCell ref="C379:D379"/>
    <mergeCell ref="C380:D380"/>
    <mergeCell ref="C381:D381"/>
    <mergeCell ref="C350:D350"/>
    <mergeCell ref="A351:D351"/>
    <mergeCell ref="A352:D352"/>
    <mergeCell ref="C353:D353"/>
    <mergeCell ref="C354:D354"/>
    <mergeCell ref="C355:D355"/>
    <mergeCell ref="C356:D356"/>
    <mergeCell ref="C371:D371"/>
    <mergeCell ref="C372:D372"/>
    <mergeCell ref="A367:D367"/>
    <mergeCell ref="C368:D368"/>
    <mergeCell ref="C369:D369"/>
    <mergeCell ref="C370:D370"/>
    <mergeCell ref="C315:D315"/>
    <mergeCell ref="C316:D316"/>
    <mergeCell ref="C317:D317"/>
    <mergeCell ref="C318:D318"/>
    <mergeCell ref="C319:D319"/>
    <mergeCell ref="C320:D320"/>
    <mergeCell ref="C321:D321"/>
    <mergeCell ref="C322:D322"/>
    <mergeCell ref="C323:D323"/>
    <mergeCell ref="C324:D324"/>
    <mergeCell ref="C325:D325"/>
    <mergeCell ref="C326:D326"/>
    <mergeCell ref="A327:D327"/>
    <mergeCell ref="C328:D328"/>
    <mergeCell ref="C329:D329"/>
    <mergeCell ref="C330:D330"/>
    <mergeCell ref="C331:D331"/>
    <mergeCell ref="C332:D332"/>
    <mergeCell ref="C333:D333"/>
    <mergeCell ref="C334:D334"/>
    <mergeCell ref="C358:D358"/>
    <mergeCell ref="C359:D359"/>
    <mergeCell ref="C360:D360"/>
    <mergeCell ref="C361:D361"/>
    <mergeCell ref="A362:D362"/>
    <mergeCell ref="C363:D363"/>
    <mergeCell ref="C364:D364"/>
    <mergeCell ref="C365:D365"/>
    <mergeCell ref="C366:D366"/>
    <mergeCell ref="C307:D307"/>
    <mergeCell ref="C308:D308"/>
    <mergeCell ref="C309:D309"/>
    <mergeCell ref="C310:D310"/>
    <mergeCell ref="C311:D311"/>
    <mergeCell ref="C312:D312"/>
    <mergeCell ref="C313:D313"/>
    <mergeCell ref="C314:D314"/>
    <mergeCell ref="C357:D357"/>
    <mergeCell ref="C335:D335"/>
    <mergeCell ref="C336:D336"/>
    <mergeCell ref="C337:D337"/>
    <mergeCell ref="C338:D338"/>
    <mergeCell ref="C339:D339"/>
    <mergeCell ref="C340:D340"/>
    <mergeCell ref="C341:D341"/>
    <mergeCell ref="C342:D342"/>
    <mergeCell ref="C343:D343"/>
    <mergeCell ref="C344:D344"/>
    <mergeCell ref="C345:D345"/>
    <mergeCell ref="A346:D346"/>
    <mergeCell ref="C347:D347"/>
    <mergeCell ref="C348:D348"/>
    <mergeCell ref="A349:D349"/>
    <mergeCell ref="C298:D298"/>
    <mergeCell ref="C299:D299"/>
    <mergeCell ref="C300:D300"/>
    <mergeCell ref="C301:D301"/>
    <mergeCell ref="C302:D302"/>
    <mergeCell ref="C303:D303"/>
    <mergeCell ref="A304:D304"/>
    <mergeCell ref="A305:D305"/>
    <mergeCell ref="C306:D306"/>
    <mergeCell ref="C289:D289"/>
    <mergeCell ref="C290:D290"/>
    <mergeCell ref="C291:D291"/>
    <mergeCell ref="C292:D292"/>
    <mergeCell ref="C293:D293"/>
    <mergeCell ref="C294:D294"/>
    <mergeCell ref="C295:D295"/>
    <mergeCell ref="C296:D296"/>
    <mergeCell ref="C297:D297"/>
    <mergeCell ref="C280:D280"/>
    <mergeCell ref="C281:D281"/>
    <mergeCell ref="C282:D282"/>
    <mergeCell ref="C283:D283"/>
    <mergeCell ref="C284:D284"/>
    <mergeCell ref="C285:D285"/>
    <mergeCell ref="C286:D286"/>
    <mergeCell ref="C287:D287"/>
    <mergeCell ref="C288:D288"/>
    <mergeCell ref="C271:D271"/>
    <mergeCell ref="C272:D272"/>
    <mergeCell ref="C273:D273"/>
    <mergeCell ref="C274:D274"/>
    <mergeCell ref="C275:D275"/>
    <mergeCell ref="C276:D276"/>
    <mergeCell ref="C277:D277"/>
    <mergeCell ref="C278:D278"/>
    <mergeCell ref="C279:D279"/>
    <mergeCell ref="C262:D262"/>
    <mergeCell ref="C263:D263"/>
    <mergeCell ref="C264:D264"/>
    <mergeCell ref="C265:D265"/>
    <mergeCell ref="C266:D266"/>
    <mergeCell ref="C267:D267"/>
    <mergeCell ref="C268:D268"/>
    <mergeCell ref="C269:D269"/>
    <mergeCell ref="C270:D270"/>
    <mergeCell ref="C225:D225"/>
    <mergeCell ref="C226:D226"/>
    <mergeCell ref="C227:D227"/>
    <mergeCell ref="C228:D228"/>
    <mergeCell ref="C229:D229"/>
    <mergeCell ref="C230:D230"/>
    <mergeCell ref="C259:D259"/>
    <mergeCell ref="C260:D260"/>
    <mergeCell ref="C261:D261"/>
    <mergeCell ref="C234:D234"/>
    <mergeCell ref="C235:D235"/>
    <mergeCell ref="A236:D236"/>
    <mergeCell ref="C237:D237"/>
    <mergeCell ref="A238:D238"/>
    <mergeCell ref="A239:D239"/>
    <mergeCell ref="C240:D240"/>
    <mergeCell ref="A241:D241"/>
    <mergeCell ref="C242:D242"/>
    <mergeCell ref="C243:D243"/>
    <mergeCell ref="C244:D244"/>
    <mergeCell ref="C245:D245"/>
    <mergeCell ref="C246:D246"/>
    <mergeCell ref="C247:D247"/>
    <mergeCell ref="A248:D248"/>
    <mergeCell ref="C216:D216"/>
    <mergeCell ref="C217:D217"/>
    <mergeCell ref="C218:D218"/>
    <mergeCell ref="C219:D219"/>
    <mergeCell ref="C220:D220"/>
    <mergeCell ref="C221:D221"/>
    <mergeCell ref="C222:D222"/>
    <mergeCell ref="C223:D223"/>
    <mergeCell ref="C224:D224"/>
    <mergeCell ref="A207:D207"/>
    <mergeCell ref="C208:D208"/>
    <mergeCell ref="A209:D209"/>
    <mergeCell ref="C210:D210"/>
    <mergeCell ref="A211:D211"/>
    <mergeCell ref="C212:D212"/>
    <mergeCell ref="C213:D213"/>
    <mergeCell ref="C214:D214"/>
    <mergeCell ref="C215:D215"/>
    <mergeCell ref="A198:D198"/>
    <mergeCell ref="C199:D199"/>
    <mergeCell ref="A200:D200"/>
    <mergeCell ref="C201:D201"/>
    <mergeCell ref="A202:D202"/>
    <mergeCell ref="C203:D203"/>
    <mergeCell ref="A204:D204"/>
    <mergeCell ref="C205:D205"/>
    <mergeCell ref="A206:D206"/>
    <mergeCell ref="C189:D189"/>
    <mergeCell ref="A190:D190"/>
    <mergeCell ref="C191:D191"/>
    <mergeCell ref="A192:D192"/>
    <mergeCell ref="C193:D193"/>
    <mergeCell ref="A194:D194"/>
    <mergeCell ref="C195:D195"/>
    <mergeCell ref="A196:D196"/>
    <mergeCell ref="C197:D197"/>
  </mergeCells>
  <conditionalFormatting sqref="A859">
    <cfRule type="notContainsBlanks" dxfId="64" priority="1">
      <formula>LEN(TRIM(A859))&gt;0</formula>
    </cfRule>
  </conditionalFormatting>
  <conditionalFormatting sqref="A620:A630 A642">
    <cfRule type="notContainsBlanks" dxfId="63" priority="2">
      <formula>LEN(TRIM(A620))&gt;0</formula>
    </cfRule>
  </conditionalFormatting>
  <conditionalFormatting sqref="A620:A630 A642">
    <cfRule type="notContainsBlanks" dxfId="62" priority="3">
      <formula>LEN(TRIM(A620))&gt;0</formula>
    </cfRule>
  </conditionalFormatting>
  <conditionalFormatting sqref="A608 A620">
    <cfRule type="notContainsBlanks" dxfId="61" priority="4">
      <formula>LEN(TRIM(A608))&gt;0</formula>
    </cfRule>
  </conditionalFormatting>
  <conditionalFormatting sqref="A608 A620">
    <cfRule type="notContainsBlanks" dxfId="60" priority="5">
      <formula>LEN(TRIM(A608))&gt;0</formula>
    </cfRule>
  </conditionalFormatting>
  <conditionalFormatting sqref="B548:D548">
    <cfRule type="notContainsBlanks" dxfId="59" priority="6">
      <formula>LEN(TRIM(B548))&gt;0</formula>
    </cfRule>
  </conditionalFormatting>
  <conditionalFormatting sqref="A532:D532 B543:B544">
    <cfRule type="notContainsBlanks" dxfId="58" priority="7">
      <formula>LEN(TRIM(A532))&gt;0</formula>
    </cfRule>
  </conditionalFormatting>
  <conditionalFormatting sqref="C543:C544">
    <cfRule type="notContainsBlanks" dxfId="57" priority="8">
      <formula>LEN(TRIM(C543))&gt;0</formula>
    </cfRule>
  </conditionalFormatting>
  <conditionalFormatting sqref="B527:B531 C527:D531 A527:A531">
    <cfRule type="notContainsBlanks" dxfId="56" priority="9">
      <formula>LEN(TRIM(B527))&gt;0</formula>
    </cfRule>
  </conditionalFormatting>
  <conditionalFormatting sqref="B529 C531">
    <cfRule type="notContainsBlanks" dxfId="55" priority="10">
      <formula>LEN(TRIM(B529))&gt;0</formula>
    </cfRule>
  </conditionalFormatting>
  <conditionalFormatting sqref="B525:B526 C525:D526 A525:A526">
    <cfRule type="notContainsBlanks" dxfId="54" priority="11">
      <formula>LEN(TRIM(B525))&gt;0</formula>
    </cfRule>
  </conditionalFormatting>
  <conditionalFormatting sqref="B525:B526">
    <cfRule type="notContainsBlanks" dxfId="53" priority="12">
      <formula>LEN(TRIM(B525))&gt;0</formula>
    </cfRule>
  </conditionalFormatting>
  <conditionalFormatting sqref="B522:B524 C522:D524 A522:A524">
    <cfRule type="notContainsBlanks" dxfId="52" priority="13">
      <formula>LEN(TRIM(B522))&gt;0</formula>
    </cfRule>
  </conditionalFormatting>
  <conditionalFormatting sqref="B522:B524 C522:C524">
    <cfRule type="notContainsBlanks" dxfId="51" priority="14">
      <formula>LEN(TRIM(B522))&gt;0</formula>
    </cfRule>
  </conditionalFormatting>
  <conditionalFormatting sqref="B521 C521:D521 A521">
    <cfRule type="notContainsBlanks" dxfId="50" priority="15">
      <formula>LEN(TRIM(B521))&gt;0</formula>
    </cfRule>
  </conditionalFormatting>
  <conditionalFormatting sqref="B521 C521">
    <cfRule type="notContainsBlanks" dxfId="49" priority="16">
      <formula>LEN(TRIM(B521))&gt;0</formula>
    </cfRule>
  </conditionalFormatting>
  <conditionalFormatting sqref="B502:B520 C502:D520 A502:A520">
    <cfRule type="notContainsBlanks" dxfId="48" priority="17">
      <formula>LEN(TRIM(B502))&gt;0</formula>
    </cfRule>
  </conditionalFormatting>
  <conditionalFormatting sqref="B506:B508 C507:C512 D508:D512 B510:B520 C520">
    <cfRule type="notContainsBlanks" dxfId="47" priority="18">
      <formula>LEN(TRIM(B506))&gt;0</formula>
    </cfRule>
  </conditionalFormatting>
  <conditionalFormatting sqref="B497:B501 C497:D501">
    <cfRule type="notContainsBlanks" dxfId="46" priority="19">
      <formula>LEN(TRIM(B497))&gt;0</formula>
    </cfRule>
  </conditionalFormatting>
  <conditionalFormatting sqref="B499 C501">
    <cfRule type="notContainsBlanks" dxfId="45" priority="20">
      <formula>LEN(TRIM(B499))&gt;0</formula>
    </cfRule>
  </conditionalFormatting>
  <conditionalFormatting sqref="B494:B496 C494:D496">
    <cfRule type="notContainsBlanks" dxfId="44" priority="21">
      <formula>LEN(TRIM(B494))&gt;0</formula>
    </cfRule>
  </conditionalFormatting>
  <conditionalFormatting sqref="B494:B496">
    <cfRule type="notContainsBlanks" dxfId="43" priority="22">
      <formula>LEN(TRIM(B494))&gt;0</formula>
    </cfRule>
  </conditionalFormatting>
  <conditionalFormatting sqref="B491:B493">
    <cfRule type="notContainsBlanks" dxfId="42" priority="23">
      <formula>LEN(TRIM(B491))&gt;0</formula>
    </cfRule>
  </conditionalFormatting>
  <conditionalFormatting sqref="B491:B493 C491:C493">
    <cfRule type="notContainsBlanks" dxfId="41" priority="24">
      <formula>LEN(TRIM(B491))&gt;0</formula>
    </cfRule>
  </conditionalFormatting>
  <conditionalFormatting sqref="B490">
    <cfRule type="notContainsBlanks" dxfId="40" priority="25">
      <formula>LEN(TRIM(B490))&gt;0</formula>
    </cfRule>
  </conditionalFormatting>
  <conditionalFormatting sqref="B490 C490">
    <cfRule type="notContainsBlanks" dxfId="39" priority="26">
      <formula>LEN(TRIM(B490))&gt;0</formula>
    </cfRule>
  </conditionalFormatting>
  <conditionalFormatting sqref="B473:B484 C473:D475 C477:D483 B486:B489">
    <cfRule type="notContainsBlanks" dxfId="38" priority="27">
      <formula>LEN(TRIM(B473))&gt;0</formula>
    </cfRule>
  </conditionalFormatting>
  <conditionalFormatting sqref="B471 C471 D471 A471 B475:B477 C476:C481 D477:D481 B479:B489 C489">
    <cfRule type="notContainsBlanks" dxfId="37" priority="28">
      <formula>LEN(TRIM(B471))&gt;0</formula>
    </cfRule>
  </conditionalFormatting>
  <conditionalFormatting sqref="B470:D470">
    <cfRule type="notContainsBlanks" dxfId="36" priority="29">
      <formula>LEN(TRIM(B470))&gt;0</formula>
    </cfRule>
  </conditionalFormatting>
  <conditionalFormatting sqref="B466:B470 C466:C470 D466:D470">
    <cfRule type="notContainsBlanks" dxfId="35" priority="30">
      <formula>LEN(TRIM(B466))&gt;0</formula>
    </cfRule>
  </conditionalFormatting>
  <conditionalFormatting sqref="B462:B465 C462:C465 D462:D465">
    <cfRule type="notContainsBlanks" dxfId="34" priority="31">
      <formula>LEN(TRIM(B462))&gt;0</formula>
    </cfRule>
  </conditionalFormatting>
  <conditionalFormatting sqref="B458:B461 C458:C461 D460">
    <cfRule type="notContainsBlanks" dxfId="33" priority="32">
      <formula>LEN(TRIM(B458))&gt;0</formula>
    </cfRule>
  </conditionalFormatting>
  <conditionalFormatting sqref="B457 C457">
    <cfRule type="notContainsBlanks" dxfId="32" priority="33">
      <formula>LEN(TRIM(B457))&gt;0</formula>
    </cfRule>
  </conditionalFormatting>
  <conditionalFormatting sqref="B440:B456 C440:C450 D440:D442 D444:D450 C456">
    <cfRule type="notContainsBlanks" dxfId="31" priority="34">
      <formula>LEN(TRIM(B440))&gt;0</formula>
    </cfRule>
  </conditionalFormatting>
  <conditionalFormatting sqref="A438:D438">
    <cfRule type="notContainsBlanks" dxfId="30" priority="35">
      <formula>LEN(TRIM(A438))&gt;0</formula>
    </cfRule>
  </conditionalFormatting>
  <conditionalFormatting sqref="A437:D437">
    <cfRule type="notContainsBlanks" dxfId="29" priority="36">
      <formula>LEN(TRIM(A437))&gt;0</formula>
    </cfRule>
  </conditionalFormatting>
  <conditionalFormatting sqref="A411">
    <cfRule type="notContainsBlanks" dxfId="28" priority="37">
      <formula>LEN(TRIM(A411))&gt;0</formula>
    </cfRule>
  </conditionalFormatting>
  <conditionalFormatting sqref="A414:A416 B414:B427 C414:D414 C416:D416 A418:A420 C418:D427">
    <cfRule type="notContainsBlanks" dxfId="27" priority="38">
      <formula>LEN(TRIM(A414))&gt;0</formula>
    </cfRule>
  </conditionalFormatting>
  <conditionalFormatting sqref="A401">
    <cfRule type="notContainsBlanks" dxfId="26" priority="39">
      <formula>LEN(TRIM(A401))&gt;0</formula>
    </cfRule>
  </conditionalFormatting>
  <conditionalFormatting sqref="A392">
    <cfRule type="notContainsBlanks" dxfId="25" priority="40">
      <formula>LEN(TRIM(A392))&gt;0</formula>
    </cfRule>
  </conditionalFormatting>
  <conditionalFormatting sqref="A385">
    <cfRule type="notContainsBlanks" dxfId="24" priority="41">
      <formula>LEN(TRIM(A385))&gt;0</formula>
    </cfRule>
  </conditionalFormatting>
  <conditionalFormatting sqref="A396">
    <cfRule type="notContainsBlanks" dxfId="23" priority="42">
      <formula>LEN(TRIM(A396))&gt;0</formula>
    </cfRule>
  </conditionalFormatting>
  <conditionalFormatting sqref="A376">
    <cfRule type="notContainsBlanks" dxfId="22" priority="43">
      <formula>LEN(TRIM(A376))&gt;0</formula>
    </cfRule>
  </conditionalFormatting>
  <conditionalFormatting sqref="A352 A362 A367">
    <cfRule type="notContainsBlanks" dxfId="21" priority="44">
      <formula>LEN(TRIM(A352))&gt;0</formula>
    </cfRule>
  </conditionalFormatting>
  <conditionalFormatting sqref="A305">
    <cfRule type="notContainsBlanks" dxfId="20" priority="45">
      <formula>LEN(TRIM(A305))&gt;0</formula>
    </cfRule>
  </conditionalFormatting>
  <conditionalFormatting sqref="A248">
    <cfRule type="notContainsBlanks" dxfId="19" priority="46">
      <formula>LEN(TRIM(A248))&gt;0</formula>
    </cfRule>
  </conditionalFormatting>
  <conditionalFormatting sqref="A211">
    <cfRule type="notContainsBlanks" dxfId="18" priority="47">
      <formula>LEN(TRIM(A211))&gt;0</formula>
    </cfRule>
  </conditionalFormatting>
  <conditionalFormatting sqref="A169">
    <cfRule type="notContainsBlanks" dxfId="17" priority="48">
      <formula>LEN(TRIM(A169))&gt;0</formula>
    </cfRule>
  </conditionalFormatting>
  <conditionalFormatting sqref="B54:D54 A54">
    <cfRule type="notContainsBlanks" dxfId="16" priority="49">
      <formula>LEN(TRIM(B54))&gt;0</formula>
    </cfRule>
  </conditionalFormatting>
  <dataValidations count="2">
    <dataValidation type="list" allowBlank="1" sqref="C3" xr:uid="{00000000-0002-0000-0200-000000000000}">
      <formula1>"Екатеринбург,Москва,Тюмень,Курган,Новосибирск,Омск,Сургут"</formula1>
    </dataValidation>
    <dataValidation type="list" allowBlank="1" sqref="C4" xr:uid="{00000000-0002-0000-0200-000001000000}">
      <formula1>"ААА,АА,А,А+,В,В+,С"</formula1>
    </dataValidation>
  </dataValidations>
  <hyperlinks>
    <hyperlink ref="B41" r:id="rId1" xr:uid="{00000000-0004-0000-0200-000000000000}"/>
    <hyperlink ref="B43" r:id="rId2" xr:uid="{00000000-0004-0000-0200-000001000000}"/>
    <hyperlink ref="B47" r:id="rId3" xr:uid="{00000000-0004-0000-0200-000002000000}"/>
    <hyperlink ref="A60" r:id="rId4" xr:uid="{00000000-0004-0000-0200-000003000000}"/>
    <hyperlink ref="B156" r:id="rId5" xr:uid="{00000000-0004-0000-0200-000004000000}"/>
    <hyperlink ref="B157" r:id="rId6" xr:uid="{00000000-0004-0000-0200-000005000000}"/>
    <hyperlink ref="B158" r:id="rId7" xr:uid="{00000000-0004-0000-0200-000006000000}"/>
    <hyperlink ref="B159" r:id="rId8" xr:uid="{00000000-0004-0000-0200-000007000000}"/>
    <hyperlink ref="B160" r:id="rId9" xr:uid="{00000000-0004-0000-0200-000008000000}"/>
    <hyperlink ref="B161" r:id="rId10" xr:uid="{00000000-0004-0000-0200-000009000000}"/>
    <hyperlink ref="B162" r:id="rId11" xr:uid="{00000000-0004-0000-0200-00000A000000}"/>
    <hyperlink ref="B163" r:id="rId12" xr:uid="{00000000-0004-0000-0200-00000B000000}"/>
    <hyperlink ref="B164" r:id="rId13" xr:uid="{00000000-0004-0000-0200-00000C000000}"/>
    <hyperlink ref="B165" r:id="rId14" xr:uid="{00000000-0004-0000-0200-00000D000000}"/>
    <hyperlink ref="B166" r:id="rId15" xr:uid="{00000000-0004-0000-0200-00000E000000}"/>
    <hyperlink ref="B167" r:id="rId16" xr:uid="{00000000-0004-0000-0200-00000F000000}"/>
    <hyperlink ref="A171" r:id="rId17" xr:uid="{00000000-0004-0000-0200-000010000000}"/>
    <hyperlink ref="A173" r:id="rId18" xr:uid="{00000000-0004-0000-0200-000011000000}"/>
    <hyperlink ref="A175" r:id="rId19" xr:uid="{00000000-0004-0000-0200-000012000000}"/>
    <hyperlink ref="A177" r:id="rId20" xr:uid="{00000000-0004-0000-0200-000013000000}"/>
    <hyperlink ref="A179" r:id="rId21" xr:uid="{00000000-0004-0000-0200-000014000000}"/>
    <hyperlink ref="B181" r:id="rId22" xr:uid="{00000000-0004-0000-0200-000015000000}"/>
    <hyperlink ref="A182" r:id="rId23" xr:uid="{00000000-0004-0000-0200-000016000000}"/>
    <hyperlink ref="A184" r:id="rId24" xr:uid="{00000000-0004-0000-0200-000017000000}"/>
    <hyperlink ref="A186" r:id="rId25" xr:uid="{00000000-0004-0000-0200-000018000000}"/>
    <hyperlink ref="A188" r:id="rId26" xr:uid="{00000000-0004-0000-0200-000019000000}"/>
    <hyperlink ref="A190" r:id="rId27" xr:uid="{00000000-0004-0000-0200-00001A000000}"/>
    <hyperlink ref="A192" r:id="rId28" xr:uid="{00000000-0004-0000-0200-00001B000000}"/>
    <hyperlink ref="A194" r:id="rId29" xr:uid="{00000000-0004-0000-0200-00001C000000}"/>
    <hyperlink ref="A196" r:id="rId30" xr:uid="{00000000-0004-0000-0200-00001D000000}"/>
    <hyperlink ref="A198" r:id="rId31" xr:uid="{00000000-0004-0000-0200-00001E000000}"/>
    <hyperlink ref="A200" r:id="rId32" xr:uid="{00000000-0004-0000-0200-00001F000000}"/>
    <hyperlink ref="A202" r:id="rId33" xr:uid="{00000000-0004-0000-0200-000020000000}"/>
    <hyperlink ref="A204" r:id="rId34" xr:uid="{00000000-0004-0000-0200-000021000000}"/>
    <hyperlink ref="A207" r:id="rId35" xr:uid="{00000000-0004-0000-0200-000022000000}"/>
    <hyperlink ref="C208" r:id="rId36" xr:uid="{00000000-0004-0000-0200-000023000000}"/>
    <hyperlink ref="A209" r:id="rId37" xr:uid="{00000000-0004-0000-0200-000024000000}"/>
    <hyperlink ref="B217" r:id="rId38" xr:uid="{00000000-0004-0000-0200-000025000000}"/>
    <hyperlink ref="A239" r:id="rId39" xr:uid="{00000000-0004-0000-0200-000026000000}"/>
    <hyperlink ref="C242" r:id="rId40" xr:uid="{00000000-0004-0000-0200-000027000000}"/>
    <hyperlink ref="B246" r:id="rId41" xr:uid="{00000000-0004-0000-0200-000028000000}"/>
    <hyperlink ref="B247" r:id="rId42" xr:uid="{00000000-0004-0000-0200-000029000000}"/>
    <hyperlink ref="C249" r:id="rId43" xr:uid="{00000000-0004-0000-0200-00002A000000}"/>
    <hyperlink ref="B251" r:id="rId44" xr:uid="{00000000-0004-0000-0200-00002B000000}"/>
    <hyperlink ref="B252" r:id="rId45" xr:uid="{00000000-0004-0000-0200-00002C000000}"/>
    <hyperlink ref="A305" r:id="rId46" xr:uid="{00000000-0004-0000-0200-00002D000000}"/>
    <hyperlink ref="A327" r:id="rId47" xr:uid="{00000000-0004-0000-0200-00002E000000}"/>
    <hyperlink ref="B347" r:id="rId48" xr:uid="{00000000-0004-0000-0200-00002F000000}"/>
    <hyperlink ref="A352" r:id="rId49" xr:uid="{00000000-0004-0000-0200-000030000000}"/>
    <hyperlink ref="A376" r:id="rId50" xr:uid="{00000000-0004-0000-0200-000031000000}"/>
    <hyperlink ref="B399" r:id="rId51" xr:uid="{00000000-0004-0000-0200-000032000000}"/>
    <hyperlink ref="A401" r:id="rId52" xr:uid="{00000000-0004-0000-0200-000033000000}"/>
    <hyperlink ref="B403" r:id="rId53" xr:uid="{00000000-0004-0000-0200-000034000000}"/>
    <hyperlink ref="B404" r:id="rId54" xr:uid="{00000000-0004-0000-0200-000035000000}"/>
    <hyperlink ref="B406" r:id="rId55" xr:uid="{00000000-0004-0000-0200-000036000000}"/>
    <hyperlink ref="B407" r:id="rId56" xr:uid="{00000000-0004-0000-0200-000037000000}"/>
    <hyperlink ref="B408" r:id="rId57" xr:uid="{00000000-0004-0000-0200-000038000000}"/>
    <hyperlink ref="B409" r:id="rId58" xr:uid="{00000000-0004-0000-0200-000039000000}"/>
    <hyperlink ref="B410" r:id="rId59" xr:uid="{00000000-0004-0000-0200-00003A000000}"/>
    <hyperlink ref="A411" r:id="rId60" xr:uid="{00000000-0004-0000-0200-00003B000000}"/>
    <hyperlink ref="B434" r:id="rId61" xr:uid="{00000000-0004-0000-0200-00003C000000}"/>
    <hyperlink ref="B436" r:id="rId62" xr:uid="{00000000-0004-0000-0200-00003D000000}"/>
    <hyperlink ref="B442" r:id="rId63" xr:uid="{00000000-0004-0000-0200-00003E000000}"/>
    <hyperlink ref="B443" r:id="rId64" xr:uid="{00000000-0004-0000-0200-00003F000000}"/>
    <hyperlink ref="B444" r:id="rId65" xr:uid="{00000000-0004-0000-0200-000040000000}"/>
    <hyperlink ref="B445" r:id="rId66" xr:uid="{00000000-0004-0000-0200-000041000000}"/>
    <hyperlink ref="B448" r:id="rId67" xr:uid="{00000000-0004-0000-0200-000042000000}"/>
    <hyperlink ref="B449" r:id="rId68" xr:uid="{00000000-0004-0000-0200-000043000000}"/>
    <hyperlink ref="B450" r:id="rId69" xr:uid="{00000000-0004-0000-0200-000044000000}"/>
    <hyperlink ref="B451" r:id="rId70" xr:uid="{00000000-0004-0000-0200-000045000000}"/>
    <hyperlink ref="B452" r:id="rId71" xr:uid="{00000000-0004-0000-0200-000046000000}"/>
    <hyperlink ref="B453" r:id="rId72" xr:uid="{00000000-0004-0000-0200-000047000000}"/>
    <hyperlink ref="B454" r:id="rId73" xr:uid="{00000000-0004-0000-0200-000048000000}"/>
    <hyperlink ref="B455" r:id="rId74" xr:uid="{00000000-0004-0000-0200-000049000000}"/>
    <hyperlink ref="B456" r:id="rId75" xr:uid="{00000000-0004-0000-0200-00004A000000}"/>
    <hyperlink ref="B457" r:id="rId76" xr:uid="{00000000-0004-0000-0200-00004B000000}"/>
    <hyperlink ref="B458" r:id="rId77" xr:uid="{00000000-0004-0000-0200-00004C000000}"/>
    <hyperlink ref="B459" r:id="rId78" xr:uid="{00000000-0004-0000-0200-00004D000000}"/>
    <hyperlink ref="B460" r:id="rId79" xr:uid="{00000000-0004-0000-0200-00004E000000}"/>
    <hyperlink ref="B461" r:id="rId80" xr:uid="{00000000-0004-0000-0200-00004F000000}"/>
    <hyperlink ref="B462" r:id="rId81" xr:uid="{00000000-0004-0000-0200-000050000000}"/>
    <hyperlink ref="B463" r:id="rId82" xr:uid="{00000000-0004-0000-0200-000051000000}"/>
    <hyperlink ref="B464" r:id="rId83" xr:uid="{00000000-0004-0000-0200-000052000000}"/>
    <hyperlink ref="B465" r:id="rId84" xr:uid="{00000000-0004-0000-0200-000053000000}"/>
    <hyperlink ref="B467" r:id="rId85" xr:uid="{00000000-0004-0000-0200-000054000000}"/>
    <hyperlink ref="B468" r:id="rId86" xr:uid="{00000000-0004-0000-0200-000055000000}"/>
    <hyperlink ref="C470" r:id="rId87" xr:uid="{00000000-0004-0000-0200-000056000000}"/>
    <hyperlink ref="B475" r:id="rId88" xr:uid="{00000000-0004-0000-0200-000057000000}"/>
    <hyperlink ref="B476" r:id="rId89" xr:uid="{00000000-0004-0000-0200-000058000000}"/>
    <hyperlink ref="B477" r:id="rId90" xr:uid="{00000000-0004-0000-0200-000059000000}"/>
    <hyperlink ref="B478" r:id="rId91" xr:uid="{00000000-0004-0000-0200-00005A000000}"/>
    <hyperlink ref="B481" r:id="rId92" xr:uid="{00000000-0004-0000-0200-00005B000000}"/>
    <hyperlink ref="B482" r:id="rId93" xr:uid="{00000000-0004-0000-0200-00005C000000}"/>
    <hyperlink ref="B483" r:id="rId94" xr:uid="{00000000-0004-0000-0200-00005D000000}"/>
    <hyperlink ref="B484" r:id="rId95" xr:uid="{00000000-0004-0000-0200-00005E000000}"/>
    <hyperlink ref="B485" r:id="rId96" xr:uid="{00000000-0004-0000-0200-00005F000000}"/>
    <hyperlink ref="B486" r:id="rId97" xr:uid="{00000000-0004-0000-0200-000060000000}"/>
    <hyperlink ref="B487" r:id="rId98" xr:uid="{00000000-0004-0000-0200-000061000000}"/>
    <hyperlink ref="B488" r:id="rId99" xr:uid="{00000000-0004-0000-0200-000062000000}"/>
    <hyperlink ref="B489" r:id="rId100" xr:uid="{00000000-0004-0000-0200-000063000000}"/>
    <hyperlink ref="B490" r:id="rId101" xr:uid="{00000000-0004-0000-0200-000064000000}"/>
    <hyperlink ref="B491" r:id="rId102" xr:uid="{00000000-0004-0000-0200-000065000000}"/>
    <hyperlink ref="B492" r:id="rId103" xr:uid="{00000000-0004-0000-0200-000066000000}"/>
    <hyperlink ref="B493" r:id="rId104" xr:uid="{00000000-0004-0000-0200-000067000000}"/>
    <hyperlink ref="B494" r:id="rId105" xr:uid="{00000000-0004-0000-0200-000068000000}"/>
    <hyperlink ref="B495" r:id="rId106" xr:uid="{00000000-0004-0000-0200-000069000000}"/>
    <hyperlink ref="B496" r:id="rId107" xr:uid="{00000000-0004-0000-0200-00006A000000}"/>
    <hyperlink ref="B498" r:id="rId108" xr:uid="{00000000-0004-0000-0200-00006B000000}"/>
    <hyperlink ref="B499" r:id="rId109" xr:uid="{00000000-0004-0000-0200-00006C000000}"/>
    <hyperlink ref="C501" r:id="rId110" xr:uid="{00000000-0004-0000-0200-00006D000000}"/>
    <hyperlink ref="B506" r:id="rId111" xr:uid="{00000000-0004-0000-0200-00006E000000}"/>
    <hyperlink ref="B507" r:id="rId112" xr:uid="{00000000-0004-0000-0200-00006F000000}"/>
    <hyperlink ref="B508" r:id="rId113" xr:uid="{00000000-0004-0000-0200-000070000000}"/>
    <hyperlink ref="B512" r:id="rId114" xr:uid="{00000000-0004-0000-0200-000071000000}"/>
    <hyperlink ref="B513" r:id="rId115" xr:uid="{00000000-0004-0000-0200-000072000000}"/>
    <hyperlink ref="B514" r:id="rId116" xr:uid="{00000000-0004-0000-0200-000073000000}"/>
    <hyperlink ref="B515" r:id="rId117" xr:uid="{00000000-0004-0000-0200-000074000000}"/>
    <hyperlink ref="B516" r:id="rId118" xr:uid="{00000000-0004-0000-0200-000075000000}"/>
    <hyperlink ref="B517" r:id="rId119" xr:uid="{00000000-0004-0000-0200-000076000000}"/>
    <hyperlink ref="B518" r:id="rId120" xr:uid="{00000000-0004-0000-0200-000077000000}"/>
    <hyperlink ref="B519" r:id="rId121" xr:uid="{00000000-0004-0000-0200-000078000000}"/>
    <hyperlink ref="B520" r:id="rId122" xr:uid="{00000000-0004-0000-0200-000079000000}"/>
    <hyperlink ref="B521" r:id="rId123" xr:uid="{00000000-0004-0000-0200-00007A000000}"/>
    <hyperlink ref="B522" r:id="rId124" xr:uid="{00000000-0004-0000-0200-00007B000000}"/>
    <hyperlink ref="B523" r:id="rId125" xr:uid="{00000000-0004-0000-0200-00007C000000}"/>
    <hyperlink ref="B524" r:id="rId126" xr:uid="{00000000-0004-0000-0200-00007D000000}"/>
    <hyperlink ref="B525" r:id="rId127" xr:uid="{00000000-0004-0000-0200-00007E000000}"/>
    <hyperlink ref="B526" r:id="rId128" xr:uid="{00000000-0004-0000-0200-00007F000000}"/>
    <hyperlink ref="B528" r:id="rId129" xr:uid="{00000000-0004-0000-0200-000080000000}"/>
    <hyperlink ref="B529" r:id="rId130" xr:uid="{00000000-0004-0000-0200-000081000000}"/>
    <hyperlink ref="C531" r:id="rId131" xr:uid="{00000000-0004-0000-0200-000082000000}"/>
    <hyperlink ref="B536" r:id="rId132" xr:uid="{00000000-0004-0000-0200-000083000000}"/>
    <hyperlink ref="B539" r:id="rId133" xr:uid="{00000000-0004-0000-0200-000084000000}"/>
    <hyperlink ref="B541" r:id="rId134" xr:uid="{00000000-0004-0000-0200-000085000000}"/>
    <hyperlink ref="B545" r:id="rId135" xr:uid="{00000000-0004-0000-0200-000086000000}"/>
    <hyperlink ref="B718" r:id="rId136" xr:uid="{00000000-0004-0000-0200-000087000000}"/>
    <hyperlink ref="B729" r:id="rId137" xr:uid="{00000000-0004-0000-0200-000088000000}"/>
    <hyperlink ref="B738" r:id="rId138" xr:uid="{00000000-0004-0000-0200-000089000000}"/>
    <hyperlink ref="B748" r:id="rId139" xr:uid="{00000000-0004-0000-0200-00008A000000}"/>
    <hyperlink ref="C763" r:id="rId140" xr:uid="{00000000-0004-0000-0200-00008B000000}"/>
    <hyperlink ref="B813" r:id="rId141" xr:uid="{00000000-0004-0000-0200-00008C000000}"/>
    <hyperlink ref="B814" r:id="rId142" xr:uid="{00000000-0004-0000-0200-00008D000000}"/>
    <hyperlink ref="B827" r:id="rId143" xr:uid="{00000000-0004-0000-0200-00008E000000}"/>
    <hyperlink ref="B828" r:id="rId144" xr:uid="{00000000-0004-0000-0200-00008F000000}"/>
    <hyperlink ref="B829" r:id="rId145" xr:uid="{00000000-0004-0000-0200-000090000000}"/>
    <hyperlink ref="B830" r:id="rId146" xr:uid="{00000000-0004-0000-0200-000091000000}"/>
    <hyperlink ref="B831" r:id="rId147" xr:uid="{00000000-0004-0000-0200-000092000000}"/>
    <hyperlink ref="B832" r:id="rId148" xr:uid="{00000000-0004-0000-0200-000093000000}"/>
    <hyperlink ref="B833" r:id="rId149" xr:uid="{00000000-0004-0000-0200-000094000000}"/>
    <hyperlink ref="B834" r:id="rId150" xr:uid="{00000000-0004-0000-0200-000095000000}"/>
    <hyperlink ref="B835" r:id="rId151" xr:uid="{00000000-0004-0000-0200-000096000000}"/>
    <hyperlink ref="A838" r:id="rId152" xr:uid="{00000000-0004-0000-0200-000097000000}"/>
    <hyperlink ref="A841" r:id="rId153" xr:uid="{00000000-0004-0000-0200-000098000000}"/>
    <hyperlink ref="A843" r:id="rId154" xr:uid="{00000000-0004-0000-0200-000099000000}"/>
    <hyperlink ref="A846" r:id="rId155" xr:uid="{00000000-0004-0000-0200-00009A000000}"/>
    <hyperlink ref="A849" r:id="rId156" xr:uid="{00000000-0004-0000-0200-00009B000000}"/>
    <hyperlink ref="A852" r:id="rId157" xr:uid="{00000000-0004-0000-0200-00009C000000}"/>
    <hyperlink ref="A855" r:id="rId158" xr:uid="{00000000-0004-0000-0200-00009D000000}"/>
  </hyperlinks>
  <pageMargins left="0.7" right="0.7" top="0.75" bottom="0.75" header="0.3" footer="0.3"/>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filterMode="1">
    <outlinePr summaryBelow="0" summaryRight="0"/>
    <pageSetUpPr fitToPage="1"/>
  </sheetPr>
  <dimension ref="A1:AE1232"/>
  <sheetViews>
    <sheetView showGridLines="0" workbookViewId="0"/>
  </sheetViews>
  <sheetFormatPr defaultColWidth="12.6640625" defaultRowHeight="15.75" customHeight="1" outlineLevelRow="3" outlineLevelCol="1"/>
  <cols>
    <col min="1" max="1" width="6.33203125" customWidth="1"/>
    <col min="2" max="2" width="25.109375" customWidth="1"/>
    <col min="3" max="3" width="50.109375" customWidth="1"/>
    <col min="4" max="4" width="12.6640625" customWidth="1"/>
    <col min="5" max="5" width="18.88671875" customWidth="1"/>
    <col min="6" max="14" width="18.88671875" customWidth="1" outlineLevel="1"/>
    <col min="15" max="15" width="3.21875" customWidth="1"/>
    <col min="16" max="17" width="11.33203125" customWidth="1" outlineLevel="1"/>
    <col min="18" max="18" width="3.21875" customWidth="1"/>
    <col min="19" max="26" width="11.33203125" customWidth="1" outlineLevel="1"/>
    <col min="27" max="27" width="3.88671875" customWidth="1"/>
    <col min="28" max="30" width="11.33203125" customWidth="1" outlineLevel="1"/>
    <col min="31" max="31" width="18.88671875" customWidth="1"/>
  </cols>
  <sheetData>
    <row r="1" spans="1:31" ht="13.2">
      <c r="A1" s="397" t="s">
        <v>557</v>
      </c>
      <c r="B1" s="398"/>
      <c r="C1" s="398"/>
      <c r="D1" s="399"/>
      <c r="E1" s="116"/>
      <c r="F1" s="116"/>
      <c r="G1" s="116"/>
      <c r="H1" s="116"/>
      <c r="I1" s="116"/>
      <c r="J1" s="116"/>
      <c r="K1" s="116"/>
      <c r="L1" s="116"/>
      <c r="M1" s="116"/>
      <c r="N1" s="116"/>
      <c r="O1" s="116"/>
      <c r="P1" s="116"/>
      <c r="Q1" s="116"/>
      <c r="R1" s="116"/>
      <c r="S1" s="116"/>
      <c r="T1" s="116"/>
      <c r="U1" s="116"/>
      <c r="V1" s="116"/>
      <c r="W1" s="116"/>
      <c r="X1" s="116"/>
      <c r="Y1" s="116"/>
      <c r="Z1" s="116"/>
      <c r="AA1" s="116"/>
      <c r="AB1" s="116"/>
      <c r="AC1" s="116"/>
      <c r="AD1" s="116"/>
      <c r="AE1" s="116"/>
    </row>
    <row r="2" spans="1:31" ht="13.2" outlineLevel="1">
      <c r="A2" s="400" t="s">
        <v>2379</v>
      </c>
      <c r="B2" s="398"/>
      <c r="C2" s="398"/>
      <c r="D2" s="399"/>
      <c r="E2" s="53"/>
      <c r="F2" s="53"/>
      <c r="G2" s="53"/>
      <c r="H2" s="53"/>
      <c r="I2" s="53"/>
      <c r="J2" s="53"/>
      <c r="K2" s="53"/>
      <c r="L2" s="53"/>
      <c r="M2" s="53"/>
      <c r="N2" s="53"/>
      <c r="O2" s="53"/>
      <c r="P2" s="53"/>
      <c r="Q2" s="53"/>
      <c r="R2" s="53"/>
      <c r="S2" s="53"/>
      <c r="T2" s="53"/>
      <c r="U2" s="53"/>
      <c r="V2" s="53"/>
      <c r="W2" s="53"/>
      <c r="X2" s="53"/>
      <c r="Y2" s="53"/>
      <c r="Z2" s="53"/>
      <c r="AA2" s="53"/>
      <c r="AB2" s="53"/>
      <c r="AC2" s="53"/>
      <c r="AD2" s="53"/>
      <c r="AE2" s="53"/>
    </row>
    <row r="3" spans="1:31" ht="13.2" outlineLevel="1">
      <c r="A3" s="401" t="s">
        <v>2</v>
      </c>
      <c r="B3" s="399"/>
      <c r="C3" s="401" t="s">
        <v>2380</v>
      </c>
      <c r="D3" s="399"/>
      <c r="E3" s="53"/>
      <c r="F3" s="53"/>
      <c r="G3" s="53" t="s">
        <v>2381</v>
      </c>
      <c r="H3" s="53"/>
      <c r="I3" s="53"/>
      <c r="J3" s="53"/>
      <c r="K3" s="53"/>
      <c r="L3" s="53"/>
      <c r="M3" s="53"/>
      <c r="N3" s="53"/>
      <c r="O3" s="53"/>
      <c r="P3" s="53"/>
      <c r="Q3" s="53"/>
      <c r="R3" s="53"/>
      <c r="S3" s="53"/>
      <c r="T3" s="53"/>
      <c r="U3" s="53"/>
      <c r="V3" s="53"/>
      <c r="W3" s="53"/>
      <c r="X3" s="53"/>
      <c r="Y3" s="53"/>
      <c r="Z3" s="53"/>
      <c r="AA3" s="53"/>
      <c r="AB3" s="53"/>
      <c r="AC3" s="53"/>
      <c r="AD3" s="53"/>
      <c r="AE3" s="53"/>
    </row>
    <row r="4" spans="1:31" ht="13.2" outlineLevel="1">
      <c r="A4" s="401" t="s">
        <v>4</v>
      </c>
      <c r="B4" s="399"/>
      <c r="C4" s="401" t="s">
        <v>559</v>
      </c>
      <c r="D4" s="399"/>
      <c r="E4" s="53"/>
      <c r="F4" s="53"/>
      <c r="G4" s="53"/>
      <c r="H4" s="53"/>
      <c r="I4" s="53"/>
      <c r="J4" s="53"/>
      <c r="K4" s="53"/>
      <c r="L4" s="53"/>
      <c r="M4" s="53"/>
      <c r="N4" s="53"/>
      <c r="O4" s="53"/>
      <c r="P4" s="53"/>
      <c r="Q4" s="53"/>
      <c r="R4" s="53"/>
      <c r="S4" s="53"/>
      <c r="T4" s="53"/>
      <c r="U4" s="53"/>
      <c r="V4" s="53"/>
      <c r="W4" s="53"/>
      <c r="X4" s="53"/>
      <c r="Y4" s="53"/>
      <c r="Z4" s="53"/>
      <c r="AA4" s="53"/>
      <c r="AB4" s="53"/>
      <c r="AC4" s="53"/>
      <c r="AD4" s="53"/>
      <c r="AE4" s="53"/>
    </row>
    <row r="5" spans="1:31" ht="13.2">
      <c r="A5" s="53"/>
      <c r="B5" s="53"/>
      <c r="C5" s="53"/>
      <c r="D5" s="53"/>
      <c r="E5" s="53"/>
      <c r="F5" s="53"/>
      <c r="G5" s="53"/>
      <c r="H5" s="53"/>
      <c r="I5" s="53"/>
      <c r="J5" s="53"/>
      <c r="K5" s="53"/>
      <c r="L5" s="53"/>
      <c r="M5" s="53"/>
      <c r="N5" s="53"/>
      <c r="O5" s="53"/>
      <c r="P5" s="53"/>
      <c r="Q5" s="53"/>
      <c r="R5" s="53"/>
      <c r="S5" s="53"/>
      <c r="T5" s="53"/>
      <c r="U5" s="53"/>
      <c r="V5" s="53"/>
      <c r="W5" s="53"/>
      <c r="X5" s="53"/>
      <c r="Y5" s="53"/>
      <c r="Z5" s="53"/>
      <c r="AA5" s="53"/>
      <c r="AB5" s="53"/>
      <c r="AC5" s="53"/>
      <c r="AD5" s="53"/>
      <c r="AE5" s="53"/>
    </row>
    <row r="6" spans="1:31" ht="13.2" outlineLevel="1">
      <c r="A6" s="402" t="s">
        <v>2382</v>
      </c>
      <c r="B6" s="398"/>
      <c r="C6" s="398"/>
      <c r="D6" s="399"/>
      <c r="E6" s="53"/>
      <c r="F6" s="53"/>
      <c r="G6" s="53"/>
      <c r="H6" s="53"/>
      <c r="I6" s="53"/>
      <c r="J6" s="53"/>
      <c r="K6" s="53"/>
      <c r="L6" s="53"/>
      <c r="M6" s="53"/>
      <c r="N6" s="53"/>
      <c r="O6" s="53"/>
      <c r="P6" s="53"/>
      <c r="Q6" s="53"/>
      <c r="R6" s="53"/>
      <c r="S6" s="53"/>
      <c r="T6" s="53"/>
      <c r="U6" s="53"/>
      <c r="V6" s="53"/>
      <c r="W6" s="53"/>
      <c r="X6" s="53"/>
      <c r="Y6" s="53"/>
      <c r="Z6" s="53"/>
      <c r="AA6" s="53"/>
      <c r="AB6" s="53"/>
      <c r="AC6" s="53"/>
      <c r="AD6" s="53"/>
      <c r="AE6" s="53"/>
    </row>
    <row r="7" spans="1:31" ht="13.2" outlineLevel="1">
      <c r="A7" s="403" t="s">
        <v>2383</v>
      </c>
      <c r="B7" s="398"/>
      <c r="C7" s="398"/>
      <c r="D7" s="399"/>
      <c r="E7" s="117"/>
      <c r="F7" s="117"/>
      <c r="G7" s="117"/>
      <c r="H7" s="117"/>
      <c r="I7" s="117"/>
      <c r="J7" s="117"/>
      <c r="K7" s="117"/>
      <c r="L7" s="117"/>
      <c r="M7" s="117"/>
      <c r="N7" s="117"/>
      <c r="O7" s="117"/>
      <c r="P7" s="117"/>
      <c r="Q7" s="117"/>
      <c r="R7" s="117"/>
      <c r="S7" s="117"/>
      <c r="T7" s="117"/>
      <c r="U7" s="117"/>
      <c r="V7" s="117"/>
      <c r="W7" s="117"/>
      <c r="X7" s="117"/>
      <c r="Y7" s="117"/>
      <c r="Z7" s="117"/>
      <c r="AA7" s="117"/>
      <c r="AB7" s="117"/>
      <c r="AC7" s="117"/>
      <c r="AD7" s="117"/>
      <c r="AE7" s="117"/>
    </row>
    <row r="8" spans="1:31" ht="13.2" outlineLevel="1">
      <c r="A8" s="404"/>
      <c r="B8" s="398"/>
      <c r="C8" s="398"/>
      <c r="D8" s="399"/>
      <c r="E8" s="118"/>
      <c r="F8" s="118"/>
      <c r="G8" s="118"/>
      <c r="H8" s="118"/>
      <c r="I8" s="118"/>
      <c r="J8" s="118"/>
      <c r="K8" s="118"/>
      <c r="L8" s="118"/>
      <c r="M8" s="118"/>
      <c r="N8" s="118"/>
      <c r="O8" s="118"/>
      <c r="P8" s="118"/>
      <c r="Q8" s="118"/>
      <c r="R8" s="118"/>
      <c r="S8" s="118"/>
      <c r="T8" s="118"/>
      <c r="U8" s="118"/>
      <c r="V8" s="118"/>
      <c r="W8" s="118"/>
      <c r="X8" s="118"/>
      <c r="Y8" s="118"/>
      <c r="Z8" s="118"/>
      <c r="AA8" s="118"/>
      <c r="AB8" s="118"/>
      <c r="AC8" s="118"/>
      <c r="AD8" s="118"/>
      <c r="AE8" s="118"/>
    </row>
    <row r="9" spans="1:31" ht="13.2" outlineLevel="1">
      <c r="A9" s="400" t="s">
        <v>562</v>
      </c>
      <c r="B9" s="398"/>
      <c r="C9" s="398"/>
      <c r="D9" s="399"/>
      <c r="E9" s="119"/>
      <c r="F9" s="119"/>
      <c r="G9" s="119"/>
      <c r="H9" s="119"/>
      <c r="I9" s="119"/>
      <c r="J9" s="119"/>
      <c r="K9" s="119"/>
      <c r="L9" s="119"/>
      <c r="M9" s="119"/>
      <c r="N9" s="119"/>
      <c r="O9" s="119"/>
      <c r="P9" s="119"/>
      <c r="Q9" s="119"/>
      <c r="R9" s="119"/>
      <c r="S9" s="119"/>
      <c r="T9" s="119"/>
      <c r="U9" s="119"/>
      <c r="V9" s="119"/>
      <c r="W9" s="119"/>
      <c r="X9" s="119"/>
      <c r="Y9" s="119"/>
      <c r="Z9" s="119"/>
      <c r="AA9" s="119"/>
      <c r="AB9" s="119"/>
      <c r="AC9" s="119"/>
      <c r="AD9" s="119"/>
      <c r="AE9" s="119"/>
    </row>
    <row r="10" spans="1:31" ht="13.2" outlineLevel="1">
      <c r="A10" s="400" t="s">
        <v>563</v>
      </c>
      <c r="B10" s="398"/>
      <c r="C10" s="398"/>
      <c r="D10" s="399"/>
      <c r="E10" s="119"/>
      <c r="F10" s="119"/>
      <c r="G10" s="119"/>
      <c r="H10" s="119"/>
      <c r="I10" s="119"/>
      <c r="J10" s="119"/>
      <c r="K10" s="119"/>
      <c r="L10" s="119"/>
      <c r="M10" s="119"/>
      <c r="N10" s="119"/>
      <c r="O10" s="119"/>
      <c r="P10" s="119"/>
      <c r="Q10" s="119"/>
      <c r="R10" s="119"/>
      <c r="S10" s="119"/>
      <c r="T10" s="119"/>
      <c r="U10" s="119"/>
      <c r="V10" s="119"/>
      <c r="W10" s="119"/>
      <c r="X10" s="119"/>
      <c r="Y10" s="119"/>
      <c r="Z10" s="119"/>
      <c r="AA10" s="119"/>
      <c r="AB10" s="119"/>
      <c r="AC10" s="119"/>
      <c r="AD10" s="119"/>
      <c r="AE10" s="119"/>
    </row>
    <row r="11" spans="1:31" ht="13.2" outlineLevel="1">
      <c r="A11" s="54" t="s">
        <v>564</v>
      </c>
      <c r="B11" s="55"/>
      <c r="C11" s="404"/>
      <c r="D11" s="399"/>
      <c r="E11" s="118"/>
      <c r="F11" s="118"/>
      <c r="G11" s="118"/>
      <c r="H11" s="118"/>
      <c r="I11" s="118"/>
      <c r="J11" s="118"/>
      <c r="K11" s="118"/>
      <c r="L11" s="118"/>
      <c r="M11" s="118"/>
      <c r="N11" s="118"/>
      <c r="O11" s="118"/>
      <c r="P11" s="118"/>
      <c r="Q11" s="118"/>
      <c r="R11" s="118"/>
      <c r="S11" s="118"/>
      <c r="T11" s="118"/>
      <c r="U11" s="118"/>
      <c r="V11" s="118"/>
      <c r="W11" s="118"/>
      <c r="X11" s="118"/>
      <c r="Y11" s="118"/>
      <c r="Z11" s="118"/>
      <c r="AA11" s="118"/>
      <c r="AB11" s="118"/>
      <c r="AC11" s="118"/>
      <c r="AD11" s="118"/>
      <c r="AE11" s="118"/>
    </row>
    <row r="12" spans="1:31" ht="13.2" outlineLevel="1">
      <c r="A12" s="405" t="s">
        <v>479</v>
      </c>
      <c r="B12" s="399"/>
      <c r="C12" s="406" t="s">
        <v>2384</v>
      </c>
      <c r="D12" s="399"/>
      <c r="E12" s="120"/>
      <c r="F12" s="120"/>
      <c r="G12" s="120"/>
      <c r="H12" s="120"/>
      <c r="I12" s="120"/>
      <c r="J12" s="120"/>
      <c r="K12" s="120"/>
      <c r="L12" s="120"/>
      <c r="M12" s="120"/>
      <c r="N12" s="120"/>
      <c r="O12" s="120"/>
      <c r="P12" s="120"/>
      <c r="Q12" s="120"/>
      <c r="R12" s="120"/>
      <c r="S12" s="120"/>
      <c r="T12" s="120"/>
      <c r="U12" s="120"/>
      <c r="V12" s="120"/>
      <c r="W12" s="120"/>
      <c r="X12" s="120"/>
      <c r="Y12" s="120"/>
      <c r="Z12" s="120"/>
      <c r="AA12" s="120"/>
      <c r="AB12" s="120"/>
      <c r="AC12" s="120"/>
      <c r="AD12" s="120"/>
      <c r="AE12" s="120"/>
    </row>
    <row r="13" spans="1:31" ht="13.2" outlineLevel="1">
      <c r="A13" s="405" t="s">
        <v>466</v>
      </c>
      <c r="B13" s="399"/>
      <c r="C13" s="409" t="s">
        <v>481</v>
      </c>
      <c r="D13" s="399"/>
      <c r="E13" s="121"/>
      <c r="F13" s="121"/>
      <c r="G13" s="121"/>
      <c r="H13" s="121"/>
      <c r="I13" s="121"/>
      <c r="J13" s="121"/>
      <c r="K13" s="121"/>
      <c r="L13" s="121"/>
      <c r="M13" s="121"/>
      <c r="N13" s="121"/>
      <c r="O13" s="121"/>
      <c r="P13" s="121"/>
      <c r="Q13" s="121"/>
      <c r="R13" s="121"/>
      <c r="S13" s="121"/>
      <c r="T13" s="121"/>
      <c r="U13" s="121"/>
      <c r="V13" s="121"/>
      <c r="W13" s="121"/>
      <c r="X13" s="121"/>
      <c r="Y13" s="121"/>
      <c r="Z13" s="121"/>
      <c r="AA13" s="121"/>
      <c r="AB13" s="121"/>
      <c r="AC13" s="121"/>
      <c r="AD13" s="121"/>
      <c r="AE13" s="121"/>
    </row>
    <row r="14" spans="1:31" ht="13.2" outlineLevel="1">
      <c r="A14" s="403" t="s">
        <v>467</v>
      </c>
      <c r="B14" s="399"/>
      <c r="C14" s="409" t="s">
        <v>481</v>
      </c>
      <c r="D14" s="399"/>
      <c r="E14" s="121"/>
      <c r="F14" s="121"/>
      <c r="G14" s="121"/>
      <c r="H14" s="121"/>
      <c r="I14" s="121"/>
      <c r="J14" s="121"/>
      <c r="K14" s="121"/>
      <c r="L14" s="121"/>
      <c r="M14" s="121"/>
      <c r="N14" s="121"/>
      <c r="O14" s="121"/>
      <c r="P14" s="121"/>
      <c r="Q14" s="121"/>
      <c r="R14" s="121"/>
      <c r="S14" s="121"/>
      <c r="T14" s="121"/>
      <c r="U14" s="121"/>
      <c r="V14" s="121"/>
      <c r="W14" s="121"/>
      <c r="X14" s="121"/>
      <c r="Y14" s="121"/>
      <c r="Z14" s="121"/>
      <c r="AA14" s="121"/>
      <c r="AB14" s="121"/>
      <c r="AC14" s="121"/>
      <c r="AD14" s="121"/>
      <c r="AE14" s="121"/>
    </row>
    <row r="15" spans="1:31" ht="13.2" outlineLevel="1">
      <c r="A15" s="405" t="s">
        <v>482</v>
      </c>
      <c r="B15" s="399"/>
      <c r="C15" s="408" t="s">
        <v>483</v>
      </c>
      <c r="D15" s="399"/>
      <c r="E15" s="122"/>
      <c r="F15" s="122"/>
      <c r="G15" s="122"/>
      <c r="H15" s="122"/>
      <c r="I15" s="122"/>
      <c r="J15" s="122"/>
      <c r="K15" s="122"/>
      <c r="L15" s="122"/>
      <c r="M15" s="122"/>
      <c r="N15" s="122"/>
      <c r="O15" s="122"/>
      <c r="P15" s="122"/>
      <c r="Q15" s="122"/>
      <c r="R15" s="122"/>
      <c r="S15" s="122"/>
      <c r="T15" s="122"/>
      <c r="U15" s="122"/>
      <c r="V15" s="122"/>
      <c r="W15" s="122"/>
      <c r="X15" s="122"/>
      <c r="Y15" s="122"/>
      <c r="Z15" s="122"/>
      <c r="AA15" s="122"/>
      <c r="AB15" s="122"/>
      <c r="AC15" s="122"/>
      <c r="AD15" s="122"/>
      <c r="AE15" s="122"/>
    </row>
    <row r="16" spans="1:31" ht="13.2" outlineLevel="1">
      <c r="A16" s="405" t="s">
        <v>484</v>
      </c>
      <c r="B16" s="399"/>
      <c r="C16" s="408" t="s">
        <v>485</v>
      </c>
      <c r="D16" s="399"/>
      <c r="E16" s="122"/>
      <c r="F16" s="122"/>
      <c r="G16" s="122"/>
      <c r="H16" s="122"/>
      <c r="I16" s="122"/>
      <c r="J16" s="122"/>
      <c r="K16" s="122"/>
      <c r="L16" s="122"/>
      <c r="M16" s="122"/>
      <c r="N16" s="122"/>
      <c r="O16" s="122"/>
      <c r="P16" s="122"/>
      <c r="Q16" s="122"/>
      <c r="R16" s="122"/>
      <c r="S16" s="122"/>
      <c r="T16" s="122"/>
      <c r="U16" s="122"/>
      <c r="V16" s="122"/>
      <c r="W16" s="122"/>
      <c r="X16" s="122"/>
      <c r="Y16" s="122"/>
      <c r="Z16" s="122"/>
      <c r="AA16" s="122"/>
      <c r="AB16" s="122"/>
      <c r="AC16" s="122"/>
      <c r="AD16" s="122"/>
      <c r="AE16" s="122"/>
    </row>
    <row r="17" spans="1:31" ht="13.2" outlineLevel="1">
      <c r="A17" s="405" t="s">
        <v>566</v>
      </c>
      <c r="B17" s="399"/>
      <c r="C17" s="407" t="s">
        <v>567</v>
      </c>
      <c r="D17" s="399"/>
      <c r="E17" s="123"/>
      <c r="F17" s="123"/>
      <c r="G17" s="123"/>
      <c r="H17" s="123"/>
      <c r="I17" s="123"/>
      <c r="J17" s="123"/>
      <c r="K17" s="123"/>
      <c r="L17" s="123"/>
      <c r="M17" s="123"/>
      <c r="N17" s="123"/>
      <c r="O17" s="123"/>
      <c r="P17" s="123"/>
      <c r="Q17" s="123"/>
      <c r="R17" s="123"/>
      <c r="S17" s="123"/>
      <c r="T17" s="123"/>
      <c r="U17" s="123"/>
      <c r="V17" s="123"/>
      <c r="W17" s="123"/>
      <c r="X17" s="123"/>
      <c r="Y17" s="123"/>
      <c r="Z17" s="123"/>
      <c r="AA17" s="123"/>
      <c r="AB17" s="123"/>
      <c r="AC17" s="123"/>
      <c r="AD17" s="123"/>
      <c r="AE17" s="123"/>
    </row>
    <row r="18" spans="1:31" ht="13.2" outlineLevel="1">
      <c r="A18" s="405" t="s">
        <v>488</v>
      </c>
      <c r="B18" s="399"/>
      <c r="C18" s="408" t="s">
        <v>489</v>
      </c>
      <c r="D18" s="399"/>
      <c r="E18" s="122"/>
      <c r="F18" s="122"/>
      <c r="G18" s="122"/>
      <c r="H18" s="122"/>
      <c r="I18" s="122"/>
      <c r="J18" s="122"/>
      <c r="K18" s="122"/>
      <c r="L18" s="122"/>
      <c r="M18" s="122"/>
      <c r="N18" s="122"/>
      <c r="O18" s="122"/>
      <c r="P18" s="122"/>
      <c r="Q18" s="122"/>
      <c r="R18" s="122"/>
      <c r="S18" s="122"/>
      <c r="T18" s="122"/>
      <c r="U18" s="122"/>
      <c r="V18" s="122"/>
      <c r="W18" s="122"/>
      <c r="X18" s="122"/>
      <c r="Y18" s="122"/>
      <c r="Z18" s="122"/>
      <c r="AA18" s="122"/>
      <c r="AB18" s="122"/>
      <c r="AC18" s="122"/>
      <c r="AD18" s="122"/>
      <c r="AE18" s="122"/>
    </row>
    <row r="19" spans="1:31" ht="13.2" outlineLevel="1">
      <c r="A19" s="405" t="s">
        <v>490</v>
      </c>
      <c r="B19" s="399"/>
      <c r="C19" s="403" t="s">
        <v>568</v>
      </c>
      <c r="D19" s="399"/>
      <c r="E19" s="124"/>
      <c r="F19" s="124"/>
      <c r="G19" s="124"/>
      <c r="H19" s="124"/>
      <c r="I19" s="124"/>
      <c r="J19" s="124"/>
      <c r="K19" s="124"/>
      <c r="L19" s="124"/>
      <c r="M19" s="124"/>
      <c r="N19" s="124"/>
      <c r="O19" s="124"/>
      <c r="P19" s="124"/>
      <c r="Q19" s="124"/>
      <c r="R19" s="124"/>
      <c r="S19" s="124"/>
      <c r="T19" s="124"/>
      <c r="U19" s="124"/>
      <c r="V19" s="124"/>
      <c r="W19" s="124"/>
      <c r="X19" s="124"/>
      <c r="Y19" s="124"/>
      <c r="Z19" s="124"/>
      <c r="AA19" s="124"/>
      <c r="AB19" s="124"/>
      <c r="AC19" s="124"/>
      <c r="AD19" s="124"/>
      <c r="AE19" s="124"/>
    </row>
    <row r="20" spans="1:31" ht="13.2" outlineLevel="1">
      <c r="A20" s="405" t="s">
        <v>492</v>
      </c>
      <c r="B20" s="399"/>
      <c r="C20" s="408" t="s">
        <v>2385</v>
      </c>
      <c r="D20" s="399"/>
      <c r="E20" s="125"/>
      <c r="F20" s="125"/>
      <c r="G20" s="125"/>
      <c r="H20" s="125"/>
      <c r="I20" s="125"/>
      <c r="J20" s="125"/>
      <c r="K20" s="125"/>
      <c r="L20" s="125"/>
      <c r="M20" s="125"/>
      <c r="N20" s="125"/>
      <c r="O20" s="125"/>
      <c r="P20" s="125"/>
      <c r="Q20" s="125"/>
      <c r="R20" s="125"/>
      <c r="S20" s="125"/>
      <c r="T20" s="125"/>
      <c r="U20" s="125"/>
      <c r="V20" s="125"/>
      <c r="W20" s="125"/>
      <c r="X20" s="125"/>
      <c r="Y20" s="125"/>
      <c r="Z20" s="125"/>
      <c r="AA20" s="125"/>
      <c r="AB20" s="125"/>
      <c r="AC20" s="125"/>
      <c r="AD20" s="125"/>
      <c r="AE20" s="125"/>
    </row>
    <row r="21" spans="1:31" ht="13.2" outlineLevel="1">
      <c r="A21" s="403" t="s">
        <v>494</v>
      </c>
      <c r="B21" s="399"/>
      <c r="C21" s="409" t="s">
        <v>495</v>
      </c>
      <c r="D21" s="399"/>
      <c r="E21" s="121"/>
      <c r="F21" s="121"/>
      <c r="G21" s="121"/>
      <c r="H21" s="121"/>
      <c r="I21" s="121"/>
      <c r="J21" s="121"/>
      <c r="K21" s="121"/>
      <c r="L21" s="121"/>
      <c r="M21" s="121"/>
      <c r="N21" s="121"/>
      <c r="O21" s="121"/>
      <c r="P21" s="121"/>
      <c r="Q21" s="121"/>
      <c r="R21" s="121"/>
      <c r="S21" s="121"/>
      <c r="T21" s="121"/>
      <c r="U21" s="121"/>
      <c r="V21" s="121"/>
      <c r="W21" s="121"/>
      <c r="X21" s="121"/>
      <c r="Y21" s="121"/>
      <c r="Z21" s="121"/>
      <c r="AA21" s="121"/>
      <c r="AB21" s="121"/>
      <c r="AC21" s="121"/>
      <c r="AD21" s="121"/>
      <c r="AE21" s="121"/>
    </row>
    <row r="22" spans="1:31" ht="13.2" outlineLevel="1">
      <c r="A22" s="403" t="s">
        <v>496</v>
      </c>
      <c r="B22" s="399"/>
      <c r="C22" s="408" t="s">
        <v>497</v>
      </c>
      <c r="D22" s="399"/>
      <c r="E22" s="122"/>
      <c r="F22" s="122"/>
      <c r="G22" s="122"/>
      <c r="H22" s="122"/>
      <c r="I22" s="122"/>
      <c r="J22" s="122"/>
      <c r="K22" s="122"/>
      <c r="L22" s="122"/>
      <c r="M22" s="122"/>
      <c r="N22" s="122"/>
      <c r="O22" s="122"/>
      <c r="P22" s="122"/>
      <c r="Q22" s="122"/>
      <c r="R22" s="122"/>
      <c r="S22" s="122"/>
      <c r="T22" s="122"/>
      <c r="U22" s="122"/>
      <c r="V22" s="122"/>
      <c r="W22" s="122"/>
      <c r="X22" s="122"/>
      <c r="Y22" s="122"/>
      <c r="Z22" s="122"/>
      <c r="AA22" s="122"/>
      <c r="AB22" s="122"/>
      <c r="AC22" s="122"/>
      <c r="AD22" s="122"/>
      <c r="AE22" s="122"/>
    </row>
    <row r="23" spans="1:31" ht="13.2" outlineLevel="1">
      <c r="A23" s="403" t="s">
        <v>498</v>
      </c>
      <c r="B23" s="399"/>
      <c r="C23" s="408" t="s">
        <v>497</v>
      </c>
      <c r="D23" s="399"/>
      <c r="E23" s="122"/>
      <c r="F23" s="122"/>
      <c r="G23" s="122"/>
      <c r="H23" s="122"/>
      <c r="I23" s="122"/>
      <c r="J23" s="122"/>
      <c r="K23" s="122"/>
      <c r="L23" s="122"/>
      <c r="M23" s="122"/>
      <c r="N23" s="122"/>
      <c r="O23" s="122"/>
      <c r="P23" s="122"/>
      <c r="Q23" s="122"/>
      <c r="R23" s="122"/>
      <c r="S23" s="122"/>
      <c r="T23" s="122"/>
      <c r="U23" s="122"/>
      <c r="V23" s="122"/>
      <c r="W23" s="122"/>
      <c r="X23" s="122"/>
      <c r="Y23" s="122"/>
      <c r="Z23" s="122"/>
      <c r="AA23" s="122"/>
      <c r="AB23" s="122"/>
      <c r="AC23" s="122"/>
      <c r="AD23" s="122"/>
      <c r="AE23" s="122"/>
    </row>
    <row r="24" spans="1:31" ht="13.2" outlineLevel="1">
      <c r="A24" s="405" t="s">
        <v>499</v>
      </c>
      <c r="B24" s="399"/>
      <c r="C24" s="407" t="s">
        <v>2386</v>
      </c>
      <c r="D24" s="399"/>
      <c r="E24" s="123"/>
      <c r="F24" s="123"/>
      <c r="G24" s="123"/>
      <c r="H24" s="123"/>
      <c r="I24" s="123"/>
      <c r="J24" s="123"/>
      <c r="K24" s="123"/>
      <c r="L24" s="123"/>
      <c r="M24" s="123"/>
      <c r="N24" s="123"/>
      <c r="O24" s="123"/>
      <c r="P24" s="123"/>
      <c r="Q24" s="123"/>
      <c r="R24" s="123"/>
      <c r="S24" s="123"/>
      <c r="T24" s="123"/>
      <c r="U24" s="123"/>
      <c r="V24" s="123"/>
      <c r="W24" s="123"/>
      <c r="X24" s="123"/>
      <c r="Y24" s="123"/>
      <c r="Z24" s="123"/>
      <c r="AA24" s="123"/>
      <c r="AB24" s="123"/>
      <c r="AC24" s="123"/>
      <c r="AD24" s="123"/>
      <c r="AE24" s="123"/>
    </row>
    <row r="25" spans="1:31" ht="13.2" outlineLevel="1">
      <c r="A25" s="404"/>
      <c r="B25" s="398"/>
      <c r="C25" s="398"/>
      <c r="D25" s="399"/>
      <c r="E25" s="118"/>
      <c r="F25" s="118"/>
      <c r="G25" s="118"/>
      <c r="H25" s="118"/>
      <c r="I25" s="118"/>
      <c r="J25" s="118"/>
      <c r="K25" s="118"/>
      <c r="L25" s="118"/>
      <c r="M25" s="118"/>
      <c r="N25" s="118"/>
      <c r="O25" s="118"/>
      <c r="P25" s="118"/>
      <c r="Q25" s="118"/>
      <c r="R25" s="118"/>
      <c r="S25" s="118"/>
      <c r="T25" s="118"/>
      <c r="U25" s="118"/>
      <c r="V25" s="118"/>
      <c r="W25" s="118"/>
      <c r="X25" s="118"/>
      <c r="Y25" s="118"/>
      <c r="Z25" s="118"/>
      <c r="AA25" s="118"/>
      <c r="AB25" s="118"/>
      <c r="AC25" s="118"/>
      <c r="AD25" s="118"/>
      <c r="AE25" s="118"/>
    </row>
    <row r="26" spans="1:31" ht="13.2" outlineLevel="1">
      <c r="A26" s="54" t="s">
        <v>571</v>
      </c>
      <c r="B26" s="56"/>
      <c r="C26" s="56"/>
      <c r="D26" s="55"/>
      <c r="E26" s="55"/>
      <c r="F26" s="55"/>
      <c r="G26" s="55"/>
      <c r="H26" s="55"/>
      <c r="I26" s="55"/>
      <c r="J26" s="55"/>
      <c r="K26" s="55"/>
      <c r="L26" s="55"/>
      <c r="M26" s="55"/>
      <c r="N26" s="55"/>
      <c r="O26" s="55"/>
      <c r="P26" s="55"/>
      <c r="Q26" s="55"/>
      <c r="R26" s="55"/>
      <c r="S26" s="55"/>
      <c r="T26" s="55"/>
      <c r="U26" s="55"/>
      <c r="V26" s="55"/>
      <c r="W26" s="55"/>
      <c r="X26" s="55"/>
      <c r="Y26" s="55"/>
      <c r="Z26" s="55"/>
      <c r="AA26" s="55"/>
      <c r="AB26" s="55"/>
      <c r="AC26" s="55"/>
      <c r="AD26" s="55"/>
      <c r="AE26" s="55"/>
    </row>
    <row r="27" spans="1:31" ht="13.2" outlineLevel="1">
      <c r="A27" s="405" t="s">
        <v>466</v>
      </c>
      <c r="B27" s="399"/>
      <c r="C27" s="57" t="s">
        <v>572</v>
      </c>
      <c r="D27" s="57" t="s">
        <v>573</v>
      </c>
      <c r="E27" s="57"/>
      <c r="F27" s="57"/>
      <c r="G27" s="57"/>
      <c r="H27" s="57"/>
      <c r="I27" s="57"/>
      <c r="J27" s="57"/>
      <c r="K27" s="57"/>
      <c r="L27" s="57"/>
      <c r="M27" s="57"/>
      <c r="N27" s="57"/>
      <c r="O27" s="57"/>
      <c r="P27" s="57"/>
      <c r="Q27" s="57"/>
      <c r="R27" s="57"/>
      <c r="S27" s="57"/>
      <c r="T27" s="57"/>
      <c r="U27" s="57"/>
      <c r="V27" s="57"/>
      <c r="W27" s="57"/>
      <c r="X27" s="57"/>
      <c r="Y27" s="57"/>
      <c r="Z27" s="57"/>
      <c r="AA27" s="57"/>
      <c r="AB27" s="57"/>
      <c r="AC27" s="57"/>
      <c r="AD27" s="57"/>
      <c r="AE27" s="57"/>
    </row>
    <row r="28" spans="1:31" ht="81.599999999999994" outlineLevel="1">
      <c r="A28" s="410" t="s">
        <v>481</v>
      </c>
      <c r="B28" s="399"/>
      <c r="C28" s="57" t="s">
        <v>574</v>
      </c>
      <c r="D28" s="58" t="s">
        <v>575</v>
      </c>
      <c r="E28" s="58"/>
      <c r="F28" s="58"/>
      <c r="G28" s="58"/>
      <c r="H28" s="58"/>
      <c r="I28" s="58"/>
      <c r="J28" s="58"/>
      <c r="K28" s="58"/>
      <c r="L28" s="58"/>
      <c r="M28" s="58"/>
      <c r="N28" s="58"/>
      <c r="O28" s="58"/>
      <c r="P28" s="58"/>
      <c r="Q28" s="58"/>
      <c r="R28" s="58"/>
      <c r="S28" s="58"/>
      <c r="T28" s="58"/>
      <c r="U28" s="58"/>
      <c r="V28" s="58"/>
      <c r="W28" s="58"/>
      <c r="X28" s="58"/>
      <c r="Y28" s="58"/>
      <c r="Z28" s="58"/>
      <c r="AA28" s="58"/>
      <c r="AB28" s="58"/>
      <c r="AC28" s="58"/>
      <c r="AD28" s="58"/>
      <c r="AE28" s="58"/>
    </row>
    <row r="29" spans="1:31" ht="255" outlineLevel="1">
      <c r="A29" s="411" t="s">
        <v>2387</v>
      </c>
      <c r="B29" s="412"/>
      <c r="C29" s="59" t="s">
        <v>2388</v>
      </c>
      <c r="D29" s="417" t="s">
        <v>578</v>
      </c>
      <c r="E29" s="58"/>
      <c r="F29" s="58"/>
      <c r="G29" s="58"/>
      <c r="H29" s="58"/>
      <c r="I29" s="58"/>
      <c r="J29" s="58"/>
      <c r="K29" s="58"/>
      <c r="L29" s="58"/>
      <c r="M29" s="58"/>
      <c r="N29" s="58"/>
      <c r="O29" s="58"/>
      <c r="P29" s="58"/>
      <c r="Q29" s="58"/>
      <c r="R29" s="58"/>
      <c r="S29" s="58"/>
      <c r="T29" s="58"/>
      <c r="U29" s="58"/>
      <c r="V29" s="58"/>
      <c r="W29" s="58"/>
      <c r="X29" s="58"/>
      <c r="Y29" s="58"/>
      <c r="Z29" s="58"/>
      <c r="AA29" s="58"/>
      <c r="AB29" s="58"/>
      <c r="AC29" s="58"/>
      <c r="AD29" s="58"/>
      <c r="AE29" s="58"/>
    </row>
    <row r="30" spans="1:31" ht="173.4" outlineLevel="1">
      <c r="A30" s="413"/>
      <c r="B30" s="414"/>
      <c r="C30" s="59" t="s">
        <v>2389</v>
      </c>
      <c r="D30" s="418"/>
      <c r="E30" s="58"/>
      <c r="F30" s="58"/>
      <c r="G30" s="58"/>
      <c r="H30" s="58"/>
      <c r="I30" s="58"/>
      <c r="J30" s="58"/>
      <c r="K30" s="58"/>
      <c r="L30" s="58"/>
      <c r="M30" s="58"/>
      <c r="N30" s="58"/>
      <c r="O30" s="58"/>
      <c r="P30" s="58"/>
      <c r="Q30" s="58"/>
      <c r="R30" s="58"/>
      <c r="S30" s="58"/>
      <c r="T30" s="58"/>
      <c r="U30" s="58"/>
      <c r="V30" s="58"/>
      <c r="W30" s="58"/>
      <c r="X30" s="58"/>
      <c r="Y30" s="58"/>
      <c r="Z30" s="58"/>
      <c r="AA30" s="58"/>
      <c r="AB30" s="58"/>
      <c r="AC30" s="58"/>
      <c r="AD30" s="58"/>
      <c r="AE30" s="58"/>
    </row>
    <row r="31" spans="1:31" ht="91.8" outlineLevel="1">
      <c r="A31" s="415"/>
      <c r="B31" s="416"/>
      <c r="C31" s="59" t="s">
        <v>2390</v>
      </c>
      <c r="D31" s="419"/>
      <c r="E31" s="58"/>
      <c r="F31" s="58"/>
      <c r="G31" s="58"/>
      <c r="H31" s="58"/>
      <c r="I31" s="58"/>
      <c r="J31" s="58"/>
      <c r="K31" s="58"/>
      <c r="L31" s="58"/>
      <c r="M31" s="58"/>
      <c r="N31" s="58"/>
      <c r="O31" s="58"/>
      <c r="P31" s="58"/>
      <c r="Q31" s="58"/>
      <c r="R31" s="58"/>
      <c r="S31" s="58"/>
      <c r="T31" s="58"/>
      <c r="U31" s="58"/>
      <c r="V31" s="58"/>
      <c r="W31" s="58"/>
      <c r="X31" s="58"/>
      <c r="Y31" s="58"/>
      <c r="Z31" s="58"/>
      <c r="AA31" s="58"/>
      <c r="AB31" s="58"/>
      <c r="AC31" s="58"/>
      <c r="AD31" s="58"/>
      <c r="AE31" s="58"/>
    </row>
    <row r="32" spans="1:31" ht="13.2" outlineLevel="1">
      <c r="A32" s="55"/>
      <c r="B32" s="56"/>
      <c r="C32" s="56"/>
      <c r="D32" s="57"/>
      <c r="E32" s="57"/>
      <c r="F32" s="57"/>
      <c r="G32" s="57"/>
      <c r="H32" s="57"/>
      <c r="I32" s="57"/>
      <c r="J32" s="57"/>
      <c r="K32" s="57"/>
      <c r="L32" s="57"/>
      <c r="M32" s="57"/>
      <c r="N32" s="57"/>
      <c r="O32" s="57"/>
      <c r="P32" s="57"/>
      <c r="Q32" s="57"/>
      <c r="R32" s="57"/>
      <c r="S32" s="57"/>
      <c r="T32" s="57"/>
      <c r="U32" s="57"/>
      <c r="V32" s="57"/>
      <c r="W32" s="57"/>
      <c r="X32" s="57"/>
      <c r="Y32" s="57"/>
      <c r="Z32" s="57"/>
      <c r="AA32" s="57"/>
      <c r="AB32" s="57"/>
      <c r="AC32" s="57"/>
      <c r="AD32" s="57"/>
      <c r="AE32" s="57"/>
    </row>
    <row r="33" spans="1:31" ht="13.2" outlineLevel="1">
      <c r="A33" s="54" t="s">
        <v>581</v>
      </c>
      <c r="B33" s="56"/>
      <c r="C33" s="56"/>
      <c r="D33" s="57"/>
      <c r="E33" s="57"/>
      <c r="F33" s="57"/>
      <c r="G33" s="57"/>
      <c r="H33" s="57"/>
      <c r="I33" s="57"/>
      <c r="J33" s="57"/>
      <c r="K33" s="57"/>
      <c r="L33" s="57"/>
      <c r="M33" s="57"/>
      <c r="N33" s="57"/>
      <c r="O33" s="57"/>
      <c r="P33" s="57"/>
      <c r="Q33" s="57"/>
      <c r="R33" s="57"/>
      <c r="S33" s="57"/>
      <c r="T33" s="57"/>
      <c r="U33" s="57"/>
      <c r="V33" s="57"/>
      <c r="W33" s="57"/>
      <c r="X33" s="57"/>
      <c r="Y33" s="57"/>
      <c r="Z33" s="57"/>
      <c r="AA33" s="57"/>
      <c r="AB33" s="57"/>
      <c r="AC33" s="57"/>
      <c r="AD33" s="57"/>
      <c r="AE33" s="57"/>
    </row>
    <row r="34" spans="1:31" ht="13.2" outlineLevel="1">
      <c r="A34" s="403" t="s">
        <v>582</v>
      </c>
      <c r="B34" s="398"/>
      <c r="C34" s="398"/>
      <c r="D34" s="399"/>
      <c r="E34" s="117"/>
      <c r="F34" s="117"/>
      <c r="G34" s="117"/>
      <c r="H34" s="117"/>
      <c r="I34" s="117"/>
      <c r="J34" s="117"/>
      <c r="K34" s="117"/>
      <c r="L34" s="117"/>
      <c r="M34" s="117"/>
      <c r="N34" s="117"/>
      <c r="O34" s="117"/>
      <c r="P34" s="117"/>
      <c r="Q34" s="117"/>
      <c r="R34" s="117"/>
      <c r="S34" s="117"/>
      <c r="T34" s="117"/>
      <c r="U34" s="117"/>
      <c r="V34" s="117"/>
      <c r="W34" s="117"/>
      <c r="X34" s="117"/>
      <c r="Y34" s="117"/>
      <c r="Z34" s="117"/>
      <c r="AA34" s="117"/>
      <c r="AB34" s="117"/>
      <c r="AC34" s="117"/>
      <c r="AD34" s="117"/>
      <c r="AE34" s="117"/>
    </row>
    <row r="35" spans="1:31" ht="13.2" outlineLevel="1">
      <c r="A35" s="55"/>
      <c r="B35" s="56"/>
      <c r="C35" s="56"/>
      <c r="D35" s="56"/>
      <c r="E35" s="56"/>
      <c r="F35" s="56"/>
      <c r="G35" s="56"/>
      <c r="H35" s="56"/>
      <c r="I35" s="56"/>
      <c r="J35" s="56"/>
      <c r="K35" s="56"/>
      <c r="L35" s="56"/>
      <c r="M35" s="56"/>
      <c r="N35" s="56"/>
      <c r="O35" s="56"/>
      <c r="P35" s="56"/>
      <c r="Q35" s="56"/>
      <c r="R35" s="56"/>
      <c r="S35" s="56"/>
      <c r="T35" s="56"/>
      <c r="U35" s="56"/>
      <c r="V35" s="56"/>
      <c r="W35" s="56"/>
      <c r="X35" s="56"/>
      <c r="Y35" s="56"/>
      <c r="Z35" s="56"/>
      <c r="AA35" s="56"/>
      <c r="AB35" s="56"/>
      <c r="AC35" s="56"/>
      <c r="AD35" s="56"/>
      <c r="AE35" s="56"/>
    </row>
    <row r="36" spans="1:31" ht="51">
      <c r="A36" s="420" t="s">
        <v>583</v>
      </c>
      <c r="B36" s="398"/>
      <c r="C36" s="398"/>
      <c r="D36" s="399"/>
      <c r="E36" s="126" t="s">
        <v>2391</v>
      </c>
      <c r="F36" s="126" t="s">
        <v>2392</v>
      </c>
      <c r="G36" s="57" t="s">
        <v>4</v>
      </c>
      <c r="H36" s="57" t="s">
        <v>2393</v>
      </c>
      <c r="I36" s="57" t="s">
        <v>2394</v>
      </c>
      <c r="J36" s="59" t="s">
        <v>2395</v>
      </c>
      <c r="K36" s="59" t="s">
        <v>2396</v>
      </c>
      <c r="L36" s="59" t="s">
        <v>2397</v>
      </c>
      <c r="M36" s="59" t="s">
        <v>2398</v>
      </c>
      <c r="N36" s="127" t="s">
        <v>2399</v>
      </c>
      <c r="O36" s="128" t="s">
        <v>2400</v>
      </c>
      <c r="P36" s="128" t="s">
        <v>2401</v>
      </c>
      <c r="Q36" s="128" t="s">
        <v>2402</v>
      </c>
      <c r="R36" s="129" t="s">
        <v>2403</v>
      </c>
      <c r="S36" s="129" t="s">
        <v>2404</v>
      </c>
      <c r="T36" s="129" t="s">
        <v>2405</v>
      </c>
      <c r="U36" s="129" t="s">
        <v>2406</v>
      </c>
      <c r="V36" s="129" t="s">
        <v>2407</v>
      </c>
      <c r="W36" s="129" t="s">
        <v>2408</v>
      </c>
      <c r="X36" s="129" t="s">
        <v>2409</v>
      </c>
      <c r="Y36" s="129" t="s">
        <v>2410</v>
      </c>
      <c r="Z36" s="129" t="s">
        <v>2411</v>
      </c>
      <c r="AA36" s="130" t="s">
        <v>2412</v>
      </c>
      <c r="AB36" s="130" t="s">
        <v>2413</v>
      </c>
      <c r="AC36" s="130" t="s">
        <v>2414</v>
      </c>
      <c r="AD36" s="131" t="s">
        <v>2415</v>
      </c>
      <c r="AE36" s="59" t="s">
        <v>2416</v>
      </c>
    </row>
    <row r="37" spans="1:31" ht="13.2">
      <c r="A37" s="421"/>
      <c r="B37" s="422"/>
      <c r="C37" s="422"/>
      <c r="D37" s="412"/>
      <c r="E37" s="132" t="s">
        <v>2417</v>
      </c>
      <c r="F37" s="132" t="s">
        <v>2417</v>
      </c>
      <c r="G37" s="132" t="s">
        <v>2417</v>
      </c>
      <c r="H37" s="132" t="s">
        <v>2417</v>
      </c>
      <c r="I37" s="132" t="s">
        <v>2417</v>
      </c>
      <c r="J37" s="132" t="s">
        <v>2417</v>
      </c>
      <c r="K37" s="132" t="s">
        <v>2417</v>
      </c>
      <c r="L37" s="132" t="s">
        <v>2417</v>
      </c>
      <c r="M37" s="133" t="s">
        <v>2417</v>
      </c>
      <c r="N37" s="133" t="s">
        <v>2417</v>
      </c>
      <c r="O37" s="132"/>
      <c r="P37" s="132" t="s">
        <v>2417</v>
      </c>
      <c r="Q37" s="133" t="s">
        <v>2417</v>
      </c>
      <c r="R37" s="133"/>
      <c r="S37" s="133" t="s">
        <v>2417</v>
      </c>
      <c r="T37" s="133" t="s">
        <v>2417</v>
      </c>
      <c r="U37" s="133" t="s">
        <v>2417</v>
      </c>
      <c r="V37" s="133" t="s">
        <v>2417</v>
      </c>
      <c r="W37" s="133" t="s">
        <v>2417</v>
      </c>
      <c r="X37" s="133" t="s">
        <v>2417</v>
      </c>
      <c r="Y37" s="133" t="s">
        <v>2417</v>
      </c>
      <c r="Z37" s="133" t="s">
        <v>2417</v>
      </c>
      <c r="AA37" s="133" t="s">
        <v>2417</v>
      </c>
      <c r="AB37" s="133" t="s">
        <v>2417</v>
      </c>
      <c r="AC37" s="133" t="s">
        <v>2417</v>
      </c>
      <c r="AD37" s="133" t="s">
        <v>2417</v>
      </c>
      <c r="AE37" s="132" t="s">
        <v>2417</v>
      </c>
    </row>
    <row r="38" spans="1:31" ht="30.6">
      <c r="A38" s="60" t="s">
        <v>584</v>
      </c>
      <c r="B38" s="60" t="s">
        <v>8</v>
      </c>
      <c r="C38" s="423" t="s">
        <v>9</v>
      </c>
      <c r="D38" s="351"/>
      <c r="E38" s="133" t="s">
        <v>2417</v>
      </c>
      <c r="F38" s="133" t="s">
        <v>2417</v>
      </c>
      <c r="G38" s="133" t="s">
        <v>2417</v>
      </c>
      <c r="H38" s="133" t="s">
        <v>2417</v>
      </c>
      <c r="I38" s="133" t="s">
        <v>2417</v>
      </c>
      <c r="J38" s="133" t="s">
        <v>2417</v>
      </c>
      <c r="K38" s="133" t="s">
        <v>2417</v>
      </c>
      <c r="L38" s="133" t="s">
        <v>2417</v>
      </c>
      <c r="M38" s="133" t="s">
        <v>2417</v>
      </c>
      <c r="N38" s="133" t="s">
        <v>2417</v>
      </c>
      <c r="O38" s="133" t="s">
        <v>2417</v>
      </c>
      <c r="P38" s="133" t="s">
        <v>2417</v>
      </c>
      <c r="Q38" s="133" t="s">
        <v>2417</v>
      </c>
      <c r="R38" s="133" t="s">
        <v>2417</v>
      </c>
      <c r="S38" s="133" t="s">
        <v>2417</v>
      </c>
      <c r="T38" s="133" t="s">
        <v>2417</v>
      </c>
      <c r="U38" s="133" t="s">
        <v>2417</v>
      </c>
      <c r="V38" s="133" t="s">
        <v>2417</v>
      </c>
      <c r="W38" s="133" t="s">
        <v>2417</v>
      </c>
      <c r="X38" s="133" t="s">
        <v>2417</v>
      </c>
      <c r="Y38" s="133" t="s">
        <v>2417</v>
      </c>
      <c r="Z38" s="133" t="s">
        <v>2417</v>
      </c>
      <c r="AA38" s="133" t="s">
        <v>2417</v>
      </c>
      <c r="AB38" s="133" t="s">
        <v>2417</v>
      </c>
      <c r="AC38" s="133" t="s">
        <v>2417</v>
      </c>
      <c r="AD38" s="133" t="s">
        <v>2417</v>
      </c>
      <c r="AE38" s="133"/>
    </row>
    <row r="39" spans="1:31" ht="13.2">
      <c r="A39" s="393" t="s">
        <v>501</v>
      </c>
      <c r="B39" s="350"/>
      <c r="C39" s="350"/>
      <c r="D39" s="351"/>
      <c r="E39" s="133" t="s">
        <v>2417</v>
      </c>
      <c r="F39" s="133" t="s">
        <v>2417</v>
      </c>
      <c r="G39" s="133" t="s">
        <v>2417</v>
      </c>
      <c r="H39" s="133" t="s">
        <v>2417</v>
      </c>
      <c r="I39" s="134" t="s">
        <v>2418</v>
      </c>
      <c r="J39" s="133" t="s">
        <v>2417</v>
      </c>
      <c r="K39" s="133" t="s">
        <v>2417</v>
      </c>
      <c r="L39" s="133" t="s">
        <v>2417</v>
      </c>
      <c r="M39" s="133" t="s">
        <v>2417</v>
      </c>
      <c r="N39" s="133" t="s">
        <v>2417</v>
      </c>
      <c r="O39" s="133" t="s">
        <v>2417</v>
      </c>
      <c r="P39" s="133" t="s">
        <v>2417</v>
      </c>
      <c r="Q39" s="133" t="s">
        <v>2417</v>
      </c>
      <c r="R39" s="133" t="s">
        <v>2417</v>
      </c>
      <c r="S39" s="133" t="s">
        <v>2417</v>
      </c>
      <c r="T39" s="133" t="s">
        <v>2417</v>
      </c>
      <c r="U39" s="133" t="s">
        <v>2417</v>
      </c>
      <c r="V39" s="133" t="s">
        <v>2417</v>
      </c>
      <c r="W39" s="133" t="s">
        <v>2417</v>
      </c>
      <c r="X39" s="133" t="s">
        <v>2417</v>
      </c>
      <c r="Y39" s="133" t="s">
        <v>2417</v>
      </c>
      <c r="Z39" s="133" t="s">
        <v>2417</v>
      </c>
      <c r="AA39" s="133" t="s">
        <v>2417</v>
      </c>
      <c r="AB39" s="133" t="s">
        <v>2417</v>
      </c>
      <c r="AC39" s="133" t="s">
        <v>2417</v>
      </c>
      <c r="AD39" s="133" t="s">
        <v>2417</v>
      </c>
      <c r="AE39" s="133"/>
    </row>
    <row r="40" spans="1:31" ht="31.2" outlineLevel="1">
      <c r="A40" s="61" t="s">
        <v>585</v>
      </c>
      <c r="B40" s="64" t="s">
        <v>2419</v>
      </c>
      <c r="C40" s="445" t="s">
        <v>2420</v>
      </c>
      <c r="D40" s="351"/>
      <c r="E40" s="133" t="s">
        <v>2417</v>
      </c>
      <c r="F40" s="133" t="s">
        <v>2421</v>
      </c>
      <c r="G40" s="133" t="s">
        <v>2417</v>
      </c>
      <c r="H40" s="133" t="s">
        <v>2417</v>
      </c>
      <c r="I40" s="134" t="s">
        <v>2418</v>
      </c>
      <c r="J40" s="133" t="s">
        <v>2417</v>
      </c>
      <c r="K40" s="133" t="s">
        <v>2422</v>
      </c>
      <c r="L40" s="133" t="s">
        <v>2417</v>
      </c>
      <c r="M40" s="133" t="s">
        <v>2417</v>
      </c>
      <c r="N40" s="133" t="s">
        <v>2417</v>
      </c>
      <c r="O40" s="133" t="s">
        <v>2417</v>
      </c>
      <c r="P40" s="133" t="s">
        <v>2417</v>
      </c>
      <c r="Q40" s="133" t="s">
        <v>2417</v>
      </c>
      <c r="R40" s="133" t="s">
        <v>2417</v>
      </c>
      <c r="S40" s="133" t="s">
        <v>2417</v>
      </c>
      <c r="T40" s="133" t="s">
        <v>2417</v>
      </c>
      <c r="U40" s="133" t="s">
        <v>2417</v>
      </c>
      <c r="V40" s="133" t="s">
        <v>2417</v>
      </c>
      <c r="W40" s="133" t="s">
        <v>2417</v>
      </c>
      <c r="X40" s="133" t="s">
        <v>2417</v>
      </c>
      <c r="Y40" s="133" t="s">
        <v>2417</v>
      </c>
      <c r="Z40" s="133" t="s">
        <v>2417</v>
      </c>
      <c r="AA40" s="133" t="s">
        <v>2417</v>
      </c>
      <c r="AB40" s="133" t="s">
        <v>2417</v>
      </c>
      <c r="AC40" s="133" t="s">
        <v>2417</v>
      </c>
      <c r="AD40" s="133" t="s">
        <v>2417</v>
      </c>
      <c r="AE40" s="133"/>
    </row>
    <row r="41" spans="1:31" ht="31.2" hidden="1" outlineLevel="1">
      <c r="A41" s="61" t="s">
        <v>585</v>
      </c>
      <c r="B41" s="64" t="s">
        <v>586</v>
      </c>
      <c r="C41" s="445" t="s">
        <v>2423</v>
      </c>
      <c r="D41" s="351"/>
      <c r="E41" s="133" t="s">
        <v>2417</v>
      </c>
      <c r="F41" s="133" t="s">
        <v>2421</v>
      </c>
      <c r="G41" s="133" t="s">
        <v>2417</v>
      </c>
      <c r="H41" s="133" t="s">
        <v>2417</v>
      </c>
      <c r="I41" s="134" t="s">
        <v>2418</v>
      </c>
      <c r="J41" s="133" t="s">
        <v>2417</v>
      </c>
      <c r="K41" s="133" t="s">
        <v>2424</v>
      </c>
      <c r="L41" s="133" t="s">
        <v>2417</v>
      </c>
      <c r="M41" s="133" t="s">
        <v>2417</v>
      </c>
      <c r="N41" s="133" t="s">
        <v>2417</v>
      </c>
      <c r="O41" s="133" t="s">
        <v>2417</v>
      </c>
      <c r="P41" s="133" t="s">
        <v>2417</v>
      </c>
      <c r="Q41" s="133" t="s">
        <v>2417</v>
      </c>
      <c r="R41" s="133" t="s">
        <v>2417</v>
      </c>
      <c r="S41" s="133" t="s">
        <v>2417</v>
      </c>
      <c r="T41" s="133" t="s">
        <v>2417</v>
      </c>
      <c r="U41" s="133" t="s">
        <v>2417</v>
      </c>
      <c r="V41" s="133" t="s">
        <v>2417</v>
      </c>
      <c r="W41" s="133" t="s">
        <v>2417</v>
      </c>
      <c r="X41" s="133" t="s">
        <v>2417</v>
      </c>
      <c r="Y41" s="133" t="s">
        <v>2417</v>
      </c>
      <c r="Z41" s="133" t="s">
        <v>2417</v>
      </c>
      <c r="AA41" s="133" t="s">
        <v>2417</v>
      </c>
      <c r="AB41" s="133" t="s">
        <v>2417</v>
      </c>
      <c r="AC41" s="133" t="s">
        <v>2417</v>
      </c>
      <c r="AD41" s="133" t="s">
        <v>2417</v>
      </c>
      <c r="AE41" s="133"/>
    </row>
    <row r="42" spans="1:31" ht="51.6" outlineLevel="1">
      <c r="A42" s="61" t="s">
        <v>588</v>
      </c>
      <c r="B42" s="63" t="s">
        <v>589</v>
      </c>
      <c r="C42" s="392" t="s">
        <v>2425</v>
      </c>
      <c r="D42" s="351"/>
      <c r="E42" s="133" t="s">
        <v>2417</v>
      </c>
      <c r="F42" s="133" t="s">
        <v>2426</v>
      </c>
      <c r="G42" s="133" t="s">
        <v>2417</v>
      </c>
      <c r="H42" s="133" t="s">
        <v>2417</v>
      </c>
      <c r="I42" s="134" t="s">
        <v>2418</v>
      </c>
      <c r="J42" s="59" t="s">
        <v>2427</v>
      </c>
      <c r="K42" s="133" t="s">
        <v>2417</v>
      </c>
      <c r="L42" s="133" t="s">
        <v>2417</v>
      </c>
      <c r="M42" s="133" t="s">
        <v>2417</v>
      </c>
      <c r="N42" s="133" t="s">
        <v>2417</v>
      </c>
      <c r="O42" s="133" t="s">
        <v>2417</v>
      </c>
      <c r="P42" s="133" t="s">
        <v>2417</v>
      </c>
      <c r="Q42" s="133" t="s">
        <v>2417</v>
      </c>
      <c r="R42" s="133" t="s">
        <v>2417</v>
      </c>
      <c r="S42" s="133" t="s">
        <v>2417</v>
      </c>
      <c r="T42" s="133" t="s">
        <v>2417</v>
      </c>
      <c r="U42" s="133" t="s">
        <v>2417</v>
      </c>
      <c r="V42" s="133" t="s">
        <v>2417</v>
      </c>
      <c r="W42" s="133" t="s">
        <v>2417</v>
      </c>
      <c r="X42" s="133" t="s">
        <v>2417</v>
      </c>
      <c r="Y42" s="133" t="s">
        <v>2417</v>
      </c>
      <c r="Z42" s="133" t="s">
        <v>2417</v>
      </c>
      <c r="AA42" s="133" t="s">
        <v>2417</v>
      </c>
      <c r="AB42" s="133" t="s">
        <v>2417</v>
      </c>
      <c r="AC42" s="133" t="s">
        <v>2417</v>
      </c>
      <c r="AD42" s="133" t="s">
        <v>2417</v>
      </c>
      <c r="AE42" s="133"/>
    </row>
    <row r="43" spans="1:31" ht="31.2" hidden="1" outlineLevel="1">
      <c r="A43" s="61" t="s">
        <v>588</v>
      </c>
      <c r="B43" s="63" t="s">
        <v>2428</v>
      </c>
      <c r="C43" s="392" t="s">
        <v>2429</v>
      </c>
      <c r="D43" s="351"/>
      <c r="E43" s="133" t="s">
        <v>2417</v>
      </c>
      <c r="F43" s="133" t="s">
        <v>2426</v>
      </c>
      <c r="G43" s="133" t="s">
        <v>2417</v>
      </c>
      <c r="H43" s="133" t="s">
        <v>2417</v>
      </c>
      <c r="I43" s="134" t="s">
        <v>2418</v>
      </c>
      <c r="J43" s="133" t="s">
        <v>2430</v>
      </c>
      <c r="K43" s="133" t="s">
        <v>2417</v>
      </c>
      <c r="L43" s="133" t="s">
        <v>2417</v>
      </c>
      <c r="M43" s="133" t="s">
        <v>2417</v>
      </c>
      <c r="N43" s="133" t="s">
        <v>2417</v>
      </c>
      <c r="O43" s="133" t="s">
        <v>2417</v>
      </c>
      <c r="P43" s="133" t="s">
        <v>2417</v>
      </c>
      <c r="Q43" s="133" t="s">
        <v>2417</v>
      </c>
      <c r="R43" s="133" t="s">
        <v>2417</v>
      </c>
      <c r="S43" s="133" t="s">
        <v>2417</v>
      </c>
      <c r="T43" s="133" t="s">
        <v>2417</v>
      </c>
      <c r="U43" s="133" t="s">
        <v>2417</v>
      </c>
      <c r="V43" s="133" t="s">
        <v>2417</v>
      </c>
      <c r="W43" s="133" t="s">
        <v>2417</v>
      </c>
      <c r="X43" s="133" t="s">
        <v>2417</v>
      </c>
      <c r="Y43" s="133" t="s">
        <v>2417</v>
      </c>
      <c r="Z43" s="133" t="s">
        <v>2417</v>
      </c>
      <c r="AA43" s="133" t="s">
        <v>2417</v>
      </c>
      <c r="AB43" s="133" t="s">
        <v>2417</v>
      </c>
      <c r="AC43" s="133" t="s">
        <v>2417</v>
      </c>
      <c r="AD43" s="133" t="s">
        <v>2417</v>
      </c>
      <c r="AE43" s="133"/>
    </row>
    <row r="44" spans="1:31" ht="20.399999999999999" outlineLevel="1">
      <c r="A44" s="61" t="s">
        <v>591</v>
      </c>
      <c r="B44" s="64" t="s">
        <v>592</v>
      </c>
      <c r="C44" s="392" t="s">
        <v>593</v>
      </c>
      <c r="D44" s="351"/>
      <c r="E44" s="133" t="s">
        <v>2417</v>
      </c>
      <c r="F44" s="133" t="s">
        <v>592</v>
      </c>
      <c r="G44" s="133" t="s">
        <v>2417</v>
      </c>
      <c r="H44" s="133" t="s">
        <v>2417</v>
      </c>
      <c r="I44" s="134" t="s">
        <v>2418</v>
      </c>
      <c r="J44" s="133" t="s">
        <v>2417</v>
      </c>
      <c r="K44" s="133" t="s">
        <v>2417</v>
      </c>
      <c r="L44" s="133" t="s">
        <v>2417</v>
      </c>
      <c r="M44" s="133" t="s">
        <v>2417</v>
      </c>
      <c r="N44" s="133" t="s">
        <v>2417</v>
      </c>
      <c r="O44" s="133" t="s">
        <v>2417</v>
      </c>
      <c r="P44" s="133" t="s">
        <v>2417</v>
      </c>
      <c r="Q44" s="133" t="s">
        <v>2417</v>
      </c>
      <c r="R44" s="133" t="s">
        <v>2417</v>
      </c>
      <c r="S44" s="133" t="s">
        <v>2417</v>
      </c>
      <c r="T44" s="133" t="s">
        <v>2417</v>
      </c>
      <c r="U44" s="133" t="s">
        <v>2417</v>
      </c>
      <c r="V44" s="133" t="s">
        <v>2417</v>
      </c>
      <c r="W44" s="133" t="s">
        <v>2417</v>
      </c>
      <c r="X44" s="133" t="s">
        <v>2417</v>
      </c>
      <c r="Y44" s="133" t="s">
        <v>2417</v>
      </c>
      <c r="Z44" s="133" t="s">
        <v>2417</v>
      </c>
      <c r="AA44" s="133" t="s">
        <v>2417</v>
      </c>
      <c r="AB44" s="133" t="s">
        <v>2417</v>
      </c>
      <c r="AC44" s="133" t="s">
        <v>2417</v>
      </c>
      <c r="AD44" s="133" t="s">
        <v>2417</v>
      </c>
      <c r="AE44" s="133"/>
    </row>
    <row r="45" spans="1:31" ht="21" outlineLevel="1">
      <c r="A45" s="61" t="s">
        <v>594</v>
      </c>
      <c r="B45" s="63" t="s">
        <v>595</v>
      </c>
      <c r="C45" s="392" t="s">
        <v>596</v>
      </c>
      <c r="D45" s="351"/>
      <c r="E45" s="133" t="s">
        <v>2417</v>
      </c>
      <c r="F45" s="133" t="s">
        <v>592</v>
      </c>
      <c r="G45" s="133" t="s">
        <v>2417</v>
      </c>
      <c r="H45" s="133" t="s">
        <v>2417</v>
      </c>
      <c r="I45" s="134" t="s">
        <v>2418</v>
      </c>
      <c r="J45" s="133" t="s">
        <v>2417</v>
      </c>
      <c r="K45" s="133" t="s">
        <v>2417</v>
      </c>
      <c r="L45" s="133" t="s">
        <v>2417</v>
      </c>
      <c r="M45" s="133" t="s">
        <v>2417</v>
      </c>
      <c r="N45" s="133" t="s">
        <v>2417</v>
      </c>
      <c r="O45" s="133" t="s">
        <v>2417</v>
      </c>
      <c r="P45" s="133" t="s">
        <v>2417</v>
      </c>
      <c r="Q45" s="133" t="s">
        <v>2417</v>
      </c>
      <c r="R45" s="133" t="s">
        <v>2417</v>
      </c>
      <c r="S45" s="133" t="s">
        <v>2417</v>
      </c>
      <c r="T45" s="133" t="s">
        <v>2417</v>
      </c>
      <c r="U45" s="133" t="s">
        <v>2417</v>
      </c>
      <c r="V45" s="133" t="s">
        <v>2417</v>
      </c>
      <c r="W45" s="133" t="s">
        <v>2417</v>
      </c>
      <c r="X45" s="133" t="s">
        <v>2417</v>
      </c>
      <c r="Y45" s="133" t="s">
        <v>2417</v>
      </c>
      <c r="Z45" s="133" t="s">
        <v>2417</v>
      </c>
      <c r="AA45" s="133" t="s">
        <v>2417</v>
      </c>
      <c r="AB45" s="133" t="s">
        <v>2417</v>
      </c>
      <c r="AC45" s="133" t="s">
        <v>2417</v>
      </c>
      <c r="AD45" s="133" t="s">
        <v>2417</v>
      </c>
      <c r="AE45" s="133"/>
    </row>
    <row r="46" spans="1:31" ht="13.2" outlineLevel="1">
      <c r="A46" s="61" t="s">
        <v>597</v>
      </c>
      <c r="B46" s="64" t="s">
        <v>598</v>
      </c>
      <c r="C46" s="392" t="s">
        <v>599</v>
      </c>
      <c r="D46" s="351"/>
      <c r="E46" s="133" t="s">
        <v>2417</v>
      </c>
      <c r="F46" s="133" t="s">
        <v>2426</v>
      </c>
      <c r="G46" s="133" t="s">
        <v>2417</v>
      </c>
      <c r="H46" s="133" t="s">
        <v>2417</v>
      </c>
      <c r="I46" s="134" t="s">
        <v>2418</v>
      </c>
      <c r="J46" s="133" t="s">
        <v>2417</v>
      </c>
      <c r="K46" s="133" t="s">
        <v>2417</v>
      </c>
      <c r="L46" s="133" t="s">
        <v>2417</v>
      </c>
      <c r="M46" s="133" t="s">
        <v>2417</v>
      </c>
      <c r="N46" s="133" t="s">
        <v>2417</v>
      </c>
      <c r="O46" s="133" t="s">
        <v>2417</v>
      </c>
      <c r="P46" s="133" t="s">
        <v>2417</v>
      </c>
      <c r="Q46" s="133" t="s">
        <v>2417</v>
      </c>
      <c r="R46" s="133" t="s">
        <v>2417</v>
      </c>
      <c r="S46" s="133" t="s">
        <v>2417</v>
      </c>
      <c r="T46" s="133" t="s">
        <v>2417</v>
      </c>
      <c r="U46" s="133" t="s">
        <v>2417</v>
      </c>
      <c r="V46" s="133" t="s">
        <v>2417</v>
      </c>
      <c r="W46" s="133" t="s">
        <v>2417</v>
      </c>
      <c r="X46" s="133" t="s">
        <v>2417</v>
      </c>
      <c r="Y46" s="133" t="s">
        <v>2417</v>
      </c>
      <c r="Z46" s="133" t="s">
        <v>2417</v>
      </c>
      <c r="AA46" s="133" t="s">
        <v>2417</v>
      </c>
      <c r="AB46" s="133" t="s">
        <v>2417</v>
      </c>
      <c r="AC46" s="133" t="s">
        <v>2417</v>
      </c>
      <c r="AD46" s="133" t="s">
        <v>2417</v>
      </c>
      <c r="AE46" s="133"/>
    </row>
    <row r="47" spans="1:31" ht="13.2" outlineLevel="1">
      <c r="A47" s="61" t="s">
        <v>600</v>
      </c>
      <c r="B47" s="64" t="s">
        <v>2431</v>
      </c>
      <c r="C47" s="453" t="s">
        <v>2432</v>
      </c>
      <c r="D47" s="351"/>
      <c r="E47" s="133" t="s">
        <v>2417</v>
      </c>
      <c r="F47" s="133" t="s">
        <v>2396</v>
      </c>
      <c r="G47" s="133" t="s">
        <v>2417</v>
      </c>
      <c r="H47" s="133" t="s">
        <v>2417</v>
      </c>
      <c r="I47" s="134" t="s">
        <v>2418</v>
      </c>
      <c r="J47" s="133" t="s">
        <v>2417</v>
      </c>
      <c r="K47" s="133" t="s">
        <v>2422</v>
      </c>
      <c r="L47" s="133" t="s">
        <v>2417</v>
      </c>
      <c r="M47" s="133" t="s">
        <v>2417</v>
      </c>
      <c r="N47" s="133" t="s">
        <v>2417</v>
      </c>
      <c r="O47" s="133" t="s">
        <v>2417</v>
      </c>
      <c r="P47" s="133" t="s">
        <v>2417</v>
      </c>
      <c r="Q47" s="133" t="s">
        <v>2417</v>
      </c>
      <c r="R47" s="133" t="s">
        <v>2417</v>
      </c>
      <c r="S47" s="133" t="s">
        <v>2417</v>
      </c>
      <c r="T47" s="133" t="s">
        <v>2417</v>
      </c>
      <c r="U47" s="133" t="s">
        <v>2417</v>
      </c>
      <c r="V47" s="133" t="s">
        <v>2417</v>
      </c>
      <c r="W47" s="133" t="s">
        <v>2417</v>
      </c>
      <c r="X47" s="133" t="s">
        <v>2417</v>
      </c>
      <c r="Y47" s="133" t="s">
        <v>2417</v>
      </c>
      <c r="Z47" s="133" t="s">
        <v>2417</v>
      </c>
      <c r="AA47" s="133" t="s">
        <v>2417</v>
      </c>
      <c r="AB47" s="133" t="s">
        <v>2417</v>
      </c>
      <c r="AC47" s="133" t="s">
        <v>2417</v>
      </c>
      <c r="AD47" s="133" t="s">
        <v>2417</v>
      </c>
      <c r="AE47" s="133"/>
    </row>
    <row r="48" spans="1:31" ht="13.2" hidden="1" outlineLevel="1">
      <c r="A48" s="61" t="s">
        <v>600</v>
      </c>
      <c r="B48" s="65" t="s">
        <v>601</v>
      </c>
      <c r="C48" s="453" t="s">
        <v>2433</v>
      </c>
      <c r="D48" s="351"/>
      <c r="E48" s="133" t="s">
        <v>2417</v>
      </c>
      <c r="F48" s="133" t="s">
        <v>2396</v>
      </c>
      <c r="G48" s="133" t="s">
        <v>2417</v>
      </c>
      <c r="H48" s="133" t="s">
        <v>2417</v>
      </c>
      <c r="I48" s="134" t="s">
        <v>2418</v>
      </c>
      <c r="J48" s="133" t="s">
        <v>2417</v>
      </c>
      <c r="K48" s="133" t="s">
        <v>2424</v>
      </c>
      <c r="L48" s="133" t="s">
        <v>2417</v>
      </c>
      <c r="M48" s="133" t="s">
        <v>2417</v>
      </c>
      <c r="N48" s="133" t="s">
        <v>2417</v>
      </c>
      <c r="O48" s="133" t="s">
        <v>2417</v>
      </c>
      <c r="P48" s="133" t="s">
        <v>2417</v>
      </c>
      <c r="Q48" s="133" t="s">
        <v>2417</v>
      </c>
      <c r="R48" s="133" t="s">
        <v>2417</v>
      </c>
      <c r="S48" s="133" t="s">
        <v>2417</v>
      </c>
      <c r="T48" s="133" t="s">
        <v>2417</v>
      </c>
      <c r="U48" s="133" t="s">
        <v>2417</v>
      </c>
      <c r="V48" s="133" t="s">
        <v>2417</v>
      </c>
      <c r="W48" s="133" t="s">
        <v>2417</v>
      </c>
      <c r="X48" s="133" t="s">
        <v>2417</v>
      </c>
      <c r="Y48" s="133" t="s">
        <v>2417</v>
      </c>
      <c r="Z48" s="133" t="s">
        <v>2417</v>
      </c>
      <c r="AA48" s="133" t="s">
        <v>2417</v>
      </c>
      <c r="AB48" s="133" t="s">
        <v>2417</v>
      </c>
      <c r="AC48" s="133" t="s">
        <v>2417</v>
      </c>
      <c r="AD48" s="133" t="s">
        <v>2417</v>
      </c>
      <c r="AE48" s="133"/>
    </row>
    <row r="49" spans="1:31" ht="20.399999999999999" outlineLevel="1">
      <c r="A49" s="61" t="s">
        <v>603</v>
      </c>
      <c r="B49" s="65" t="s">
        <v>604</v>
      </c>
      <c r="C49" s="360" t="s">
        <v>605</v>
      </c>
      <c r="D49" s="351"/>
      <c r="E49" s="133" t="s">
        <v>2417</v>
      </c>
      <c r="F49" s="123" t="s">
        <v>2417</v>
      </c>
      <c r="G49" s="133" t="s">
        <v>2417</v>
      </c>
      <c r="H49" s="133" t="s">
        <v>2417</v>
      </c>
      <c r="I49" s="134" t="s">
        <v>2418</v>
      </c>
      <c r="J49" s="133" t="s">
        <v>2417</v>
      </c>
      <c r="K49" s="133" t="s">
        <v>2417</v>
      </c>
      <c r="L49" s="133" t="s">
        <v>2417</v>
      </c>
      <c r="M49" s="133" t="s">
        <v>2417</v>
      </c>
      <c r="N49" s="133" t="s">
        <v>2417</v>
      </c>
      <c r="O49" s="133" t="s">
        <v>2417</v>
      </c>
      <c r="P49" s="133" t="s">
        <v>2417</v>
      </c>
      <c r="Q49" s="133" t="s">
        <v>2417</v>
      </c>
      <c r="R49" s="133" t="s">
        <v>2417</v>
      </c>
      <c r="S49" s="133" t="s">
        <v>2417</v>
      </c>
      <c r="T49" s="133" t="s">
        <v>2417</v>
      </c>
      <c r="U49" s="133" t="s">
        <v>2417</v>
      </c>
      <c r="V49" s="133" t="s">
        <v>2417</v>
      </c>
      <c r="W49" s="133" t="s">
        <v>2417</v>
      </c>
      <c r="X49" s="133" t="s">
        <v>2417</v>
      </c>
      <c r="Y49" s="133" t="s">
        <v>2417</v>
      </c>
      <c r="Z49" s="133" t="s">
        <v>2417</v>
      </c>
      <c r="AA49" s="133" t="s">
        <v>2417</v>
      </c>
      <c r="AB49" s="133" t="s">
        <v>2417</v>
      </c>
      <c r="AC49" s="133" t="s">
        <v>2417</v>
      </c>
      <c r="AD49" s="133" t="s">
        <v>2417</v>
      </c>
      <c r="AE49" s="133"/>
    </row>
    <row r="50" spans="1:31" ht="20.399999999999999" outlineLevel="1">
      <c r="A50" s="61" t="s">
        <v>606</v>
      </c>
      <c r="B50" s="63" t="s">
        <v>607</v>
      </c>
      <c r="C50" s="360" t="s">
        <v>2434</v>
      </c>
      <c r="D50" s="351"/>
      <c r="E50" s="133" t="s">
        <v>2417</v>
      </c>
      <c r="F50" s="123" t="s">
        <v>2417</v>
      </c>
      <c r="G50" s="133" t="s">
        <v>2417</v>
      </c>
      <c r="H50" s="135" t="s">
        <v>2435</v>
      </c>
      <c r="I50" s="134" t="s">
        <v>2418</v>
      </c>
      <c r="J50" s="133" t="s">
        <v>2417</v>
      </c>
      <c r="K50" s="133" t="s">
        <v>2417</v>
      </c>
      <c r="L50" s="133" t="s">
        <v>2417</v>
      </c>
      <c r="M50" s="133" t="s">
        <v>2417</v>
      </c>
      <c r="N50" s="133" t="s">
        <v>2417</v>
      </c>
      <c r="O50" s="133" t="s">
        <v>2417</v>
      </c>
      <c r="P50" s="133" t="s">
        <v>2417</v>
      </c>
      <c r="Q50" s="133" t="s">
        <v>2417</v>
      </c>
      <c r="R50" s="133" t="s">
        <v>2417</v>
      </c>
      <c r="S50" s="133" t="s">
        <v>2417</v>
      </c>
      <c r="T50" s="133" t="s">
        <v>2417</v>
      </c>
      <c r="U50" s="133" t="s">
        <v>2417</v>
      </c>
      <c r="V50" s="133" t="s">
        <v>2417</v>
      </c>
      <c r="W50" s="133" t="s">
        <v>2417</v>
      </c>
      <c r="X50" s="133" t="s">
        <v>2417</v>
      </c>
      <c r="Y50" s="133" t="s">
        <v>2417</v>
      </c>
      <c r="Z50" s="133" t="s">
        <v>2417</v>
      </c>
      <c r="AA50" s="133" t="s">
        <v>2417</v>
      </c>
      <c r="AB50" s="133" t="s">
        <v>2417</v>
      </c>
      <c r="AC50" s="133" t="s">
        <v>2417</v>
      </c>
      <c r="AD50" s="133" t="s">
        <v>2417</v>
      </c>
      <c r="AE50" s="133"/>
    </row>
    <row r="51" spans="1:31" ht="13.2" outlineLevel="1">
      <c r="A51" s="61" t="s">
        <v>609</v>
      </c>
      <c r="B51" s="65" t="s">
        <v>610</v>
      </c>
      <c r="C51" s="360" t="s">
        <v>2436</v>
      </c>
      <c r="D51" s="351"/>
      <c r="E51" s="133" t="s">
        <v>2417</v>
      </c>
      <c r="F51" s="123" t="s">
        <v>2417</v>
      </c>
      <c r="G51" s="133" t="s">
        <v>2417</v>
      </c>
      <c r="H51" s="133" t="s">
        <v>2417</v>
      </c>
      <c r="I51" s="134" t="s">
        <v>2418</v>
      </c>
      <c r="J51" s="133" t="s">
        <v>2417</v>
      </c>
      <c r="K51" s="133" t="s">
        <v>2417</v>
      </c>
      <c r="L51" s="133" t="s">
        <v>2417</v>
      </c>
      <c r="M51" s="133" t="s">
        <v>2417</v>
      </c>
      <c r="N51" s="133" t="s">
        <v>2417</v>
      </c>
      <c r="O51" s="133" t="s">
        <v>2417</v>
      </c>
      <c r="P51" s="133" t="s">
        <v>2417</v>
      </c>
      <c r="Q51" s="133" t="s">
        <v>2417</v>
      </c>
      <c r="R51" s="133" t="s">
        <v>2417</v>
      </c>
      <c r="S51" s="133" t="s">
        <v>2417</v>
      </c>
      <c r="T51" s="133" t="s">
        <v>2417</v>
      </c>
      <c r="U51" s="133" t="s">
        <v>2417</v>
      </c>
      <c r="V51" s="133" t="s">
        <v>2417</v>
      </c>
      <c r="W51" s="133" t="s">
        <v>2417</v>
      </c>
      <c r="X51" s="133" t="s">
        <v>2417</v>
      </c>
      <c r="Y51" s="133" t="s">
        <v>2417</v>
      </c>
      <c r="Z51" s="133" t="s">
        <v>2417</v>
      </c>
      <c r="AA51" s="133" t="s">
        <v>2417</v>
      </c>
      <c r="AB51" s="133" t="s">
        <v>2417</v>
      </c>
      <c r="AC51" s="133" t="s">
        <v>2417</v>
      </c>
      <c r="AD51" s="133" t="s">
        <v>2417</v>
      </c>
      <c r="AE51" s="133"/>
    </row>
    <row r="52" spans="1:31" ht="13.2" outlineLevel="1">
      <c r="A52" s="61" t="s">
        <v>612</v>
      </c>
      <c r="B52" s="66" t="s">
        <v>613</v>
      </c>
      <c r="C52" s="360" t="s">
        <v>614</v>
      </c>
      <c r="D52" s="351"/>
      <c r="E52" s="133" t="s">
        <v>2417</v>
      </c>
      <c r="F52" s="123" t="s">
        <v>2417</v>
      </c>
      <c r="G52" s="133" t="s">
        <v>2417</v>
      </c>
      <c r="H52" s="133" t="s">
        <v>2417</v>
      </c>
      <c r="I52" s="134" t="s">
        <v>2418</v>
      </c>
      <c r="J52" s="133" t="s">
        <v>2417</v>
      </c>
      <c r="K52" s="133" t="s">
        <v>2417</v>
      </c>
      <c r="L52" s="133" t="s">
        <v>2417</v>
      </c>
      <c r="M52" s="133" t="s">
        <v>2417</v>
      </c>
      <c r="N52" s="133" t="s">
        <v>2417</v>
      </c>
      <c r="O52" s="133" t="s">
        <v>2417</v>
      </c>
      <c r="P52" s="133" t="s">
        <v>2417</v>
      </c>
      <c r="Q52" s="133" t="s">
        <v>2417</v>
      </c>
      <c r="R52" s="133" t="s">
        <v>2417</v>
      </c>
      <c r="S52" s="133" t="s">
        <v>2417</v>
      </c>
      <c r="T52" s="133" t="s">
        <v>2417</v>
      </c>
      <c r="U52" s="133" t="s">
        <v>2417</v>
      </c>
      <c r="V52" s="133" t="s">
        <v>2417</v>
      </c>
      <c r="W52" s="133" t="s">
        <v>2417</v>
      </c>
      <c r="X52" s="133" t="s">
        <v>2417</v>
      </c>
      <c r="Y52" s="133" t="s">
        <v>2417</v>
      </c>
      <c r="Z52" s="133" t="s">
        <v>2417</v>
      </c>
      <c r="AA52" s="133" t="s">
        <v>2417</v>
      </c>
      <c r="AB52" s="133" t="s">
        <v>2417</v>
      </c>
      <c r="AC52" s="133" t="s">
        <v>2417</v>
      </c>
      <c r="AD52" s="133" t="s">
        <v>2417</v>
      </c>
      <c r="AE52" s="133"/>
    </row>
    <row r="53" spans="1:31" ht="13.2" outlineLevel="1">
      <c r="A53" s="61" t="s">
        <v>615</v>
      </c>
      <c r="B53" s="65" t="s">
        <v>592</v>
      </c>
      <c r="C53" s="360" t="s">
        <v>616</v>
      </c>
      <c r="D53" s="351"/>
      <c r="E53" s="133" t="s">
        <v>2417</v>
      </c>
      <c r="F53" s="123" t="s">
        <v>2417</v>
      </c>
      <c r="G53" s="133" t="s">
        <v>2417</v>
      </c>
      <c r="H53" s="133" t="s">
        <v>2417</v>
      </c>
      <c r="I53" s="134" t="s">
        <v>2418</v>
      </c>
      <c r="J53" s="133" t="s">
        <v>2417</v>
      </c>
      <c r="K53" s="133" t="s">
        <v>2417</v>
      </c>
      <c r="L53" s="133" t="s">
        <v>2417</v>
      </c>
      <c r="M53" s="133" t="s">
        <v>2417</v>
      </c>
      <c r="N53" s="133" t="s">
        <v>2417</v>
      </c>
      <c r="O53" s="133" t="s">
        <v>2417</v>
      </c>
      <c r="P53" s="133" t="s">
        <v>2417</v>
      </c>
      <c r="Q53" s="133" t="s">
        <v>2417</v>
      </c>
      <c r="R53" s="133" t="s">
        <v>2417</v>
      </c>
      <c r="S53" s="133" t="s">
        <v>2417</v>
      </c>
      <c r="T53" s="133" t="s">
        <v>2417</v>
      </c>
      <c r="U53" s="133" t="s">
        <v>2417</v>
      </c>
      <c r="V53" s="133" t="s">
        <v>2417</v>
      </c>
      <c r="W53" s="133" t="s">
        <v>2417</v>
      </c>
      <c r="X53" s="133" t="s">
        <v>2417</v>
      </c>
      <c r="Y53" s="133" t="s">
        <v>2417</v>
      </c>
      <c r="Z53" s="133" t="s">
        <v>2417</v>
      </c>
      <c r="AA53" s="133" t="s">
        <v>2417</v>
      </c>
      <c r="AB53" s="133" t="s">
        <v>2417</v>
      </c>
      <c r="AC53" s="133" t="s">
        <v>2417</v>
      </c>
      <c r="AD53" s="133" t="s">
        <v>2417</v>
      </c>
      <c r="AE53" s="133"/>
    </row>
    <row r="54" spans="1:31" ht="13.2" outlineLevel="1">
      <c r="A54" s="61" t="s">
        <v>617</v>
      </c>
      <c r="B54" s="65" t="s">
        <v>618</v>
      </c>
      <c r="C54" s="360" t="s">
        <v>619</v>
      </c>
      <c r="D54" s="351"/>
      <c r="E54" s="133" t="s">
        <v>2417</v>
      </c>
      <c r="F54" s="123" t="s">
        <v>2417</v>
      </c>
      <c r="G54" s="133" t="s">
        <v>2417</v>
      </c>
      <c r="H54" s="133" t="s">
        <v>2417</v>
      </c>
      <c r="I54" s="134" t="s">
        <v>2418</v>
      </c>
      <c r="J54" s="133" t="s">
        <v>2417</v>
      </c>
      <c r="K54" s="133" t="s">
        <v>2417</v>
      </c>
      <c r="L54" s="133" t="s">
        <v>2417</v>
      </c>
      <c r="M54" s="133" t="s">
        <v>2417</v>
      </c>
      <c r="N54" s="133" t="s">
        <v>2417</v>
      </c>
      <c r="O54" s="133" t="s">
        <v>2417</v>
      </c>
      <c r="P54" s="133" t="s">
        <v>2417</v>
      </c>
      <c r="Q54" s="133" t="s">
        <v>2417</v>
      </c>
      <c r="R54" s="133" t="s">
        <v>2417</v>
      </c>
      <c r="S54" s="133" t="s">
        <v>2417</v>
      </c>
      <c r="T54" s="133" t="s">
        <v>2417</v>
      </c>
      <c r="U54" s="133" t="s">
        <v>2417</v>
      </c>
      <c r="V54" s="133" t="s">
        <v>2417</v>
      </c>
      <c r="W54" s="133" t="s">
        <v>2417</v>
      </c>
      <c r="X54" s="133" t="s">
        <v>2417</v>
      </c>
      <c r="Y54" s="133" t="s">
        <v>2417</v>
      </c>
      <c r="Z54" s="133" t="s">
        <v>2417</v>
      </c>
      <c r="AA54" s="133" t="s">
        <v>2417</v>
      </c>
      <c r="AB54" s="133" t="s">
        <v>2417</v>
      </c>
      <c r="AC54" s="133" t="s">
        <v>2417</v>
      </c>
      <c r="AD54" s="133" t="s">
        <v>2417</v>
      </c>
      <c r="AE54" s="133"/>
    </row>
    <row r="55" spans="1:31" ht="13.2" outlineLevel="1">
      <c r="A55" s="61" t="s">
        <v>620</v>
      </c>
      <c r="B55" s="65" t="s">
        <v>621</v>
      </c>
      <c r="C55" s="360" t="s">
        <v>622</v>
      </c>
      <c r="D55" s="351"/>
      <c r="E55" s="133" t="s">
        <v>2417</v>
      </c>
      <c r="F55" s="123" t="s">
        <v>2417</v>
      </c>
      <c r="G55" s="133" t="s">
        <v>2417</v>
      </c>
      <c r="H55" s="133" t="s">
        <v>2417</v>
      </c>
      <c r="I55" s="134" t="s">
        <v>2418</v>
      </c>
      <c r="J55" s="133" t="s">
        <v>2417</v>
      </c>
      <c r="K55" s="133" t="s">
        <v>2417</v>
      </c>
      <c r="L55" s="133" t="s">
        <v>2417</v>
      </c>
      <c r="M55" s="133" t="s">
        <v>2417</v>
      </c>
      <c r="N55" s="133" t="s">
        <v>2417</v>
      </c>
      <c r="O55" s="133" t="s">
        <v>2417</v>
      </c>
      <c r="P55" s="133" t="s">
        <v>2417</v>
      </c>
      <c r="Q55" s="133" t="s">
        <v>2417</v>
      </c>
      <c r="R55" s="133" t="s">
        <v>2417</v>
      </c>
      <c r="S55" s="133" t="s">
        <v>2417</v>
      </c>
      <c r="T55" s="133" t="s">
        <v>2417</v>
      </c>
      <c r="U55" s="133" t="s">
        <v>2417</v>
      </c>
      <c r="V55" s="133" t="s">
        <v>2417</v>
      </c>
      <c r="W55" s="133" t="s">
        <v>2417</v>
      </c>
      <c r="X55" s="133" t="s">
        <v>2417</v>
      </c>
      <c r="Y55" s="133" t="s">
        <v>2417</v>
      </c>
      <c r="Z55" s="133" t="s">
        <v>2417</v>
      </c>
      <c r="AA55" s="133" t="s">
        <v>2417</v>
      </c>
      <c r="AB55" s="133" t="s">
        <v>2417</v>
      </c>
      <c r="AC55" s="133" t="s">
        <v>2417</v>
      </c>
      <c r="AD55" s="133" t="s">
        <v>2417</v>
      </c>
      <c r="AE55" s="133"/>
    </row>
    <row r="56" spans="1:31" ht="13.2" outlineLevel="1">
      <c r="A56" s="61" t="s">
        <v>623</v>
      </c>
      <c r="B56" s="65" t="s">
        <v>624</v>
      </c>
      <c r="C56" s="360" t="s">
        <v>625</v>
      </c>
      <c r="D56" s="351"/>
      <c r="E56" s="133" t="s">
        <v>2417</v>
      </c>
      <c r="F56" s="123" t="s">
        <v>2417</v>
      </c>
      <c r="G56" s="133" t="s">
        <v>2417</v>
      </c>
      <c r="H56" s="133" t="s">
        <v>2417</v>
      </c>
      <c r="I56" s="134" t="s">
        <v>2418</v>
      </c>
      <c r="J56" s="133" t="s">
        <v>2417</v>
      </c>
      <c r="K56" s="133" t="s">
        <v>2417</v>
      </c>
      <c r="L56" s="133" t="s">
        <v>2417</v>
      </c>
      <c r="M56" s="133" t="s">
        <v>2417</v>
      </c>
      <c r="N56" s="133" t="s">
        <v>2417</v>
      </c>
      <c r="O56" s="133" t="s">
        <v>2417</v>
      </c>
      <c r="P56" s="133" t="s">
        <v>2417</v>
      </c>
      <c r="Q56" s="133" t="s">
        <v>2417</v>
      </c>
      <c r="R56" s="133" t="s">
        <v>2417</v>
      </c>
      <c r="S56" s="133" t="s">
        <v>2417</v>
      </c>
      <c r="T56" s="133" t="s">
        <v>2417</v>
      </c>
      <c r="U56" s="133" t="s">
        <v>2417</v>
      </c>
      <c r="V56" s="133" t="s">
        <v>2417</v>
      </c>
      <c r="W56" s="133" t="s">
        <v>2417</v>
      </c>
      <c r="X56" s="133" t="s">
        <v>2417</v>
      </c>
      <c r="Y56" s="133" t="s">
        <v>2417</v>
      </c>
      <c r="Z56" s="133" t="s">
        <v>2417</v>
      </c>
      <c r="AA56" s="133" t="s">
        <v>2417</v>
      </c>
      <c r="AB56" s="133" t="s">
        <v>2417</v>
      </c>
      <c r="AC56" s="133" t="s">
        <v>2417</v>
      </c>
      <c r="AD56" s="133" t="s">
        <v>2417</v>
      </c>
      <c r="AE56" s="133"/>
    </row>
    <row r="57" spans="1:31" ht="30.6" hidden="1" outlineLevel="1">
      <c r="A57" s="61" t="s">
        <v>2437</v>
      </c>
      <c r="B57" s="62" t="s">
        <v>2438</v>
      </c>
      <c r="C57" s="355" t="s">
        <v>2439</v>
      </c>
      <c r="D57" s="351"/>
      <c r="E57" s="133" t="s">
        <v>2417</v>
      </c>
      <c r="F57" s="123" t="s">
        <v>2396</v>
      </c>
      <c r="G57" s="133" t="s">
        <v>2417</v>
      </c>
      <c r="H57" s="133" t="s">
        <v>2440</v>
      </c>
      <c r="I57" s="134" t="s">
        <v>2418</v>
      </c>
      <c r="J57" s="59" t="s">
        <v>2427</v>
      </c>
      <c r="K57" s="133" t="s">
        <v>2417</v>
      </c>
      <c r="L57" s="133" t="s">
        <v>2417</v>
      </c>
      <c r="M57" s="133" t="s">
        <v>2417</v>
      </c>
      <c r="N57" s="133" t="s">
        <v>2441</v>
      </c>
      <c r="O57" s="133" t="s">
        <v>2417</v>
      </c>
      <c r="P57" s="133" t="s">
        <v>2417</v>
      </c>
      <c r="Q57" s="133" t="s">
        <v>2417</v>
      </c>
      <c r="R57" s="133" t="s">
        <v>2417</v>
      </c>
      <c r="S57" s="133" t="s">
        <v>2417</v>
      </c>
      <c r="T57" s="133" t="s">
        <v>2417</v>
      </c>
      <c r="U57" s="133" t="s">
        <v>2417</v>
      </c>
      <c r="V57" s="133" t="s">
        <v>2417</v>
      </c>
      <c r="W57" s="133" t="s">
        <v>2417</v>
      </c>
      <c r="X57" s="133" t="s">
        <v>2417</v>
      </c>
      <c r="Y57" s="133" t="s">
        <v>2417</v>
      </c>
      <c r="Z57" s="133" t="s">
        <v>2417</v>
      </c>
      <c r="AA57" s="133" t="s">
        <v>2417</v>
      </c>
      <c r="AB57" s="133" t="s">
        <v>2417</v>
      </c>
      <c r="AC57" s="133" t="s">
        <v>2417</v>
      </c>
      <c r="AD57" s="133" t="s">
        <v>2417</v>
      </c>
      <c r="AE57" s="133"/>
    </row>
    <row r="58" spans="1:31" ht="13.2" hidden="1" outlineLevel="1">
      <c r="A58" s="61" t="s">
        <v>2437</v>
      </c>
      <c r="B58" s="136" t="s">
        <v>2438</v>
      </c>
      <c r="C58" s="454" t="s">
        <v>2442</v>
      </c>
      <c r="D58" s="368"/>
      <c r="E58" s="133" t="s">
        <v>2417</v>
      </c>
      <c r="F58" s="123" t="s">
        <v>2396</v>
      </c>
      <c r="G58" s="133" t="s">
        <v>2417</v>
      </c>
      <c r="H58" s="133" t="s">
        <v>2440</v>
      </c>
      <c r="I58" s="134" t="s">
        <v>2418</v>
      </c>
      <c r="J58" s="133" t="s">
        <v>2430</v>
      </c>
      <c r="K58" s="133" t="s">
        <v>2417</v>
      </c>
      <c r="L58" s="133" t="s">
        <v>2417</v>
      </c>
      <c r="M58" s="133" t="s">
        <v>2417</v>
      </c>
      <c r="N58" s="133" t="s">
        <v>2441</v>
      </c>
      <c r="O58" s="133" t="s">
        <v>2417</v>
      </c>
      <c r="P58" s="133" t="s">
        <v>2417</v>
      </c>
      <c r="Q58" s="133" t="s">
        <v>2417</v>
      </c>
      <c r="R58" s="133" t="s">
        <v>2417</v>
      </c>
      <c r="S58" s="133" t="s">
        <v>2417</v>
      </c>
      <c r="T58" s="133" t="s">
        <v>2417</v>
      </c>
      <c r="U58" s="133" t="s">
        <v>2417</v>
      </c>
      <c r="V58" s="133" t="s">
        <v>2417</v>
      </c>
      <c r="W58" s="133" t="s">
        <v>2417</v>
      </c>
      <c r="X58" s="133" t="s">
        <v>2417</v>
      </c>
      <c r="Y58" s="133" t="s">
        <v>2417</v>
      </c>
      <c r="Z58" s="133" t="s">
        <v>2417</v>
      </c>
      <c r="AA58" s="133" t="s">
        <v>2417</v>
      </c>
      <c r="AB58" s="133" t="s">
        <v>2417</v>
      </c>
      <c r="AC58" s="133" t="s">
        <v>2417</v>
      </c>
      <c r="AD58" s="133" t="s">
        <v>2417</v>
      </c>
      <c r="AE58" s="133"/>
    </row>
    <row r="59" spans="1:31" ht="13.2" outlineLevel="1">
      <c r="A59" s="395" t="s">
        <v>626</v>
      </c>
      <c r="B59" s="350"/>
      <c r="C59" s="350"/>
      <c r="D59" s="351"/>
      <c r="E59" s="133" t="s">
        <v>2417</v>
      </c>
      <c r="F59" s="123" t="s">
        <v>2417</v>
      </c>
      <c r="G59" s="123" t="s">
        <v>2417</v>
      </c>
      <c r="H59" s="123" t="s">
        <v>2417</v>
      </c>
      <c r="I59" s="134" t="s">
        <v>2418</v>
      </c>
      <c r="J59" s="133" t="s">
        <v>2417</v>
      </c>
      <c r="K59" s="133" t="s">
        <v>2417</v>
      </c>
      <c r="L59" s="133" t="s">
        <v>2417</v>
      </c>
      <c r="M59" s="133" t="s">
        <v>2417</v>
      </c>
      <c r="N59" s="133" t="s">
        <v>2417</v>
      </c>
      <c r="O59" s="133" t="s">
        <v>2417</v>
      </c>
      <c r="P59" s="133" t="s">
        <v>2417</v>
      </c>
      <c r="Q59" s="133" t="s">
        <v>2417</v>
      </c>
      <c r="R59" s="133" t="s">
        <v>2417</v>
      </c>
      <c r="S59" s="133" t="s">
        <v>2417</v>
      </c>
      <c r="T59" s="133" t="s">
        <v>2417</v>
      </c>
      <c r="U59" s="133" t="s">
        <v>2417</v>
      </c>
      <c r="V59" s="133" t="s">
        <v>2417</v>
      </c>
      <c r="W59" s="133" t="s">
        <v>2417</v>
      </c>
      <c r="X59" s="133" t="s">
        <v>2417</v>
      </c>
      <c r="Y59" s="133" t="s">
        <v>2417</v>
      </c>
      <c r="Z59" s="133" t="s">
        <v>2417</v>
      </c>
      <c r="AA59" s="133" t="s">
        <v>2417</v>
      </c>
      <c r="AB59" s="133" t="s">
        <v>2417</v>
      </c>
      <c r="AC59" s="133" t="s">
        <v>2417</v>
      </c>
      <c r="AD59" s="133" t="s">
        <v>2417</v>
      </c>
      <c r="AE59" s="133"/>
    </row>
    <row r="60" spans="1:31" ht="13.2" outlineLevel="1">
      <c r="A60" s="61" t="s">
        <v>627</v>
      </c>
      <c r="B60" s="65" t="s">
        <v>478</v>
      </c>
      <c r="C60" s="360" t="s">
        <v>2443</v>
      </c>
      <c r="D60" s="351"/>
      <c r="E60" s="133" t="s">
        <v>2417</v>
      </c>
      <c r="F60" s="133" t="s">
        <v>2417</v>
      </c>
      <c r="G60" s="133" t="s">
        <v>2417</v>
      </c>
      <c r="H60" s="133" t="s">
        <v>2417</v>
      </c>
      <c r="I60" s="134" t="s">
        <v>2418</v>
      </c>
      <c r="J60" s="133" t="s">
        <v>2417</v>
      </c>
      <c r="K60" s="133" t="s">
        <v>2417</v>
      </c>
      <c r="L60" s="133" t="s">
        <v>2417</v>
      </c>
      <c r="M60" s="133" t="s">
        <v>2417</v>
      </c>
      <c r="N60" s="133" t="s">
        <v>2417</v>
      </c>
      <c r="O60" s="133" t="s">
        <v>2417</v>
      </c>
      <c r="P60" s="133" t="s">
        <v>2417</v>
      </c>
      <c r="Q60" s="133" t="s">
        <v>2417</v>
      </c>
      <c r="R60" s="133" t="s">
        <v>2417</v>
      </c>
      <c r="S60" s="133" t="s">
        <v>2417</v>
      </c>
      <c r="T60" s="133" t="s">
        <v>2417</v>
      </c>
      <c r="U60" s="133" t="s">
        <v>2417</v>
      </c>
      <c r="V60" s="133" t="s">
        <v>2417</v>
      </c>
      <c r="W60" s="133" t="s">
        <v>2417</v>
      </c>
      <c r="X60" s="133" t="s">
        <v>2417</v>
      </c>
      <c r="Y60" s="133" t="s">
        <v>2417</v>
      </c>
      <c r="Z60" s="133" t="s">
        <v>2417</v>
      </c>
      <c r="AA60" s="133" t="s">
        <v>2417</v>
      </c>
      <c r="AB60" s="133" t="s">
        <v>2417</v>
      </c>
      <c r="AC60" s="133" t="s">
        <v>2417</v>
      </c>
      <c r="AD60" s="133" t="s">
        <v>2417</v>
      </c>
      <c r="AE60" s="133"/>
    </row>
    <row r="61" spans="1:31" ht="13.2" outlineLevel="1">
      <c r="A61" s="61" t="s">
        <v>629</v>
      </c>
      <c r="B61" s="65" t="s">
        <v>630</v>
      </c>
      <c r="C61" s="360" t="s">
        <v>2444</v>
      </c>
      <c r="D61" s="351"/>
      <c r="E61" s="133" t="s">
        <v>2417</v>
      </c>
      <c r="F61" s="133" t="s">
        <v>2417</v>
      </c>
      <c r="G61" s="133" t="s">
        <v>2417</v>
      </c>
      <c r="H61" s="133" t="s">
        <v>2417</v>
      </c>
      <c r="I61" s="134" t="s">
        <v>2418</v>
      </c>
      <c r="J61" s="133" t="s">
        <v>2417</v>
      </c>
      <c r="K61" s="133" t="s">
        <v>2417</v>
      </c>
      <c r="L61" s="133" t="s">
        <v>2417</v>
      </c>
      <c r="M61" s="133" t="s">
        <v>2417</v>
      </c>
      <c r="N61" s="133" t="s">
        <v>2417</v>
      </c>
      <c r="O61" s="133" t="s">
        <v>2417</v>
      </c>
      <c r="P61" s="133" t="s">
        <v>2417</v>
      </c>
      <c r="Q61" s="133" t="s">
        <v>2417</v>
      </c>
      <c r="R61" s="133" t="s">
        <v>2417</v>
      </c>
      <c r="S61" s="133" t="s">
        <v>2417</v>
      </c>
      <c r="T61" s="133" t="s">
        <v>2417</v>
      </c>
      <c r="U61" s="133" t="s">
        <v>2417</v>
      </c>
      <c r="V61" s="133" t="s">
        <v>2417</v>
      </c>
      <c r="W61" s="133" t="s">
        <v>2417</v>
      </c>
      <c r="X61" s="133" t="s">
        <v>2417</v>
      </c>
      <c r="Y61" s="133" t="s">
        <v>2417</v>
      </c>
      <c r="Z61" s="133" t="s">
        <v>2417</v>
      </c>
      <c r="AA61" s="133" t="s">
        <v>2417</v>
      </c>
      <c r="AB61" s="133" t="s">
        <v>2417</v>
      </c>
      <c r="AC61" s="133" t="s">
        <v>2417</v>
      </c>
      <c r="AD61" s="133" t="s">
        <v>2417</v>
      </c>
      <c r="AE61" s="133"/>
    </row>
    <row r="62" spans="1:31" ht="13.2" outlineLevel="1">
      <c r="A62" s="61" t="s">
        <v>632</v>
      </c>
      <c r="B62" s="65" t="s">
        <v>633</v>
      </c>
      <c r="C62" s="360" t="s">
        <v>634</v>
      </c>
      <c r="D62" s="351"/>
      <c r="E62" s="133" t="s">
        <v>2417</v>
      </c>
      <c r="F62" s="133" t="s">
        <v>2417</v>
      </c>
      <c r="G62" s="133" t="s">
        <v>2417</v>
      </c>
      <c r="H62" s="133" t="s">
        <v>2417</v>
      </c>
      <c r="I62" s="134" t="s">
        <v>2418</v>
      </c>
      <c r="J62" s="133" t="s">
        <v>2417</v>
      </c>
      <c r="K62" s="133" t="s">
        <v>2417</v>
      </c>
      <c r="L62" s="133" t="s">
        <v>2417</v>
      </c>
      <c r="M62" s="133" t="s">
        <v>2417</v>
      </c>
      <c r="N62" s="133" t="s">
        <v>2417</v>
      </c>
      <c r="O62" s="133" t="s">
        <v>2417</v>
      </c>
      <c r="P62" s="133" t="s">
        <v>2417</v>
      </c>
      <c r="Q62" s="133" t="s">
        <v>2417</v>
      </c>
      <c r="R62" s="133" t="s">
        <v>2417</v>
      </c>
      <c r="S62" s="133" t="s">
        <v>2417</v>
      </c>
      <c r="T62" s="133" t="s">
        <v>2417</v>
      </c>
      <c r="U62" s="133" t="s">
        <v>2417</v>
      </c>
      <c r="V62" s="133" t="s">
        <v>2417</v>
      </c>
      <c r="W62" s="133" t="s">
        <v>2417</v>
      </c>
      <c r="X62" s="133" t="s">
        <v>2417</v>
      </c>
      <c r="Y62" s="133" t="s">
        <v>2417</v>
      </c>
      <c r="Z62" s="133" t="s">
        <v>2417</v>
      </c>
      <c r="AA62" s="133" t="s">
        <v>2417</v>
      </c>
      <c r="AB62" s="133" t="s">
        <v>2417</v>
      </c>
      <c r="AC62" s="133" t="s">
        <v>2417</v>
      </c>
      <c r="AD62" s="133" t="s">
        <v>2417</v>
      </c>
      <c r="AE62" s="133"/>
    </row>
    <row r="63" spans="1:31" ht="13.2" outlineLevel="1">
      <c r="A63" s="61" t="s">
        <v>635</v>
      </c>
      <c r="B63" s="65" t="s">
        <v>636</v>
      </c>
      <c r="C63" s="360" t="s">
        <v>637</v>
      </c>
      <c r="D63" s="351"/>
      <c r="E63" s="133" t="s">
        <v>2417</v>
      </c>
      <c r="F63" s="133" t="s">
        <v>2417</v>
      </c>
      <c r="G63" s="133" t="s">
        <v>2417</v>
      </c>
      <c r="H63" s="133" t="s">
        <v>2417</v>
      </c>
      <c r="I63" s="134" t="s">
        <v>2418</v>
      </c>
      <c r="J63" s="133" t="s">
        <v>2417</v>
      </c>
      <c r="K63" s="133" t="s">
        <v>2417</v>
      </c>
      <c r="L63" s="133" t="s">
        <v>2417</v>
      </c>
      <c r="M63" s="133" t="s">
        <v>2417</v>
      </c>
      <c r="N63" s="133" t="s">
        <v>2417</v>
      </c>
      <c r="O63" s="133" t="s">
        <v>2417</v>
      </c>
      <c r="P63" s="133" t="s">
        <v>2417</v>
      </c>
      <c r="Q63" s="133" t="s">
        <v>2417</v>
      </c>
      <c r="R63" s="133" t="s">
        <v>2417</v>
      </c>
      <c r="S63" s="133" t="s">
        <v>2417</v>
      </c>
      <c r="T63" s="133" t="s">
        <v>2417</v>
      </c>
      <c r="U63" s="133" t="s">
        <v>2417</v>
      </c>
      <c r="V63" s="133" t="s">
        <v>2417</v>
      </c>
      <c r="W63" s="133" t="s">
        <v>2417</v>
      </c>
      <c r="X63" s="133" t="s">
        <v>2417</v>
      </c>
      <c r="Y63" s="133" t="s">
        <v>2417</v>
      </c>
      <c r="Z63" s="133" t="s">
        <v>2417</v>
      </c>
      <c r="AA63" s="133" t="s">
        <v>2417</v>
      </c>
      <c r="AB63" s="133" t="s">
        <v>2417</v>
      </c>
      <c r="AC63" s="133" t="s">
        <v>2417</v>
      </c>
      <c r="AD63" s="133" t="s">
        <v>2417</v>
      </c>
      <c r="AE63" s="133"/>
    </row>
    <row r="64" spans="1:31" ht="13.2">
      <c r="A64" s="393" t="s">
        <v>638</v>
      </c>
      <c r="B64" s="350"/>
      <c r="C64" s="350"/>
      <c r="D64" s="351"/>
      <c r="E64" s="133" t="s">
        <v>2417</v>
      </c>
      <c r="F64" s="133" t="s">
        <v>2417</v>
      </c>
      <c r="G64" s="133" t="s">
        <v>2417</v>
      </c>
      <c r="H64" s="133" t="s">
        <v>2417</v>
      </c>
      <c r="I64" s="134" t="s">
        <v>2418</v>
      </c>
      <c r="J64" s="133" t="s">
        <v>2417</v>
      </c>
      <c r="K64" s="133" t="s">
        <v>2417</v>
      </c>
      <c r="L64" s="133" t="s">
        <v>2417</v>
      </c>
      <c r="M64" s="133" t="s">
        <v>2417</v>
      </c>
      <c r="N64" s="133" t="s">
        <v>2417</v>
      </c>
      <c r="O64" s="133" t="s">
        <v>2417</v>
      </c>
      <c r="P64" s="133" t="s">
        <v>2417</v>
      </c>
      <c r="Q64" s="133" t="s">
        <v>2417</v>
      </c>
      <c r="R64" s="133" t="s">
        <v>2417</v>
      </c>
      <c r="S64" s="133" t="s">
        <v>2417</v>
      </c>
      <c r="T64" s="133" t="s">
        <v>2417</v>
      </c>
      <c r="U64" s="133" t="s">
        <v>2417</v>
      </c>
      <c r="V64" s="133" t="s">
        <v>2417</v>
      </c>
      <c r="W64" s="133" t="s">
        <v>2417</v>
      </c>
      <c r="X64" s="133" t="s">
        <v>2417</v>
      </c>
      <c r="Y64" s="133" t="s">
        <v>2417</v>
      </c>
      <c r="Z64" s="133" t="s">
        <v>2417</v>
      </c>
      <c r="AA64" s="133" t="s">
        <v>2417</v>
      </c>
      <c r="AB64" s="133" t="s">
        <v>2417</v>
      </c>
      <c r="AC64" s="133" t="s">
        <v>2417</v>
      </c>
      <c r="AD64" s="133" t="s">
        <v>2417</v>
      </c>
      <c r="AE64" s="133"/>
    </row>
    <row r="65" spans="1:31" ht="13.2" outlineLevel="1">
      <c r="A65" s="383" t="s">
        <v>639</v>
      </c>
      <c r="B65" s="350"/>
      <c r="C65" s="350"/>
      <c r="D65" s="351"/>
      <c r="E65" s="133" t="s">
        <v>2417</v>
      </c>
      <c r="F65" s="133" t="s">
        <v>2417</v>
      </c>
      <c r="G65" s="133" t="s">
        <v>2417</v>
      </c>
      <c r="H65" s="137" t="s">
        <v>2445</v>
      </c>
      <c r="I65" s="134" t="s">
        <v>2418</v>
      </c>
      <c r="J65" s="133" t="s">
        <v>2417</v>
      </c>
      <c r="K65" s="133" t="s">
        <v>2417</v>
      </c>
      <c r="L65" s="133" t="s">
        <v>2417</v>
      </c>
      <c r="M65" s="133" t="s">
        <v>2417</v>
      </c>
      <c r="N65" s="133" t="s">
        <v>2417</v>
      </c>
      <c r="O65" s="133" t="s">
        <v>2417</v>
      </c>
      <c r="P65" s="133" t="s">
        <v>2417</v>
      </c>
      <c r="Q65" s="133" t="s">
        <v>2417</v>
      </c>
      <c r="R65" s="133" t="s">
        <v>2417</v>
      </c>
      <c r="S65" s="133" t="s">
        <v>2417</v>
      </c>
      <c r="T65" s="133" t="s">
        <v>2417</v>
      </c>
      <c r="U65" s="133" t="s">
        <v>2417</v>
      </c>
      <c r="V65" s="133" t="s">
        <v>2417</v>
      </c>
      <c r="W65" s="133" t="s">
        <v>2417</v>
      </c>
      <c r="X65" s="133" t="s">
        <v>2417</v>
      </c>
      <c r="Y65" s="133" t="s">
        <v>2417</v>
      </c>
      <c r="Z65" s="133" t="s">
        <v>2417</v>
      </c>
      <c r="AA65" s="133" t="s">
        <v>2417</v>
      </c>
      <c r="AB65" s="133" t="s">
        <v>2417</v>
      </c>
      <c r="AC65" s="133" t="s">
        <v>2417</v>
      </c>
      <c r="AD65" s="133" t="s">
        <v>2417</v>
      </c>
      <c r="AE65" s="133"/>
    </row>
    <row r="66" spans="1:31" ht="13.2" outlineLevel="2">
      <c r="A66" s="67"/>
      <c r="B66" s="67"/>
      <c r="C66" s="360" t="s">
        <v>640</v>
      </c>
      <c r="D66" s="351"/>
      <c r="E66" s="133" t="s">
        <v>2417</v>
      </c>
      <c r="F66" s="133" t="s">
        <v>2417</v>
      </c>
      <c r="G66" s="133" t="s">
        <v>2417</v>
      </c>
      <c r="H66" s="137" t="s">
        <v>2445</v>
      </c>
      <c r="I66" s="134" t="s">
        <v>2418</v>
      </c>
      <c r="J66" s="133" t="s">
        <v>2417</v>
      </c>
      <c r="K66" s="133" t="s">
        <v>2417</v>
      </c>
      <c r="L66" s="133" t="s">
        <v>2417</v>
      </c>
      <c r="M66" s="133" t="s">
        <v>2417</v>
      </c>
      <c r="N66" s="133" t="s">
        <v>2417</v>
      </c>
      <c r="O66" s="133" t="s">
        <v>2417</v>
      </c>
      <c r="P66" s="133" t="s">
        <v>2417</v>
      </c>
      <c r="Q66" s="133" t="s">
        <v>2417</v>
      </c>
      <c r="R66" s="133" t="s">
        <v>2417</v>
      </c>
      <c r="S66" s="133" t="s">
        <v>2417</v>
      </c>
      <c r="T66" s="133" t="s">
        <v>2417</v>
      </c>
      <c r="U66" s="133" t="s">
        <v>2417</v>
      </c>
      <c r="V66" s="133" t="s">
        <v>2417</v>
      </c>
      <c r="W66" s="133" t="s">
        <v>2417</v>
      </c>
      <c r="X66" s="133" t="s">
        <v>2417</v>
      </c>
      <c r="Y66" s="133" t="s">
        <v>2417</v>
      </c>
      <c r="Z66" s="133" t="s">
        <v>2417</v>
      </c>
      <c r="AA66" s="133" t="s">
        <v>2417</v>
      </c>
      <c r="AB66" s="133" t="s">
        <v>2417</v>
      </c>
      <c r="AC66" s="133" t="s">
        <v>2417</v>
      </c>
      <c r="AD66" s="133" t="s">
        <v>2417</v>
      </c>
      <c r="AE66" s="133"/>
    </row>
    <row r="67" spans="1:31" ht="13.2">
      <c r="A67" s="393" t="s">
        <v>641</v>
      </c>
      <c r="B67" s="350"/>
      <c r="C67" s="350"/>
      <c r="D67" s="351"/>
      <c r="E67" s="133" t="s">
        <v>2417</v>
      </c>
      <c r="F67" s="133" t="s">
        <v>2417</v>
      </c>
      <c r="G67" s="133" t="s">
        <v>2417</v>
      </c>
      <c r="H67" s="133" t="s">
        <v>2417</v>
      </c>
      <c r="I67" s="133" t="s">
        <v>2417</v>
      </c>
      <c r="J67" s="133" t="s">
        <v>2417</v>
      </c>
      <c r="K67" s="133" t="s">
        <v>2417</v>
      </c>
      <c r="L67" s="133" t="s">
        <v>2417</v>
      </c>
      <c r="M67" s="133" t="s">
        <v>2417</v>
      </c>
      <c r="N67" s="133" t="s">
        <v>2417</v>
      </c>
      <c r="O67" s="133" t="s">
        <v>2417</v>
      </c>
      <c r="P67" s="133" t="s">
        <v>2417</v>
      </c>
      <c r="Q67" s="133" t="s">
        <v>2417</v>
      </c>
      <c r="R67" s="133" t="s">
        <v>2417</v>
      </c>
      <c r="S67" s="133" t="s">
        <v>2417</v>
      </c>
      <c r="T67" s="133" t="s">
        <v>2417</v>
      </c>
      <c r="U67" s="133" t="s">
        <v>2417</v>
      </c>
      <c r="V67" s="133" t="s">
        <v>2417</v>
      </c>
      <c r="W67" s="133" t="s">
        <v>2417</v>
      </c>
      <c r="X67" s="133" t="s">
        <v>2417</v>
      </c>
      <c r="Y67" s="133" t="s">
        <v>2417</v>
      </c>
      <c r="Z67" s="133" t="s">
        <v>2417</v>
      </c>
      <c r="AA67" s="133" t="s">
        <v>2417</v>
      </c>
      <c r="AB67" s="133" t="s">
        <v>2417</v>
      </c>
      <c r="AC67" s="133" t="s">
        <v>2417</v>
      </c>
      <c r="AD67" s="133" t="s">
        <v>2417</v>
      </c>
      <c r="AE67" s="133"/>
    </row>
    <row r="68" spans="1:31" ht="13.2" outlineLevel="1">
      <c r="A68" s="393" t="s">
        <v>642</v>
      </c>
      <c r="B68" s="350"/>
      <c r="C68" s="350"/>
      <c r="D68" s="351"/>
      <c r="E68" s="133" t="s">
        <v>2417</v>
      </c>
      <c r="F68" s="133" t="s">
        <v>2417</v>
      </c>
      <c r="G68" s="133" t="s">
        <v>2417</v>
      </c>
      <c r="H68" s="133" t="s">
        <v>2417</v>
      </c>
      <c r="I68" s="133" t="s">
        <v>2417</v>
      </c>
      <c r="J68" s="133" t="s">
        <v>2417</v>
      </c>
      <c r="K68" s="133" t="s">
        <v>2417</v>
      </c>
      <c r="L68" s="133" t="s">
        <v>2417</v>
      </c>
      <c r="M68" s="133" t="s">
        <v>2417</v>
      </c>
      <c r="N68" s="133" t="s">
        <v>2417</v>
      </c>
      <c r="O68" s="133" t="s">
        <v>2417</v>
      </c>
      <c r="P68" s="133" t="s">
        <v>2417</v>
      </c>
      <c r="Q68" s="133" t="s">
        <v>2417</v>
      </c>
      <c r="R68" s="133" t="s">
        <v>2417</v>
      </c>
      <c r="S68" s="133" t="s">
        <v>2417</v>
      </c>
      <c r="T68" s="133" t="s">
        <v>2417</v>
      </c>
      <c r="U68" s="133" t="s">
        <v>2417</v>
      </c>
      <c r="V68" s="133" t="s">
        <v>2417</v>
      </c>
      <c r="W68" s="133" t="s">
        <v>2417</v>
      </c>
      <c r="X68" s="133" t="s">
        <v>2417</v>
      </c>
      <c r="Y68" s="133" t="s">
        <v>2417</v>
      </c>
      <c r="Z68" s="133" t="s">
        <v>2417</v>
      </c>
      <c r="AA68" s="133" t="s">
        <v>2417</v>
      </c>
      <c r="AB68" s="133" t="s">
        <v>2417</v>
      </c>
      <c r="AC68" s="133" t="s">
        <v>2417</v>
      </c>
      <c r="AD68" s="133" t="s">
        <v>2417</v>
      </c>
      <c r="AE68" s="133"/>
    </row>
    <row r="69" spans="1:31" ht="20.399999999999999" outlineLevel="2">
      <c r="A69" s="68" t="s">
        <v>643</v>
      </c>
      <c r="B69" s="65" t="s">
        <v>644</v>
      </c>
      <c r="C69" s="360" t="s">
        <v>645</v>
      </c>
      <c r="D69" s="351"/>
      <c r="E69" s="133" t="s">
        <v>2417</v>
      </c>
      <c r="F69" s="133" t="s">
        <v>2417</v>
      </c>
      <c r="G69" s="133" t="s">
        <v>2417</v>
      </c>
      <c r="H69" s="133" t="s">
        <v>2417</v>
      </c>
      <c r="I69" s="133" t="s">
        <v>2417</v>
      </c>
      <c r="J69" s="133" t="s">
        <v>2417</v>
      </c>
      <c r="K69" s="133" t="s">
        <v>2417</v>
      </c>
      <c r="L69" s="133" t="s">
        <v>2417</v>
      </c>
      <c r="M69" s="133" t="s">
        <v>2417</v>
      </c>
      <c r="N69" s="133" t="s">
        <v>2417</v>
      </c>
      <c r="O69" s="133" t="s">
        <v>2417</v>
      </c>
      <c r="P69" s="133" t="s">
        <v>2417</v>
      </c>
      <c r="Q69" s="133" t="s">
        <v>2417</v>
      </c>
      <c r="R69" s="133" t="s">
        <v>2417</v>
      </c>
      <c r="S69" s="133" t="s">
        <v>2417</v>
      </c>
      <c r="T69" s="133" t="s">
        <v>2417</v>
      </c>
      <c r="U69" s="133" t="s">
        <v>2417</v>
      </c>
      <c r="V69" s="133" t="s">
        <v>2417</v>
      </c>
      <c r="W69" s="133" t="s">
        <v>2417</v>
      </c>
      <c r="X69" s="133" t="s">
        <v>2417</v>
      </c>
      <c r="Y69" s="133" t="s">
        <v>2417</v>
      </c>
      <c r="Z69" s="133" t="s">
        <v>2417</v>
      </c>
      <c r="AA69" s="133" t="s">
        <v>2417</v>
      </c>
      <c r="AB69" s="133" t="s">
        <v>2417</v>
      </c>
      <c r="AC69" s="133" t="s">
        <v>2417</v>
      </c>
      <c r="AD69" s="133" t="s">
        <v>2417</v>
      </c>
      <c r="AE69" s="133"/>
    </row>
    <row r="70" spans="1:31" ht="13.2" outlineLevel="2">
      <c r="A70" s="68" t="s">
        <v>646</v>
      </c>
      <c r="B70" s="64" t="s">
        <v>647</v>
      </c>
      <c r="C70" s="389" t="s">
        <v>648</v>
      </c>
      <c r="D70" s="351"/>
      <c r="E70" s="133" t="s">
        <v>2417</v>
      </c>
      <c r="F70" s="133" t="s">
        <v>2417</v>
      </c>
      <c r="G70" s="133" t="s">
        <v>2417</v>
      </c>
      <c r="H70" s="133" t="s">
        <v>2417</v>
      </c>
      <c r="I70" s="133" t="s">
        <v>2417</v>
      </c>
      <c r="J70" s="133" t="s">
        <v>2417</v>
      </c>
      <c r="K70" s="133" t="s">
        <v>2417</v>
      </c>
      <c r="L70" s="133" t="s">
        <v>2417</v>
      </c>
      <c r="M70" s="133" t="s">
        <v>2417</v>
      </c>
      <c r="N70" s="133" t="s">
        <v>2417</v>
      </c>
      <c r="O70" s="133" t="s">
        <v>2417</v>
      </c>
      <c r="P70" s="133" t="s">
        <v>2417</v>
      </c>
      <c r="Q70" s="133" t="s">
        <v>2417</v>
      </c>
      <c r="R70" s="133" t="s">
        <v>2417</v>
      </c>
      <c r="S70" s="133" t="s">
        <v>2417</v>
      </c>
      <c r="T70" s="133" t="s">
        <v>2417</v>
      </c>
      <c r="U70" s="133" t="s">
        <v>2417</v>
      </c>
      <c r="V70" s="133" t="s">
        <v>2417</v>
      </c>
      <c r="W70" s="133" t="s">
        <v>2417</v>
      </c>
      <c r="X70" s="133" t="s">
        <v>2417</v>
      </c>
      <c r="Y70" s="133" t="s">
        <v>2417</v>
      </c>
      <c r="Z70" s="133" t="s">
        <v>2417</v>
      </c>
      <c r="AA70" s="133" t="s">
        <v>2417</v>
      </c>
      <c r="AB70" s="133" t="s">
        <v>2417</v>
      </c>
      <c r="AC70" s="133" t="s">
        <v>2417</v>
      </c>
      <c r="AD70" s="133" t="s">
        <v>2417</v>
      </c>
      <c r="AE70" s="133"/>
    </row>
    <row r="71" spans="1:31" ht="13.2" outlineLevel="2">
      <c r="A71" s="68" t="s">
        <v>649</v>
      </c>
      <c r="B71" s="64" t="s">
        <v>650</v>
      </c>
      <c r="C71" s="389" t="s">
        <v>2446</v>
      </c>
      <c r="D71" s="351"/>
      <c r="E71" s="133" t="s">
        <v>2417</v>
      </c>
      <c r="F71" s="133" t="s">
        <v>2417</v>
      </c>
      <c r="G71" s="133" t="s">
        <v>2417</v>
      </c>
      <c r="H71" s="133" t="s">
        <v>2417</v>
      </c>
      <c r="I71" s="133" t="s">
        <v>2417</v>
      </c>
      <c r="J71" s="133" t="s">
        <v>2417</v>
      </c>
      <c r="K71" s="133" t="s">
        <v>2417</v>
      </c>
      <c r="L71" s="133" t="s">
        <v>2397</v>
      </c>
      <c r="M71" s="133" t="s">
        <v>2417</v>
      </c>
      <c r="N71" s="133" t="s">
        <v>2417</v>
      </c>
      <c r="O71" s="133" t="s">
        <v>2417</v>
      </c>
      <c r="P71" s="133" t="s">
        <v>2417</v>
      </c>
      <c r="Q71" s="133" t="s">
        <v>2417</v>
      </c>
      <c r="R71" s="133" t="s">
        <v>2417</v>
      </c>
      <c r="S71" s="133" t="s">
        <v>2417</v>
      </c>
      <c r="T71" s="133" t="s">
        <v>2417</v>
      </c>
      <c r="U71" s="133" t="s">
        <v>2417</v>
      </c>
      <c r="V71" s="133" t="s">
        <v>2417</v>
      </c>
      <c r="W71" s="133" t="s">
        <v>2417</v>
      </c>
      <c r="X71" s="133" t="s">
        <v>2417</v>
      </c>
      <c r="Y71" s="133" t="s">
        <v>2417</v>
      </c>
      <c r="Z71" s="133" t="s">
        <v>2417</v>
      </c>
      <c r="AA71" s="133" t="s">
        <v>2417</v>
      </c>
      <c r="AB71" s="133" t="s">
        <v>2417</v>
      </c>
      <c r="AC71" s="133" t="s">
        <v>2417</v>
      </c>
      <c r="AD71" s="133" t="s">
        <v>2417</v>
      </c>
      <c r="AE71" s="133"/>
    </row>
    <row r="72" spans="1:31" ht="21" outlineLevel="2">
      <c r="A72" s="68" t="s">
        <v>652</v>
      </c>
      <c r="B72" s="64" t="s">
        <v>653</v>
      </c>
      <c r="C72" s="389" t="s">
        <v>654</v>
      </c>
      <c r="D72" s="351"/>
      <c r="E72" s="133" t="s">
        <v>2417</v>
      </c>
      <c r="F72" s="133" t="s">
        <v>2417</v>
      </c>
      <c r="G72" s="133" t="s">
        <v>2417</v>
      </c>
      <c r="H72" s="133" t="s">
        <v>2417</v>
      </c>
      <c r="I72" s="133" t="s">
        <v>2417</v>
      </c>
      <c r="J72" s="133" t="s">
        <v>2417</v>
      </c>
      <c r="K72" s="133" t="s">
        <v>2417</v>
      </c>
      <c r="L72" s="133" t="s">
        <v>2417</v>
      </c>
      <c r="M72" s="133" t="s">
        <v>2417</v>
      </c>
      <c r="N72" s="133" t="s">
        <v>2417</v>
      </c>
      <c r="O72" s="133" t="s">
        <v>2417</v>
      </c>
      <c r="P72" s="133" t="s">
        <v>2417</v>
      </c>
      <c r="Q72" s="133" t="s">
        <v>2417</v>
      </c>
      <c r="R72" s="133" t="s">
        <v>2417</v>
      </c>
      <c r="S72" s="133" t="s">
        <v>2417</v>
      </c>
      <c r="T72" s="133" t="s">
        <v>2417</v>
      </c>
      <c r="U72" s="133" t="s">
        <v>2417</v>
      </c>
      <c r="V72" s="133" t="s">
        <v>2417</v>
      </c>
      <c r="W72" s="133" t="s">
        <v>2417</v>
      </c>
      <c r="X72" s="133" t="s">
        <v>2417</v>
      </c>
      <c r="Y72" s="133" t="s">
        <v>2417</v>
      </c>
      <c r="Z72" s="133" t="s">
        <v>2417</v>
      </c>
      <c r="AA72" s="133" t="s">
        <v>2417</v>
      </c>
      <c r="AB72" s="133" t="s">
        <v>2417</v>
      </c>
      <c r="AC72" s="133" t="s">
        <v>2417</v>
      </c>
      <c r="AD72" s="133" t="s">
        <v>2417</v>
      </c>
      <c r="AE72" s="133"/>
    </row>
    <row r="73" spans="1:31" ht="20.399999999999999" outlineLevel="2">
      <c r="A73" s="68" t="s">
        <v>655</v>
      </c>
      <c r="B73" s="64" t="s">
        <v>656</v>
      </c>
      <c r="C73" s="360" t="s">
        <v>657</v>
      </c>
      <c r="D73" s="351"/>
      <c r="E73" s="133" t="s">
        <v>2417</v>
      </c>
      <c r="F73" s="133" t="s">
        <v>2417</v>
      </c>
      <c r="G73" s="133" t="s">
        <v>2417</v>
      </c>
      <c r="H73" s="133" t="s">
        <v>2417</v>
      </c>
      <c r="I73" s="133" t="s">
        <v>2417</v>
      </c>
      <c r="J73" s="133" t="s">
        <v>2417</v>
      </c>
      <c r="K73" s="133" t="s">
        <v>2417</v>
      </c>
      <c r="L73" s="133" t="s">
        <v>2417</v>
      </c>
      <c r="M73" s="133" t="s">
        <v>2417</v>
      </c>
      <c r="N73" s="133" t="s">
        <v>2417</v>
      </c>
      <c r="O73" s="133" t="s">
        <v>2417</v>
      </c>
      <c r="P73" s="133" t="s">
        <v>2417</v>
      </c>
      <c r="Q73" s="133" t="s">
        <v>2417</v>
      </c>
      <c r="R73" s="133" t="s">
        <v>2417</v>
      </c>
      <c r="S73" s="133" t="s">
        <v>2417</v>
      </c>
      <c r="T73" s="133" t="s">
        <v>2417</v>
      </c>
      <c r="U73" s="133" t="s">
        <v>2417</v>
      </c>
      <c r="V73" s="133" t="s">
        <v>2417</v>
      </c>
      <c r="W73" s="133" t="s">
        <v>2417</v>
      </c>
      <c r="X73" s="133" t="s">
        <v>2417</v>
      </c>
      <c r="Y73" s="133" t="s">
        <v>2417</v>
      </c>
      <c r="Z73" s="133" t="s">
        <v>2417</v>
      </c>
      <c r="AA73" s="133" t="s">
        <v>2417</v>
      </c>
      <c r="AB73" s="133" t="s">
        <v>2417</v>
      </c>
      <c r="AC73" s="133" t="s">
        <v>2417</v>
      </c>
      <c r="AD73" s="133" t="s">
        <v>2417</v>
      </c>
      <c r="AE73" s="133"/>
    </row>
    <row r="74" spans="1:31" ht="21" outlineLevel="2">
      <c r="A74" s="68" t="s">
        <v>658</v>
      </c>
      <c r="B74" s="64" t="s">
        <v>659</v>
      </c>
      <c r="C74" s="389" t="s">
        <v>660</v>
      </c>
      <c r="D74" s="351"/>
      <c r="E74" s="133" t="s">
        <v>2417</v>
      </c>
      <c r="F74" s="133" t="s">
        <v>2417</v>
      </c>
      <c r="G74" s="133" t="s">
        <v>2417</v>
      </c>
      <c r="H74" s="133" t="s">
        <v>2417</v>
      </c>
      <c r="I74" s="133" t="s">
        <v>2417</v>
      </c>
      <c r="J74" s="133" t="s">
        <v>2417</v>
      </c>
      <c r="K74" s="133" t="s">
        <v>2417</v>
      </c>
      <c r="L74" s="133" t="s">
        <v>2417</v>
      </c>
      <c r="M74" s="133" t="s">
        <v>2417</v>
      </c>
      <c r="N74" s="133" t="s">
        <v>2417</v>
      </c>
      <c r="O74" s="133" t="s">
        <v>2417</v>
      </c>
      <c r="P74" s="133" t="s">
        <v>2417</v>
      </c>
      <c r="Q74" s="133" t="s">
        <v>2417</v>
      </c>
      <c r="R74" s="133" t="s">
        <v>2417</v>
      </c>
      <c r="S74" s="133" t="s">
        <v>2417</v>
      </c>
      <c r="T74" s="133" t="s">
        <v>2417</v>
      </c>
      <c r="U74" s="133" t="s">
        <v>2417</v>
      </c>
      <c r="V74" s="133" t="s">
        <v>2417</v>
      </c>
      <c r="W74" s="133" t="s">
        <v>2417</v>
      </c>
      <c r="X74" s="133" t="s">
        <v>2417</v>
      </c>
      <c r="Y74" s="133" t="s">
        <v>2417</v>
      </c>
      <c r="Z74" s="133" t="s">
        <v>2417</v>
      </c>
      <c r="AA74" s="133" t="s">
        <v>2417</v>
      </c>
      <c r="AB74" s="133" t="s">
        <v>2417</v>
      </c>
      <c r="AC74" s="133" t="s">
        <v>2417</v>
      </c>
      <c r="AD74" s="133" t="s">
        <v>2417</v>
      </c>
      <c r="AE74" s="133"/>
    </row>
    <row r="75" spans="1:31" ht="21" outlineLevel="2">
      <c r="A75" s="68" t="s">
        <v>661</v>
      </c>
      <c r="B75" s="64" t="s">
        <v>662</v>
      </c>
      <c r="C75" s="389" t="s">
        <v>663</v>
      </c>
      <c r="D75" s="351"/>
      <c r="E75" s="133" t="s">
        <v>2417</v>
      </c>
      <c r="F75" s="133" t="s">
        <v>2417</v>
      </c>
      <c r="G75" s="133" t="s">
        <v>2417</v>
      </c>
      <c r="H75" s="133" t="s">
        <v>2417</v>
      </c>
      <c r="I75" s="133" t="s">
        <v>2417</v>
      </c>
      <c r="J75" s="133" t="s">
        <v>2417</v>
      </c>
      <c r="K75" s="133" t="s">
        <v>2417</v>
      </c>
      <c r="L75" s="133" t="s">
        <v>2417</v>
      </c>
      <c r="M75" s="133" t="s">
        <v>2417</v>
      </c>
      <c r="N75" s="133" t="s">
        <v>2417</v>
      </c>
      <c r="O75" s="133" t="s">
        <v>2417</v>
      </c>
      <c r="P75" s="133" t="s">
        <v>2417</v>
      </c>
      <c r="Q75" s="133" t="s">
        <v>2417</v>
      </c>
      <c r="R75" s="133" t="s">
        <v>2417</v>
      </c>
      <c r="S75" s="133" t="s">
        <v>2417</v>
      </c>
      <c r="T75" s="133" t="s">
        <v>2417</v>
      </c>
      <c r="U75" s="133" t="s">
        <v>2417</v>
      </c>
      <c r="V75" s="133" t="s">
        <v>2417</v>
      </c>
      <c r="W75" s="133" t="s">
        <v>2417</v>
      </c>
      <c r="X75" s="133" t="s">
        <v>2417</v>
      </c>
      <c r="Y75" s="133" t="s">
        <v>2417</v>
      </c>
      <c r="Z75" s="133" t="s">
        <v>2417</v>
      </c>
      <c r="AA75" s="133" t="s">
        <v>2417</v>
      </c>
      <c r="AB75" s="133" t="s">
        <v>2417</v>
      </c>
      <c r="AC75" s="133" t="s">
        <v>2417</v>
      </c>
      <c r="AD75" s="133" t="s">
        <v>2417</v>
      </c>
      <c r="AE75" s="133"/>
    </row>
    <row r="76" spans="1:31" ht="21" outlineLevel="2">
      <c r="A76" s="68" t="s">
        <v>664</v>
      </c>
      <c r="B76" s="64" t="s">
        <v>665</v>
      </c>
      <c r="C76" s="389" t="s">
        <v>666</v>
      </c>
      <c r="D76" s="351"/>
      <c r="E76" s="133" t="s">
        <v>2417</v>
      </c>
      <c r="F76" s="133" t="s">
        <v>2417</v>
      </c>
      <c r="G76" s="133" t="s">
        <v>2417</v>
      </c>
      <c r="H76" s="133" t="s">
        <v>2417</v>
      </c>
      <c r="I76" s="133" t="s">
        <v>2417</v>
      </c>
      <c r="J76" s="133" t="s">
        <v>2417</v>
      </c>
      <c r="K76" s="133" t="s">
        <v>2417</v>
      </c>
      <c r="L76" s="133" t="s">
        <v>2417</v>
      </c>
      <c r="M76" s="133" t="s">
        <v>2417</v>
      </c>
      <c r="N76" s="133" t="s">
        <v>2417</v>
      </c>
      <c r="O76" s="133" t="s">
        <v>2417</v>
      </c>
      <c r="P76" s="133" t="s">
        <v>2417</v>
      </c>
      <c r="Q76" s="133" t="s">
        <v>2417</v>
      </c>
      <c r="R76" s="133" t="s">
        <v>2417</v>
      </c>
      <c r="S76" s="133" t="s">
        <v>2417</v>
      </c>
      <c r="T76" s="133" t="s">
        <v>2417</v>
      </c>
      <c r="U76" s="133" t="s">
        <v>2417</v>
      </c>
      <c r="V76" s="133" t="s">
        <v>2417</v>
      </c>
      <c r="W76" s="133" t="s">
        <v>2417</v>
      </c>
      <c r="X76" s="133" t="s">
        <v>2417</v>
      </c>
      <c r="Y76" s="133" t="s">
        <v>2417</v>
      </c>
      <c r="Z76" s="133" t="s">
        <v>2417</v>
      </c>
      <c r="AA76" s="133" t="s">
        <v>2417</v>
      </c>
      <c r="AB76" s="133" t="s">
        <v>2417</v>
      </c>
      <c r="AC76" s="133" t="s">
        <v>2417</v>
      </c>
      <c r="AD76" s="133" t="s">
        <v>2417</v>
      </c>
      <c r="AE76" s="133"/>
    </row>
    <row r="77" spans="1:31" ht="21" outlineLevel="2">
      <c r="A77" s="68" t="s">
        <v>667</v>
      </c>
      <c r="B77" s="64" t="s">
        <v>668</v>
      </c>
      <c r="C77" s="389" t="s">
        <v>2447</v>
      </c>
      <c r="D77" s="351"/>
      <c r="E77" s="133" t="s">
        <v>2417</v>
      </c>
      <c r="F77" s="133" t="s">
        <v>2417</v>
      </c>
      <c r="G77" s="133" t="s">
        <v>2417</v>
      </c>
      <c r="H77" s="133" t="s">
        <v>2417</v>
      </c>
      <c r="I77" s="133" t="s">
        <v>2417</v>
      </c>
      <c r="J77" s="133" t="s">
        <v>2417</v>
      </c>
      <c r="K77" s="133" t="s">
        <v>2417</v>
      </c>
      <c r="L77" s="133" t="s">
        <v>2397</v>
      </c>
      <c r="M77" s="133" t="s">
        <v>2417</v>
      </c>
      <c r="N77" s="133" t="s">
        <v>2417</v>
      </c>
      <c r="O77" s="133" t="s">
        <v>2417</v>
      </c>
      <c r="P77" s="133" t="s">
        <v>2417</v>
      </c>
      <c r="Q77" s="133" t="s">
        <v>2417</v>
      </c>
      <c r="R77" s="133" t="s">
        <v>2417</v>
      </c>
      <c r="S77" s="133" t="s">
        <v>2417</v>
      </c>
      <c r="T77" s="133" t="s">
        <v>2417</v>
      </c>
      <c r="U77" s="133" t="s">
        <v>2417</v>
      </c>
      <c r="V77" s="133" t="s">
        <v>2417</v>
      </c>
      <c r="W77" s="133" t="s">
        <v>2417</v>
      </c>
      <c r="X77" s="133" t="s">
        <v>2417</v>
      </c>
      <c r="Y77" s="133" t="s">
        <v>2417</v>
      </c>
      <c r="Z77" s="133" t="s">
        <v>2417</v>
      </c>
      <c r="AA77" s="133" t="s">
        <v>2417</v>
      </c>
      <c r="AB77" s="133" t="s">
        <v>2417</v>
      </c>
      <c r="AC77" s="133" t="s">
        <v>2417</v>
      </c>
      <c r="AD77" s="133" t="s">
        <v>2417</v>
      </c>
      <c r="AE77" s="133"/>
    </row>
    <row r="78" spans="1:31" ht="21" outlineLevel="2">
      <c r="A78" s="68" t="s">
        <v>670</v>
      </c>
      <c r="B78" s="64" t="s">
        <v>671</v>
      </c>
      <c r="C78" s="389" t="s">
        <v>2448</v>
      </c>
      <c r="D78" s="351"/>
      <c r="E78" s="133" t="s">
        <v>2417</v>
      </c>
      <c r="F78" s="133" t="s">
        <v>2417</v>
      </c>
      <c r="G78" s="133" t="s">
        <v>2417</v>
      </c>
      <c r="H78" s="133" t="s">
        <v>2417</v>
      </c>
      <c r="I78" s="133" t="s">
        <v>2417</v>
      </c>
      <c r="J78" s="133" t="s">
        <v>2417</v>
      </c>
      <c r="K78" s="133" t="s">
        <v>2417</v>
      </c>
      <c r="L78" s="133" t="s">
        <v>2397</v>
      </c>
      <c r="M78" s="133" t="s">
        <v>2417</v>
      </c>
      <c r="N78" s="133" t="s">
        <v>2417</v>
      </c>
      <c r="O78" s="133" t="s">
        <v>2417</v>
      </c>
      <c r="P78" s="133" t="s">
        <v>2417</v>
      </c>
      <c r="Q78" s="133" t="s">
        <v>2417</v>
      </c>
      <c r="R78" s="133" t="s">
        <v>2417</v>
      </c>
      <c r="S78" s="133" t="s">
        <v>2417</v>
      </c>
      <c r="T78" s="133" t="s">
        <v>2417</v>
      </c>
      <c r="U78" s="133" t="s">
        <v>2417</v>
      </c>
      <c r="V78" s="133" t="s">
        <v>2417</v>
      </c>
      <c r="W78" s="133" t="s">
        <v>2417</v>
      </c>
      <c r="X78" s="133" t="s">
        <v>2417</v>
      </c>
      <c r="Y78" s="133" t="s">
        <v>2417</v>
      </c>
      <c r="Z78" s="133" t="s">
        <v>2417</v>
      </c>
      <c r="AA78" s="133" t="s">
        <v>2417</v>
      </c>
      <c r="AB78" s="133" t="s">
        <v>2417</v>
      </c>
      <c r="AC78" s="133" t="s">
        <v>2417</v>
      </c>
      <c r="AD78" s="133" t="s">
        <v>2417</v>
      </c>
      <c r="AE78" s="133"/>
    </row>
    <row r="79" spans="1:31" ht="13.2" outlineLevel="2">
      <c r="A79" s="68" t="s">
        <v>673</v>
      </c>
      <c r="B79" s="64" t="s">
        <v>674</v>
      </c>
      <c r="C79" s="389" t="s">
        <v>675</v>
      </c>
      <c r="D79" s="351"/>
      <c r="E79" s="133" t="s">
        <v>2417</v>
      </c>
      <c r="F79" s="133" t="s">
        <v>2417</v>
      </c>
      <c r="G79" s="133" t="s">
        <v>2417</v>
      </c>
      <c r="H79" s="133" t="s">
        <v>2417</v>
      </c>
      <c r="I79" s="133" t="s">
        <v>2417</v>
      </c>
      <c r="J79" s="133" t="s">
        <v>2417</v>
      </c>
      <c r="K79" s="133" t="s">
        <v>2417</v>
      </c>
      <c r="L79" s="133" t="s">
        <v>2417</v>
      </c>
      <c r="M79" s="133" t="s">
        <v>2417</v>
      </c>
      <c r="N79" s="133" t="s">
        <v>2417</v>
      </c>
      <c r="O79" s="133" t="s">
        <v>2417</v>
      </c>
      <c r="P79" s="133" t="s">
        <v>2417</v>
      </c>
      <c r="Q79" s="133" t="s">
        <v>2417</v>
      </c>
      <c r="R79" s="133" t="s">
        <v>2417</v>
      </c>
      <c r="S79" s="133" t="s">
        <v>2417</v>
      </c>
      <c r="T79" s="133" t="s">
        <v>2417</v>
      </c>
      <c r="U79" s="133" t="s">
        <v>2417</v>
      </c>
      <c r="V79" s="133" t="s">
        <v>2417</v>
      </c>
      <c r="W79" s="133" t="s">
        <v>2417</v>
      </c>
      <c r="X79" s="133" t="s">
        <v>2417</v>
      </c>
      <c r="Y79" s="133" t="s">
        <v>2417</v>
      </c>
      <c r="Z79" s="133" t="s">
        <v>2417</v>
      </c>
      <c r="AA79" s="133" t="s">
        <v>2417</v>
      </c>
      <c r="AB79" s="133" t="s">
        <v>2417</v>
      </c>
      <c r="AC79" s="133" t="s">
        <v>2417</v>
      </c>
      <c r="AD79" s="133" t="s">
        <v>2417</v>
      </c>
      <c r="AE79" s="133"/>
    </row>
    <row r="80" spans="1:31" ht="13.2" outlineLevel="2">
      <c r="A80" s="68" t="s">
        <v>676</v>
      </c>
      <c r="B80" s="64" t="s">
        <v>677</v>
      </c>
      <c r="C80" s="389" t="s">
        <v>678</v>
      </c>
      <c r="D80" s="351"/>
      <c r="E80" s="133" t="s">
        <v>2417</v>
      </c>
      <c r="F80" s="133" t="s">
        <v>2417</v>
      </c>
      <c r="G80" s="133" t="s">
        <v>2417</v>
      </c>
      <c r="H80" s="133" t="s">
        <v>2417</v>
      </c>
      <c r="I80" s="133" t="s">
        <v>2417</v>
      </c>
      <c r="J80" s="133" t="s">
        <v>2417</v>
      </c>
      <c r="K80" s="133" t="s">
        <v>2417</v>
      </c>
      <c r="L80" s="133" t="s">
        <v>2417</v>
      </c>
      <c r="M80" s="133" t="s">
        <v>2417</v>
      </c>
      <c r="N80" s="133" t="s">
        <v>2417</v>
      </c>
      <c r="O80" s="133" t="s">
        <v>2417</v>
      </c>
      <c r="P80" s="133" t="s">
        <v>2417</v>
      </c>
      <c r="Q80" s="133" t="s">
        <v>2417</v>
      </c>
      <c r="R80" s="133" t="s">
        <v>2417</v>
      </c>
      <c r="S80" s="133" t="s">
        <v>2417</v>
      </c>
      <c r="T80" s="133" t="s">
        <v>2417</v>
      </c>
      <c r="U80" s="133" t="s">
        <v>2417</v>
      </c>
      <c r="V80" s="133" t="s">
        <v>2417</v>
      </c>
      <c r="W80" s="133" t="s">
        <v>2417</v>
      </c>
      <c r="X80" s="133" t="s">
        <v>2417</v>
      </c>
      <c r="Y80" s="133" t="s">
        <v>2417</v>
      </c>
      <c r="Z80" s="133" t="s">
        <v>2417</v>
      </c>
      <c r="AA80" s="133" t="s">
        <v>2417</v>
      </c>
      <c r="AB80" s="133" t="s">
        <v>2417</v>
      </c>
      <c r="AC80" s="133" t="s">
        <v>2417</v>
      </c>
      <c r="AD80" s="133" t="s">
        <v>2417</v>
      </c>
      <c r="AE80" s="133"/>
    </row>
    <row r="81" spans="1:31" ht="20.399999999999999" outlineLevel="2">
      <c r="A81" s="68" t="s">
        <v>679</v>
      </c>
      <c r="B81" s="69" t="s">
        <v>680</v>
      </c>
      <c r="C81" s="360" t="s">
        <v>681</v>
      </c>
      <c r="D81" s="351"/>
      <c r="E81" s="133" t="s">
        <v>2417</v>
      </c>
      <c r="F81" s="133" t="s">
        <v>2417</v>
      </c>
      <c r="G81" s="133" t="s">
        <v>2417</v>
      </c>
      <c r="H81" s="133" t="s">
        <v>2417</v>
      </c>
      <c r="I81" s="133" t="s">
        <v>2417</v>
      </c>
      <c r="J81" s="133" t="s">
        <v>2417</v>
      </c>
      <c r="K81" s="133" t="s">
        <v>2417</v>
      </c>
      <c r="L81" s="133" t="s">
        <v>2417</v>
      </c>
      <c r="M81" s="133" t="s">
        <v>2417</v>
      </c>
      <c r="N81" s="133" t="s">
        <v>2417</v>
      </c>
      <c r="O81" s="133" t="s">
        <v>2417</v>
      </c>
      <c r="P81" s="133" t="s">
        <v>2417</v>
      </c>
      <c r="Q81" s="133" t="s">
        <v>2417</v>
      </c>
      <c r="R81" s="133" t="s">
        <v>2417</v>
      </c>
      <c r="S81" s="133" t="s">
        <v>2417</v>
      </c>
      <c r="T81" s="133" t="s">
        <v>2417</v>
      </c>
      <c r="U81" s="133" t="s">
        <v>2417</v>
      </c>
      <c r="V81" s="133" t="s">
        <v>2417</v>
      </c>
      <c r="W81" s="133" t="s">
        <v>2417</v>
      </c>
      <c r="X81" s="133" t="s">
        <v>2417</v>
      </c>
      <c r="Y81" s="133" t="s">
        <v>2417</v>
      </c>
      <c r="Z81" s="133" t="s">
        <v>2417</v>
      </c>
      <c r="AA81" s="133" t="s">
        <v>2417</v>
      </c>
      <c r="AB81" s="133" t="s">
        <v>2417</v>
      </c>
      <c r="AC81" s="133" t="s">
        <v>2417</v>
      </c>
      <c r="AD81" s="133" t="s">
        <v>2417</v>
      </c>
      <c r="AE81" s="133"/>
    </row>
    <row r="82" spans="1:31" ht="13.2" outlineLevel="2">
      <c r="A82" s="68" t="s">
        <v>682</v>
      </c>
      <c r="B82" s="69" t="s">
        <v>683</v>
      </c>
      <c r="C82" s="360" t="s">
        <v>684</v>
      </c>
      <c r="D82" s="351"/>
      <c r="E82" s="133" t="s">
        <v>2417</v>
      </c>
      <c r="F82" s="133" t="s">
        <v>2417</v>
      </c>
      <c r="G82" s="133" t="s">
        <v>2417</v>
      </c>
      <c r="H82" s="133" t="s">
        <v>2417</v>
      </c>
      <c r="I82" s="133" t="s">
        <v>2417</v>
      </c>
      <c r="J82" s="133" t="s">
        <v>2417</v>
      </c>
      <c r="K82" s="133" t="s">
        <v>2417</v>
      </c>
      <c r="L82" s="133" t="s">
        <v>2417</v>
      </c>
      <c r="M82" s="133" t="s">
        <v>2417</v>
      </c>
      <c r="N82" s="133" t="s">
        <v>2417</v>
      </c>
      <c r="O82" s="133" t="s">
        <v>2417</v>
      </c>
      <c r="P82" s="133" t="s">
        <v>2417</v>
      </c>
      <c r="Q82" s="133" t="s">
        <v>2417</v>
      </c>
      <c r="R82" s="133" t="s">
        <v>2417</v>
      </c>
      <c r="S82" s="133" t="s">
        <v>2417</v>
      </c>
      <c r="T82" s="133" t="s">
        <v>2417</v>
      </c>
      <c r="U82" s="133" t="s">
        <v>2417</v>
      </c>
      <c r="V82" s="133" t="s">
        <v>2417</v>
      </c>
      <c r="W82" s="133" t="s">
        <v>2417</v>
      </c>
      <c r="X82" s="133" t="s">
        <v>2417</v>
      </c>
      <c r="Y82" s="133" t="s">
        <v>2417</v>
      </c>
      <c r="Z82" s="133" t="s">
        <v>2417</v>
      </c>
      <c r="AA82" s="133" t="s">
        <v>2417</v>
      </c>
      <c r="AB82" s="133" t="s">
        <v>2417</v>
      </c>
      <c r="AC82" s="133" t="s">
        <v>2417</v>
      </c>
      <c r="AD82" s="133" t="s">
        <v>2417</v>
      </c>
      <c r="AE82" s="133"/>
    </row>
    <row r="83" spans="1:31" ht="13.2" outlineLevel="2">
      <c r="A83" s="68" t="s">
        <v>685</v>
      </c>
      <c r="B83" s="62" t="s">
        <v>686</v>
      </c>
      <c r="C83" s="389" t="s">
        <v>687</v>
      </c>
      <c r="D83" s="351"/>
      <c r="E83" s="133" t="s">
        <v>2417</v>
      </c>
      <c r="F83" s="133" t="s">
        <v>2417</v>
      </c>
      <c r="G83" s="133" t="s">
        <v>2417</v>
      </c>
      <c r="H83" s="133" t="s">
        <v>2417</v>
      </c>
      <c r="I83" s="133" t="s">
        <v>2417</v>
      </c>
      <c r="J83" s="133" t="s">
        <v>2417</v>
      </c>
      <c r="K83" s="133" t="s">
        <v>2417</v>
      </c>
      <c r="L83" s="133" t="s">
        <v>2417</v>
      </c>
      <c r="M83" s="133" t="s">
        <v>2417</v>
      </c>
      <c r="N83" s="133" t="s">
        <v>2417</v>
      </c>
      <c r="O83" s="133" t="s">
        <v>2417</v>
      </c>
      <c r="P83" s="133" t="s">
        <v>2417</v>
      </c>
      <c r="Q83" s="133" t="s">
        <v>2417</v>
      </c>
      <c r="R83" s="133" t="s">
        <v>2417</v>
      </c>
      <c r="S83" s="133" t="s">
        <v>2417</v>
      </c>
      <c r="T83" s="133" t="s">
        <v>2417</v>
      </c>
      <c r="U83" s="133" t="s">
        <v>2417</v>
      </c>
      <c r="V83" s="133" t="s">
        <v>2417</v>
      </c>
      <c r="W83" s="133" t="s">
        <v>2417</v>
      </c>
      <c r="X83" s="133" t="s">
        <v>2417</v>
      </c>
      <c r="Y83" s="133" t="s">
        <v>2417</v>
      </c>
      <c r="Z83" s="133" t="s">
        <v>2417</v>
      </c>
      <c r="AA83" s="133" t="s">
        <v>2417</v>
      </c>
      <c r="AB83" s="133" t="s">
        <v>2417</v>
      </c>
      <c r="AC83" s="133" t="s">
        <v>2417</v>
      </c>
      <c r="AD83" s="133" t="s">
        <v>2417</v>
      </c>
      <c r="AE83" s="133"/>
    </row>
    <row r="84" spans="1:31" ht="21" outlineLevel="2">
      <c r="A84" s="68" t="s">
        <v>688</v>
      </c>
      <c r="B84" s="64" t="s">
        <v>689</v>
      </c>
      <c r="C84" s="389" t="s">
        <v>2449</v>
      </c>
      <c r="D84" s="351"/>
      <c r="E84" s="133" t="s">
        <v>2417</v>
      </c>
      <c r="F84" s="133" t="s">
        <v>2417</v>
      </c>
      <c r="G84" s="133" t="s">
        <v>2417</v>
      </c>
      <c r="H84" s="133" t="s">
        <v>2417</v>
      </c>
      <c r="I84" s="133" t="s">
        <v>2417</v>
      </c>
      <c r="J84" s="133" t="s">
        <v>2417</v>
      </c>
      <c r="K84" s="133" t="s">
        <v>2417</v>
      </c>
      <c r="L84" s="133" t="s">
        <v>2397</v>
      </c>
      <c r="M84" s="133" t="s">
        <v>2417</v>
      </c>
      <c r="N84" s="133" t="s">
        <v>2417</v>
      </c>
      <c r="O84" s="133" t="s">
        <v>2417</v>
      </c>
      <c r="P84" s="133" t="s">
        <v>2417</v>
      </c>
      <c r="Q84" s="133" t="s">
        <v>2417</v>
      </c>
      <c r="R84" s="133" t="s">
        <v>2417</v>
      </c>
      <c r="S84" s="133" t="s">
        <v>2417</v>
      </c>
      <c r="T84" s="133" t="s">
        <v>2417</v>
      </c>
      <c r="U84" s="133" t="s">
        <v>2417</v>
      </c>
      <c r="V84" s="133" t="s">
        <v>2417</v>
      </c>
      <c r="W84" s="133" t="s">
        <v>2417</v>
      </c>
      <c r="X84" s="133" t="s">
        <v>2417</v>
      </c>
      <c r="Y84" s="133" t="s">
        <v>2417</v>
      </c>
      <c r="Z84" s="133" t="s">
        <v>2417</v>
      </c>
      <c r="AA84" s="133" t="s">
        <v>2417</v>
      </c>
      <c r="AB84" s="133" t="s">
        <v>2417</v>
      </c>
      <c r="AC84" s="133" t="s">
        <v>2417</v>
      </c>
      <c r="AD84" s="133" t="s">
        <v>2417</v>
      </c>
      <c r="AE84" s="133"/>
    </row>
    <row r="85" spans="1:31" ht="20.399999999999999" outlineLevel="2">
      <c r="A85" s="68" t="s">
        <v>691</v>
      </c>
      <c r="B85" s="64" t="s">
        <v>692</v>
      </c>
      <c r="C85" s="360" t="s">
        <v>693</v>
      </c>
      <c r="D85" s="351"/>
      <c r="E85" s="133" t="s">
        <v>2417</v>
      </c>
      <c r="F85" s="133" t="s">
        <v>2417</v>
      </c>
      <c r="G85" s="133" t="s">
        <v>2417</v>
      </c>
      <c r="H85" s="133" t="s">
        <v>2417</v>
      </c>
      <c r="I85" s="133" t="s">
        <v>2417</v>
      </c>
      <c r="J85" s="133" t="s">
        <v>2417</v>
      </c>
      <c r="K85" s="133" t="s">
        <v>2417</v>
      </c>
      <c r="L85" s="133" t="s">
        <v>2417</v>
      </c>
      <c r="M85" s="133" t="s">
        <v>2417</v>
      </c>
      <c r="N85" s="133" t="s">
        <v>2417</v>
      </c>
      <c r="O85" s="133" t="s">
        <v>2417</v>
      </c>
      <c r="P85" s="133" t="s">
        <v>2417</v>
      </c>
      <c r="Q85" s="133" t="s">
        <v>2417</v>
      </c>
      <c r="R85" s="133" t="s">
        <v>2417</v>
      </c>
      <c r="S85" s="133" t="s">
        <v>2417</v>
      </c>
      <c r="T85" s="133" t="s">
        <v>2417</v>
      </c>
      <c r="U85" s="133" t="s">
        <v>2417</v>
      </c>
      <c r="V85" s="133" t="s">
        <v>2417</v>
      </c>
      <c r="W85" s="133" t="s">
        <v>2417</v>
      </c>
      <c r="X85" s="133" t="s">
        <v>2417</v>
      </c>
      <c r="Y85" s="133" t="s">
        <v>2417</v>
      </c>
      <c r="Z85" s="133" t="s">
        <v>2417</v>
      </c>
      <c r="AA85" s="133" t="s">
        <v>2417</v>
      </c>
      <c r="AB85" s="133" t="s">
        <v>2417</v>
      </c>
      <c r="AC85" s="133" t="s">
        <v>2417</v>
      </c>
      <c r="AD85" s="133" t="s">
        <v>2417</v>
      </c>
      <c r="AE85" s="133"/>
    </row>
    <row r="86" spans="1:31" ht="21" outlineLevel="2">
      <c r="A86" s="68" t="s">
        <v>694</v>
      </c>
      <c r="B86" s="64" t="s">
        <v>695</v>
      </c>
      <c r="C86" s="389" t="s">
        <v>696</v>
      </c>
      <c r="D86" s="351"/>
      <c r="E86" s="133" t="s">
        <v>2417</v>
      </c>
      <c r="F86" s="133" t="s">
        <v>2417</v>
      </c>
      <c r="G86" s="133" t="s">
        <v>2417</v>
      </c>
      <c r="H86" s="133" t="s">
        <v>2417</v>
      </c>
      <c r="I86" s="133" t="s">
        <v>2417</v>
      </c>
      <c r="J86" s="133" t="s">
        <v>2417</v>
      </c>
      <c r="K86" s="133" t="s">
        <v>2417</v>
      </c>
      <c r="L86" s="133" t="s">
        <v>2417</v>
      </c>
      <c r="M86" s="133" t="s">
        <v>2417</v>
      </c>
      <c r="N86" s="133" t="s">
        <v>2417</v>
      </c>
      <c r="O86" s="133" t="s">
        <v>2417</v>
      </c>
      <c r="P86" s="133" t="s">
        <v>2417</v>
      </c>
      <c r="Q86" s="133" t="s">
        <v>2417</v>
      </c>
      <c r="R86" s="133" t="s">
        <v>2417</v>
      </c>
      <c r="S86" s="133" t="s">
        <v>2417</v>
      </c>
      <c r="T86" s="133" t="s">
        <v>2417</v>
      </c>
      <c r="U86" s="133" t="s">
        <v>2417</v>
      </c>
      <c r="V86" s="133" t="s">
        <v>2417</v>
      </c>
      <c r="W86" s="133" t="s">
        <v>2417</v>
      </c>
      <c r="X86" s="133" t="s">
        <v>2417</v>
      </c>
      <c r="Y86" s="133" t="s">
        <v>2417</v>
      </c>
      <c r="Z86" s="133" t="s">
        <v>2417</v>
      </c>
      <c r="AA86" s="133" t="s">
        <v>2417</v>
      </c>
      <c r="AB86" s="133" t="s">
        <v>2417</v>
      </c>
      <c r="AC86" s="133" t="s">
        <v>2417</v>
      </c>
      <c r="AD86" s="133" t="s">
        <v>2417</v>
      </c>
      <c r="AE86" s="133"/>
    </row>
    <row r="87" spans="1:31" ht="21" outlineLevel="2">
      <c r="A87" s="68" t="s">
        <v>697</v>
      </c>
      <c r="B87" s="64" t="s">
        <v>698</v>
      </c>
      <c r="C87" s="389" t="s">
        <v>699</v>
      </c>
      <c r="D87" s="351"/>
      <c r="E87" s="133" t="s">
        <v>2417</v>
      </c>
      <c r="F87" s="133" t="s">
        <v>2417</v>
      </c>
      <c r="G87" s="133" t="s">
        <v>2417</v>
      </c>
      <c r="H87" s="133" t="s">
        <v>2417</v>
      </c>
      <c r="I87" s="133" t="s">
        <v>2417</v>
      </c>
      <c r="J87" s="133" t="s">
        <v>2417</v>
      </c>
      <c r="K87" s="133" t="s">
        <v>2417</v>
      </c>
      <c r="L87" s="133" t="s">
        <v>2417</v>
      </c>
      <c r="M87" s="133" t="s">
        <v>2417</v>
      </c>
      <c r="N87" s="133" t="s">
        <v>2417</v>
      </c>
      <c r="O87" s="133" t="s">
        <v>2417</v>
      </c>
      <c r="P87" s="133" t="s">
        <v>2417</v>
      </c>
      <c r="Q87" s="133" t="s">
        <v>2417</v>
      </c>
      <c r="R87" s="133" t="s">
        <v>2417</v>
      </c>
      <c r="S87" s="133" t="s">
        <v>2417</v>
      </c>
      <c r="T87" s="133" t="s">
        <v>2417</v>
      </c>
      <c r="U87" s="133" t="s">
        <v>2417</v>
      </c>
      <c r="V87" s="133" t="s">
        <v>2417</v>
      </c>
      <c r="W87" s="133" t="s">
        <v>2417</v>
      </c>
      <c r="X87" s="133" t="s">
        <v>2417</v>
      </c>
      <c r="Y87" s="133" t="s">
        <v>2417</v>
      </c>
      <c r="Z87" s="133" t="s">
        <v>2417</v>
      </c>
      <c r="AA87" s="133" t="s">
        <v>2417</v>
      </c>
      <c r="AB87" s="133" t="s">
        <v>2417</v>
      </c>
      <c r="AC87" s="133" t="s">
        <v>2417</v>
      </c>
      <c r="AD87" s="133" t="s">
        <v>2417</v>
      </c>
      <c r="AE87" s="133"/>
    </row>
    <row r="88" spans="1:31" ht="21" outlineLevel="2">
      <c r="A88" s="68" t="s">
        <v>700</v>
      </c>
      <c r="B88" s="64" t="s">
        <v>701</v>
      </c>
      <c r="C88" s="389" t="s">
        <v>702</v>
      </c>
      <c r="D88" s="351"/>
      <c r="E88" s="133" t="s">
        <v>2417</v>
      </c>
      <c r="F88" s="133" t="s">
        <v>2417</v>
      </c>
      <c r="G88" s="133" t="s">
        <v>2417</v>
      </c>
      <c r="H88" s="133" t="s">
        <v>2417</v>
      </c>
      <c r="I88" s="133" t="s">
        <v>2417</v>
      </c>
      <c r="J88" s="133" t="s">
        <v>2417</v>
      </c>
      <c r="K88" s="133" t="s">
        <v>2417</v>
      </c>
      <c r="L88" s="133" t="s">
        <v>2417</v>
      </c>
      <c r="M88" s="133" t="s">
        <v>2417</v>
      </c>
      <c r="N88" s="133" t="s">
        <v>2417</v>
      </c>
      <c r="O88" s="133" t="s">
        <v>2417</v>
      </c>
      <c r="P88" s="133" t="s">
        <v>2417</v>
      </c>
      <c r="Q88" s="133" t="s">
        <v>2417</v>
      </c>
      <c r="R88" s="133" t="s">
        <v>2417</v>
      </c>
      <c r="S88" s="133" t="s">
        <v>2417</v>
      </c>
      <c r="T88" s="133" t="s">
        <v>2417</v>
      </c>
      <c r="U88" s="133" t="s">
        <v>2417</v>
      </c>
      <c r="V88" s="133" t="s">
        <v>2417</v>
      </c>
      <c r="W88" s="133" t="s">
        <v>2417</v>
      </c>
      <c r="X88" s="133" t="s">
        <v>2417</v>
      </c>
      <c r="Y88" s="133" t="s">
        <v>2417</v>
      </c>
      <c r="Z88" s="133" t="s">
        <v>2417</v>
      </c>
      <c r="AA88" s="133" t="s">
        <v>2417</v>
      </c>
      <c r="AB88" s="133" t="s">
        <v>2417</v>
      </c>
      <c r="AC88" s="133" t="s">
        <v>2417</v>
      </c>
      <c r="AD88" s="133" t="s">
        <v>2417</v>
      </c>
      <c r="AE88" s="133"/>
    </row>
    <row r="89" spans="1:31" ht="21" outlineLevel="2">
      <c r="A89" s="68" t="s">
        <v>703</v>
      </c>
      <c r="B89" s="64" t="s">
        <v>704</v>
      </c>
      <c r="C89" s="389" t="s">
        <v>2450</v>
      </c>
      <c r="D89" s="351"/>
      <c r="E89" s="133" t="s">
        <v>2417</v>
      </c>
      <c r="F89" s="133" t="s">
        <v>2417</v>
      </c>
      <c r="G89" s="133" t="s">
        <v>2417</v>
      </c>
      <c r="H89" s="133" t="s">
        <v>2417</v>
      </c>
      <c r="I89" s="133" t="s">
        <v>2417</v>
      </c>
      <c r="J89" s="133" t="s">
        <v>2417</v>
      </c>
      <c r="K89" s="133" t="s">
        <v>2417</v>
      </c>
      <c r="L89" s="133" t="s">
        <v>2397</v>
      </c>
      <c r="M89" s="133" t="s">
        <v>2417</v>
      </c>
      <c r="N89" s="133" t="s">
        <v>2417</v>
      </c>
      <c r="O89" s="133" t="s">
        <v>2417</v>
      </c>
      <c r="P89" s="133" t="s">
        <v>2417</v>
      </c>
      <c r="Q89" s="133" t="s">
        <v>2417</v>
      </c>
      <c r="R89" s="133" t="s">
        <v>2417</v>
      </c>
      <c r="S89" s="133" t="s">
        <v>2417</v>
      </c>
      <c r="T89" s="133" t="s">
        <v>2417</v>
      </c>
      <c r="U89" s="133" t="s">
        <v>2417</v>
      </c>
      <c r="V89" s="133" t="s">
        <v>2417</v>
      </c>
      <c r="W89" s="133" t="s">
        <v>2417</v>
      </c>
      <c r="X89" s="133" t="s">
        <v>2417</v>
      </c>
      <c r="Y89" s="133" t="s">
        <v>2417</v>
      </c>
      <c r="Z89" s="133" t="s">
        <v>2417</v>
      </c>
      <c r="AA89" s="133" t="s">
        <v>2417</v>
      </c>
      <c r="AB89" s="133" t="s">
        <v>2417</v>
      </c>
      <c r="AC89" s="133" t="s">
        <v>2417</v>
      </c>
      <c r="AD89" s="133" t="s">
        <v>2417</v>
      </c>
      <c r="AE89" s="133"/>
    </row>
    <row r="90" spans="1:31" ht="21" outlineLevel="2">
      <c r="A90" s="68" t="s">
        <v>706</v>
      </c>
      <c r="B90" s="64" t="s">
        <v>707</v>
      </c>
      <c r="C90" s="389" t="s">
        <v>2451</v>
      </c>
      <c r="D90" s="351"/>
      <c r="E90" s="133" t="s">
        <v>2417</v>
      </c>
      <c r="F90" s="133" t="s">
        <v>2417</v>
      </c>
      <c r="G90" s="133" t="s">
        <v>2417</v>
      </c>
      <c r="H90" s="133" t="s">
        <v>2417</v>
      </c>
      <c r="I90" s="133" t="s">
        <v>2417</v>
      </c>
      <c r="J90" s="133" t="s">
        <v>2417</v>
      </c>
      <c r="K90" s="133" t="s">
        <v>2417</v>
      </c>
      <c r="L90" s="133" t="s">
        <v>2397</v>
      </c>
      <c r="M90" s="133" t="s">
        <v>2417</v>
      </c>
      <c r="N90" s="133" t="s">
        <v>2417</v>
      </c>
      <c r="O90" s="133" t="s">
        <v>2417</v>
      </c>
      <c r="P90" s="133" t="s">
        <v>2417</v>
      </c>
      <c r="Q90" s="133" t="s">
        <v>2417</v>
      </c>
      <c r="R90" s="133" t="s">
        <v>2417</v>
      </c>
      <c r="S90" s="133" t="s">
        <v>2417</v>
      </c>
      <c r="T90" s="133" t="s">
        <v>2417</v>
      </c>
      <c r="U90" s="133" t="s">
        <v>2417</v>
      </c>
      <c r="V90" s="133" t="s">
        <v>2417</v>
      </c>
      <c r="W90" s="133" t="s">
        <v>2417</v>
      </c>
      <c r="X90" s="133" t="s">
        <v>2417</v>
      </c>
      <c r="Y90" s="133" t="s">
        <v>2417</v>
      </c>
      <c r="Z90" s="133" t="s">
        <v>2417</v>
      </c>
      <c r="AA90" s="133" t="s">
        <v>2417</v>
      </c>
      <c r="AB90" s="133" t="s">
        <v>2417</v>
      </c>
      <c r="AC90" s="133" t="s">
        <v>2417</v>
      </c>
      <c r="AD90" s="133" t="s">
        <v>2417</v>
      </c>
      <c r="AE90" s="133"/>
    </row>
    <row r="91" spans="1:31" ht="21" outlineLevel="2">
      <c r="A91" s="68" t="s">
        <v>709</v>
      </c>
      <c r="B91" s="64" t="s">
        <v>710</v>
      </c>
      <c r="C91" s="389" t="s">
        <v>711</v>
      </c>
      <c r="D91" s="351"/>
      <c r="E91" s="133" t="s">
        <v>2417</v>
      </c>
      <c r="F91" s="133" t="s">
        <v>2417</v>
      </c>
      <c r="G91" s="133" t="s">
        <v>2417</v>
      </c>
      <c r="H91" s="133" t="s">
        <v>2417</v>
      </c>
      <c r="I91" s="133" t="s">
        <v>2417</v>
      </c>
      <c r="J91" s="133" t="s">
        <v>2417</v>
      </c>
      <c r="K91" s="133" t="s">
        <v>2417</v>
      </c>
      <c r="L91" s="133" t="s">
        <v>2417</v>
      </c>
      <c r="M91" s="133" t="s">
        <v>2417</v>
      </c>
      <c r="N91" s="133" t="s">
        <v>2417</v>
      </c>
      <c r="O91" s="133" t="s">
        <v>2417</v>
      </c>
      <c r="P91" s="133" t="s">
        <v>2417</v>
      </c>
      <c r="Q91" s="133" t="s">
        <v>2417</v>
      </c>
      <c r="R91" s="133" t="s">
        <v>2417</v>
      </c>
      <c r="S91" s="133" t="s">
        <v>2417</v>
      </c>
      <c r="T91" s="133" t="s">
        <v>2417</v>
      </c>
      <c r="U91" s="133" t="s">
        <v>2417</v>
      </c>
      <c r="V91" s="133" t="s">
        <v>2417</v>
      </c>
      <c r="W91" s="133" t="s">
        <v>2417</v>
      </c>
      <c r="X91" s="133" t="s">
        <v>2417</v>
      </c>
      <c r="Y91" s="133" t="s">
        <v>2417</v>
      </c>
      <c r="Z91" s="133" t="s">
        <v>2417</v>
      </c>
      <c r="AA91" s="133" t="s">
        <v>2417</v>
      </c>
      <c r="AB91" s="133" t="s">
        <v>2417</v>
      </c>
      <c r="AC91" s="133" t="s">
        <v>2417</v>
      </c>
      <c r="AD91" s="133" t="s">
        <v>2417</v>
      </c>
      <c r="AE91" s="133"/>
    </row>
    <row r="92" spans="1:31" ht="21" outlineLevel="2">
      <c r="A92" s="68" t="s">
        <v>712</v>
      </c>
      <c r="B92" s="64" t="s">
        <v>713</v>
      </c>
      <c r="C92" s="389" t="s">
        <v>714</v>
      </c>
      <c r="D92" s="351"/>
      <c r="E92" s="133" t="s">
        <v>2417</v>
      </c>
      <c r="F92" s="133" t="s">
        <v>2417</v>
      </c>
      <c r="G92" s="133" t="s">
        <v>2417</v>
      </c>
      <c r="H92" s="133" t="s">
        <v>2417</v>
      </c>
      <c r="I92" s="133" t="s">
        <v>2417</v>
      </c>
      <c r="J92" s="133" t="s">
        <v>2417</v>
      </c>
      <c r="K92" s="133" t="s">
        <v>2417</v>
      </c>
      <c r="L92" s="133" t="s">
        <v>2417</v>
      </c>
      <c r="M92" s="133" t="s">
        <v>2417</v>
      </c>
      <c r="N92" s="133" t="s">
        <v>2417</v>
      </c>
      <c r="O92" s="133" t="s">
        <v>2417</v>
      </c>
      <c r="P92" s="133" t="s">
        <v>2417</v>
      </c>
      <c r="Q92" s="133" t="s">
        <v>2417</v>
      </c>
      <c r="R92" s="133" t="s">
        <v>2417</v>
      </c>
      <c r="S92" s="133" t="s">
        <v>2417</v>
      </c>
      <c r="T92" s="133" t="s">
        <v>2417</v>
      </c>
      <c r="U92" s="133" t="s">
        <v>2417</v>
      </c>
      <c r="V92" s="133" t="s">
        <v>2417</v>
      </c>
      <c r="W92" s="133" t="s">
        <v>2417</v>
      </c>
      <c r="X92" s="133" t="s">
        <v>2417</v>
      </c>
      <c r="Y92" s="133" t="s">
        <v>2417</v>
      </c>
      <c r="Z92" s="133" t="s">
        <v>2417</v>
      </c>
      <c r="AA92" s="133" t="s">
        <v>2417</v>
      </c>
      <c r="AB92" s="133" t="s">
        <v>2417</v>
      </c>
      <c r="AC92" s="133" t="s">
        <v>2417</v>
      </c>
      <c r="AD92" s="133" t="s">
        <v>2417</v>
      </c>
      <c r="AE92" s="133"/>
    </row>
    <row r="93" spans="1:31" ht="21" outlineLevel="2">
      <c r="A93" s="68" t="s">
        <v>715</v>
      </c>
      <c r="B93" s="64" t="s">
        <v>716</v>
      </c>
      <c r="C93" s="389" t="s">
        <v>2452</v>
      </c>
      <c r="D93" s="351"/>
      <c r="E93" s="133" t="s">
        <v>2417</v>
      </c>
      <c r="F93" s="133" t="s">
        <v>2417</v>
      </c>
      <c r="G93" s="133" t="s">
        <v>2417</v>
      </c>
      <c r="H93" s="133" t="s">
        <v>2417</v>
      </c>
      <c r="I93" s="133" t="s">
        <v>2417</v>
      </c>
      <c r="J93" s="133" t="s">
        <v>2417</v>
      </c>
      <c r="K93" s="133" t="s">
        <v>2417</v>
      </c>
      <c r="L93" s="133" t="s">
        <v>2397</v>
      </c>
      <c r="M93" s="133" t="s">
        <v>2417</v>
      </c>
      <c r="N93" s="133" t="s">
        <v>2417</v>
      </c>
      <c r="O93" s="133" t="s">
        <v>2417</v>
      </c>
      <c r="P93" s="133" t="s">
        <v>2417</v>
      </c>
      <c r="Q93" s="133" t="s">
        <v>2417</v>
      </c>
      <c r="R93" s="133" t="s">
        <v>2417</v>
      </c>
      <c r="S93" s="133" t="s">
        <v>2417</v>
      </c>
      <c r="T93" s="133" t="s">
        <v>2417</v>
      </c>
      <c r="U93" s="133" t="s">
        <v>2417</v>
      </c>
      <c r="V93" s="133" t="s">
        <v>2417</v>
      </c>
      <c r="W93" s="133" t="s">
        <v>2417</v>
      </c>
      <c r="X93" s="133" t="s">
        <v>2417</v>
      </c>
      <c r="Y93" s="133" t="s">
        <v>2417</v>
      </c>
      <c r="Z93" s="133" t="s">
        <v>2417</v>
      </c>
      <c r="AA93" s="133" t="s">
        <v>2417</v>
      </c>
      <c r="AB93" s="133" t="s">
        <v>2417</v>
      </c>
      <c r="AC93" s="133" t="s">
        <v>2417</v>
      </c>
      <c r="AD93" s="133" t="s">
        <v>2417</v>
      </c>
      <c r="AE93" s="133"/>
    </row>
    <row r="94" spans="1:31" ht="21" outlineLevel="2">
      <c r="A94" s="68" t="s">
        <v>718</v>
      </c>
      <c r="B94" s="64" t="s">
        <v>719</v>
      </c>
      <c r="C94" s="389" t="s">
        <v>720</v>
      </c>
      <c r="D94" s="351"/>
      <c r="E94" s="133" t="s">
        <v>2417</v>
      </c>
      <c r="F94" s="133" t="s">
        <v>2417</v>
      </c>
      <c r="G94" s="133" t="s">
        <v>2417</v>
      </c>
      <c r="H94" s="133" t="s">
        <v>2417</v>
      </c>
      <c r="I94" s="133" t="s">
        <v>2417</v>
      </c>
      <c r="J94" s="133" t="s">
        <v>2417</v>
      </c>
      <c r="K94" s="133" t="s">
        <v>2417</v>
      </c>
      <c r="L94" s="133" t="s">
        <v>2417</v>
      </c>
      <c r="M94" s="133" t="s">
        <v>2417</v>
      </c>
      <c r="N94" s="133" t="s">
        <v>2417</v>
      </c>
      <c r="O94" s="133" t="s">
        <v>2417</v>
      </c>
      <c r="P94" s="133" t="s">
        <v>2417</v>
      </c>
      <c r="Q94" s="133" t="s">
        <v>2417</v>
      </c>
      <c r="R94" s="133" t="s">
        <v>2417</v>
      </c>
      <c r="S94" s="133" t="s">
        <v>2417</v>
      </c>
      <c r="T94" s="133" t="s">
        <v>2417</v>
      </c>
      <c r="U94" s="133" t="s">
        <v>2417</v>
      </c>
      <c r="V94" s="133" t="s">
        <v>2417</v>
      </c>
      <c r="W94" s="133" t="s">
        <v>2417</v>
      </c>
      <c r="X94" s="133" t="s">
        <v>2417</v>
      </c>
      <c r="Y94" s="133" t="s">
        <v>2417</v>
      </c>
      <c r="Z94" s="133" t="s">
        <v>2417</v>
      </c>
      <c r="AA94" s="133" t="s">
        <v>2417</v>
      </c>
      <c r="AB94" s="133" t="s">
        <v>2417</v>
      </c>
      <c r="AC94" s="133" t="s">
        <v>2417</v>
      </c>
      <c r="AD94" s="133" t="s">
        <v>2417</v>
      </c>
      <c r="AE94" s="133"/>
    </row>
    <row r="95" spans="1:31" ht="21" outlineLevel="2">
      <c r="A95" s="68" t="s">
        <v>721</v>
      </c>
      <c r="B95" s="64" t="s">
        <v>722</v>
      </c>
      <c r="C95" s="389" t="s">
        <v>723</v>
      </c>
      <c r="D95" s="351"/>
      <c r="E95" s="133" t="s">
        <v>2417</v>
      </c>
      <c r="F95" s="133" t="s">
        <v>2417</v>
      </c>
      <c r="G95" s="133" t="s">
        <v>2417</v>
      </c>
      <c r="H95" s="133" t="s">
        <v>2417</v>
      </c>
      <c r="I95" s="133" t="s">
        <v>2417</v>
      </c>
      <c r="J95" s="133" t="s">
        <v>2417</v>
      </c>
      <c r="K95" s="133" t="s">
        <v>2417</v>
      </c>
      <c r="L95" s="133" t="s">
        <v>2417</v>
      </c>
      <c r="M95" s="133" t="s">
        <v>2417</v>
      </c>
      <c r="N95" s="133" t="s">
        <v>2417</v>
      </c>
      <c r="O95" s="133" t="s">
        <v>2417</v>
      </c>
      <c r="P95" s="133" t="s">
        <v>2417</v>
      </c>
      <c r="Q95" s="133" t="s">
        <v>2417</v>
      </c>
      <c r="R95" s="133" t="s">
        <v>2417</v>
      </c>
      <c r="S95" s="133" t="s">
        <v>2417</v>
      </c>
      <c r="T95" s="133" t="s">
        <v>2417</v>
      </c>
      <c r="U95" s="133" t="s">
        <v>2417</v>
      </c>
      <c r="V95" s="133" t="s">
        <v>2417</v>
      </c>
      <c r="W95" s="133" t="s">
        <v>2417</v>
      </c>
      <c r="X95" s="133" t="s">
        <v>2417</v>
      </c>
      <c r="Y95" s="133" t="s">
        <v>2417</v>
      </c>
      <c r="Z95" s="133" t="s">
        <v>2417</v>
      </c>
      <c r="AA95" s="133" t="s">
        <v>2417</v>
      </c>
      <c r="AB95" s="133" t="s">
        <v>2417</v>
      </c>
      <c r="AC95" s="133" t="s">
        <v>2417</v>
      </c>
      <c r="AD95" s="133" t="s">
        <v>2417</v>
      </c>
      <c r="AE95" s="133"/>
    </row>
    <row r="96" spans="1:31" ht="21" outlineLevel="2">
      <c r="A96" s="68" t="s">
        <v>724</v>
      </c>
      <c r="B96" s="64" t="s">
        <v>725</v>
      </c>
      <c r="C96" s="389" t="s">
        <v>726</v>
      </c>
      <c r="D96" s="351"/>
      <c r="E96" s="133" t="s">
        <v>2417</v>
      </c>
      <c r="F96" s="133" t="s">
        <v>2417</v>
      </c>
      <c r="G96" s="133" t="s">
        <v>2417</v>
      </c>
      <c r="H96" s="133" t="s">
        <v>2417</v>
      </c>
      <c r="I96" s="133" t="s">
        <v>2417</v>
      </c>
      <c r="J96" s="133" t="s">
        <v>2417</v>
      </c>
      <c r="K96" s="133" t="s">
        <v>2417</v>
      </c>
      <c r="L96" s="133" t="s">
        <v>2417</v>
      </c>
      <c r="M96" s="133" t="s">
        <v>2417</v>
      </c>
      <c r="N96" s="133" t="s">
        <v>2417</v>
      </c>
      <c r="O96" s="133" t="s">
        <v>2417</v>
      </c>
      <c r="P96" s="133" t="s">
        <v>2417</v>
      </c>
      <c r="Q96" s="133" t="s">
        <v>2417</v>
      </c>
      <c r="R96" s="133" t="s">
        <v>2417</v>
      </c>
      <c r="S96" s="133" t="s">
        <v>2417</v>
      </c>
      <c r="T96" s="133" t="s">
        <v>2417</v>
      </c>
      <c r="U96" s="133" t="s">
        <v>2417</v>
      </c>
      <c r="V96" s="133" t="s">
        <v>2417</v>
      </c>
      <c r="W96" s="133" t="s">
        <v>2417</v>
      </c>
      <c r="X96" s="133" t="s">
        <v>2417</v>
      </c>
      <c r="Y96" s="133" t="s">
        <v>2417</v>
      </c>
      <c r="Z96" s="133" t="s">
        <v>2417</v>
      </c>
      <c r="AA96" s="133" t="s">
        <v>2417</v>
      </c>
      <c r="AB96" s="133" t="s">
        <v>2417</v>
      </c>
      <c r="AC96" s="133" t="s">
        <v>2417</v>
      </c>
      <c r="AD96" s="133" t="s">
        <v>2417</v>
      </c>
      <c r="AE96" s="133"/>
    </row>
    <row r="97" spans="1:31" ht="13.2" outlineLevel="2">
      <c r="A97" s="68" t="s">
        <v>727</v>
      </c>
      <c r="B97" s="62" t="s">
        <v>728</v>
      </c>
      <c r="C97" s="389" t="s">
        <v>729</v>
      </c>
      <c r="D97" s="351"/>
      <c r="E97" s="133" t="s">
        <v>2417</v>
      </c>
      <c r="F97" s="133" t="s">
        <v>2417</v>
      </c>
      <c r="G97" s="133" t="s">
        <v>2417</v>
      </c>
      <c r="H97" s="133" t="s">
        <v>2417</v>
      </c>
      <c r="I97" s="133" t="s">
        <v>2417</v>
      </c>
      <c r="J97" s="133" t="s">
        <v>2417</v>
      </c>
      <c r="K97" s="133" t="s">
        <v>2417</v>
      </c>
      <c r="L97" s="133" t="s">
        <v>2417</v>
      </c>
      <c r="M97" s="133" t="s">
        <v>2417</v>
      </c>
      <c r="N97" s="133" t="s">
        <v>2417</v>
      </c>
      <c r="O97" s="133" t="s">
        <v>2417</v>
      </c>
      <c r="P97" s="133" t="s">
        <v>2417</v>
      </c>
      <c r="Q97" s="133" t="s">
        <v>2417</v>
      </c>
      <c r="R97" s="133" t="s">
        <v>2417</v>
      </c>
      <c r="S97" s="133" t="s">
        <v>2417</v>
      </c>
      <c r="T97" s="133" t="s">
        <v>2417</v>
      </c>
      <c r="U97" s="133" t="s">
        <v>2417</v>
      </c>
      <c r="V97" s="133" t="s">
        <v>2417</v>
      </c>
      <c r="W97" s="133" t="s">
        <v>2417</v>
      </c>
      <c r="X97" s="133" t="s">
        <v>2417</v>
      </c>
      <c r="Y97" s="133" t="s">
        <v>2417</v>
      </c>
      <c r="Z97" s="133" t="s">
        <v>2417</v>
      </c>
      <c r="AA97" s="133" t="s">
        <v>2417</v>
      </c>
      <c r="AB97" s="133" t="s">
        <v>2417</v>
      </c>
      <c r="AC97" s="133" t="s">
        <v>2417</v>
      </c>
      <c r="AD97" s="133" t="s">
        <v>2417</v>
      </c>
      <c r="AE97" s="133"/>
    </row>
    <row r="98" spans="1:31" ht="21" outlineLevel="2">
      <c r="A98" s="68" t="s">
        <v>730</v>
      </c>
      <c r="B98" s="62" t="s">
        <v>731</v>
      </c>
      <c r="C98" s="389" t="s">
        <v>732</v>
      </c>
      <c r="D98" s="351"/>
      <c r="E98" s="133" t="s">
        <v>2417</v>
      </c>
      <c r="F98" s="133" t="s">
        <v>2417</v>
      </c>
      <c r="G98" s="133" t="s">
        <v>2417</v>
      </c>
      <c r="H98" s="133" t="s">
        <v>2417</v>
      </c>
      <c r="I98" s="133" t="s">
        <v>2417</v>
      </c>
      <c r="J98" s="133" t="s">
        <v>2417</v>
      </c>
      <c r="K98" s="133" t="s">
        <v>2417</v>
      </c>
      <c r="L98" s="133" t="s">
        <v>2417</v>
      </c>
      <c r="M98" s="133" t="s">
        <v>2417</v>
      </c>
      <c r="N98" s="133" t="s">
        <v>2417</v>
      </c>
      <c r="O98" s="133" t="s">
        <v>2417</v>
      </c>
      <c r="P98" s="133" t="s">
        <v>2417</v>
      </c>
      <c r="Q98" s="133" t="s">
        <v>2417</v>
      </c>
      <c r="R98" s="133" t="s">
        <v>2417</v>
      </c>
      <c r="S98" s="133" t="s">
        <v>2417</v>
      </c>
      <c r="T98" s="133" t="s">
        <v>2417</v>
      </c>
      <c r="U98" s="133" t="s">
        <v>2417</v>
      </c>
      <c r="V98" s="133" t="s">
        <v>2417</v>
      </c>
      <c r="W98" s="133" t="s">
        <v>2417</v>
      </c>
      <c r="X98" s="133" t="s">
        <v>2417</v>
      </c>
      <c r="Y98" s="133" t="s">
        <v>2417</v>
      </c>
      <c r="Z98" s="133" t="s">
        <v>2417</v>
      </c>
      <c r="AA98" s="133" t="s">
        <v>2417</v>
      </c>
      <c r="AB98" s="133" t="s">
        <v>2417</v>
      </c>
      <c r="AC98" s="133" t="s">
        <v>2417</v>
      </c>
      <c r="AD98" s="133" t="s">
        <v>2417</v>
      </c>
      <c r="AE98" s="133"/>
    </row>
    <row r="99" spans="1:31" ht="13.2" outlineLevel="2">
      <c r="A99" s="68" t="s">
        <v>733</v>
      </c>
      <c r="B99" s="62" t="s">
        <v>734</v>
      </c>
      <c r="C99" s="389" t="s">
        <v>735</v>
      </c>
      <c r="D99" s="351"/>
      <c r="E99" s="133" t="s">
        <v>2417</v>
      </c>
      <c r="F99" s="133" t="s">
        <v>2417</v>
      </c>
      <c r="G99" s="133" t="s">
        <v>2417</v>
      </c>
      <c r="H99" s="133" t="s">
        <v>2417</v>
      </c>
      <c r="I99" s="133" t="s">
        <v>2417</v>
      </c>
      <c r="J99" s="133" t="s">
        <v>2417</v>
      </c>
      <c r="K99" s="133" t="s">
        <v>2417</v>
      </c>
      <c r="L99" s="133" t="s">
        <v>2417</v>
      </c>
      <c r="M99" s="133" t="s">
        <v>2417</v>
      </c>
      <c r="N99" s="133" t="s">
        <v>2417</v>
      </c>
      <c r="O99" s="133" t="s">
        <v>2417</v>
      </c>
      <c r="P99" s="133" t="s">
        <v>2417</v>
      </c>
      <c r="Q99" s="133" t="s">
        <v>2417</v>
      </c>
      <c r="R99" s="133" t="s">
        <v>2417</v>
      </c>
      <c r="S99" s="133" t="s">
        <v>2417</v>
      </c>
      <c r="T99" s="133" t="s">
        <v>2417</v>
      </c>
      <c r="U99" s="133" t="s">
        <v>2417</v>
      </c>
      <c r="V99" s="133" t="s">
        <v>2417</v>
      </c>
      <c r="W99" s="133" t="s">
        <v>2417</v>
      </c>
      <c r="X99" s="133" t="s">
        <v>2417</v>
      </c>
      <c r="Y99" s="133" t="s">
        <v>2417</v>
      </c>
      <c r="Z99" s="133" t="s">
        <v>2417</v>
      </c>
      <c r="AA99" s="133" t="s">
        <v>2417</v>
      </c>
      <c r="AB99" s="133" t="s">
        <v>2417</v>
      </c>
      <c r="AC99" s="133" t="s">
        <v>2417</v>
      </c>
      <c r="AD99" s="133" t="s">
        <v>2417</v>
      </c>
      <c r="AE99" s="133"/>
    </row>
    <row r="100" spans="1:31" ht="13.2" outlineLevel="1">
      <c r="A100" s="393" t="s">
        <v>736</v>
      </c>
      <c r="B100" s="350"/>
      <c r="C100" s="350"/>
      <c r="D100" s="351"/>
      <c r="E100" s="133" t="s">
        <v>2417</v>
      </c>
      <c r="F100" s="133" t="s">
        <v>2417</v>
      </c>
      <c r="G100" s="133" t="s">
        <v>2417</v>
      </c>
      <c r="H100" s="133" t="s">
        <v>2417</v>
      </c>
      <c r="I100" s="133" t="s">
        <v>2417</v>
      </c>
      <c r="J100" s="133" t="s">
        <v>2417</v>
      </c>
      <c r="K100" s="133" t="s">
        <v>2417</v>
      </c>
      <c r="L100" s="133" t="s">
        <v>2417</v>
      </c>
      <c r="M100" s="133" t="s">
        <v>2417</v>
      </c>
      <c r="N100" s="133" t="s">
        <v>2417</v>
      </c>
      <c r="O100" s="133" t="s">
        <v>2417</v>
      </c>
      <c r="P100" s="133" t="s">
        <v>2417</v>
      </c>
      <c r="Q100" s="133" t="s">
        <v>2417</v>
      </c>
      <c r="R100" s="133" t="s">
        <v>2417</v>
      </c>
      <c r="S100" s="133" t="s">
        <v>2417</v>
      </c>
      <c r="T100" s="133" t="s">
        <v>2417</v>
      </c>
      <c r="U100" s="133" t="s">
        <v>2417</v>
      </c>
      <c r="V100" s="133" t="s">
        <v>2417</v>
      </c>
      <c r="W100" s="133" t="s">
        <v>2417</v>
      </c>
      <c r="X100" s="133" t="s">
        <v>2417</v>
      </c>
      <c r="Y100" s="133" t="s">
        <v>2417</v>
      </c>
      <c r="Z100" s="133" t="s">
        <v>2417</v>
      </c>
      <c r="AA100" s="133" t="s">
        <v>2417</v>
      </c>
      <c r="AB100" s="133" t="s">
        <v>2417</v>
      </c>
      <c r="AC100" s="133" t="s">
        <v>2417</v>
      </c>
      <c r="AD100" s="133" t="s">
        <v>2417</v>
      </c>
      <c r="AE100" s="133"/>
    </row>
    <row r="101" spans="1:31" ht="13.2" outlineLevel="2">
      <c r="A101" s="68" t="s">
        <v>737</v>
      </c>
      <c r="B101" s="64" t="s">
        <v>738</v>
      </c>
      <c r="C101" s="360" t="s">
        <v>739</v>
      </c>
      <c r="D101" s="351"/>
      <c r="E101" s="133" t="s">
        <v>2417</v>
      </c>
      <c r="F101" s="133" t="s">
        <v>2417</v>
      </c>
      <c r="G101" s="133" t="s">
        <v>2417</v>
      </c>
      <c r="H101" s="133" t="s">
        <v>2417</v>
      </c>
      <c r="I101" s="133" t="s">
        <v>2417</v>
      </c>
      <c r="J101" s="133" t="s">
        <v>2417</v>
      </c>
      <c r="K101" s="133" t="s">
        <v>2417</v>
      </c>
      <c r="L101" s="133" t="s">
        <v>2417</v>
      </c>
      <c r="M101" s="133" t="s">
        <v>2417</v>
      </c>
      <c r="N101" s="133" t="s">
        <v>2417</v>
      </c>
      <c r="O101" s="133" t="s">
        <v>2417</v>
      </c>
      <c r="P101" s="133" t="s">
        <v>2417</v>
      </c>
      <c r="Q101" s="133" t="s">
        <v>2417</v>
      </c>
      <c r="R101" s="133" t="s">
        <v>2417</v>
      </c>
      <c r="S101" s="133" t="s">
        <v>2417</v>
      </c>
      <c r="T101" s="133" t="s">
        <v>2417</v>
      </c>
      <c r="U101" s="133" t="s">
        <v>2417</v>
      </c>
      <c r="V101" s="133" t="s">
        <v>2417</v>
      </c>
      <c r="W101" s="133" t="s">
        <v>2417</v>
      </c>
      <c r="X101" s="133" t="s">
        <v>2417</v>
      </c>
      <c r="Y101" s="133" t="s">
        <v>2417</v>
      </c>
      <c r="Z101" s="133" t="s">
        <v>2417</v>
      </c>
      <c r="AA101" s="133" t="s">
        <v>2417</v>
      </c>
      <c r="AB101" s="133" t="s">
        <v>2417</v>
      </c>
      <c r="AC101" s="133" t="s">
        <v>2417</v>
      </c>
      <c r="AD101" s="133" t="s">
        <v>2417</v>
      </c>
      <c r="AE101" s="133"/>
    </row>
    <row r="102" spans="1:31" ht="13.2" outlineLevel="2">
      <c r="A102" s="68" t="s">
        <v>740</v>
      </c>
      <c r="B102" s="64" t="s">
        <v>741</v>
      </c>
      <c r="C102" s="387" t="s">
        <v>742</v>
      </c>
      <c r="D102" s="351"/>
      <c r="E102" s="133" t="s">
        <v>2417</v>
      </c>
      <c r="F102" s="133" t="s">
        <v>2417</v>
      </c>
      <c r="G102" s="133" t="s">
        <v>2417</v>
      </c>
      <c r="H102" s="133" t="s">
        <v>2417</v>
      </c>
      <c r="I102" s="133" t="s">
        <v>2417</v>
      </c>
      <c r="J102" s="133" t="s">
        <v>2417</v>
      </c>
      <c r="K102" s="133" t="s">
        <v>2417</v>
      </c>
      <c r="L102" s="133" t="s">
        <v>2417</v>
      </c>
      <c r="M102" s="133" t="s">
        <v>2417</v>
      </c>
      <c r="N102" s="133" t="s">
        <v>2417</v>
      </c>
      <c r="O102" s="133" t="s">
        <v>2417</v>
      </c>
      <c r="P102" s="133" t="s">
        <v>2417</v>
      </c>
      <c r="Q102" s="133" t="s">
        <v>2417</v>
      </c>
      <c r="R102" s="133" t="s">
        <v>2417</v>
      </c>
      <c r="S102" s="133" t="s">
        <v>2417</v>
      </c>
      <c r="T102" s="133" t="s">
        <v>2417</v>
      </c>
      <c r="U102" s="133" t="s">
        <v>2417</v>
      </c>
      <c r="V102" s="133" t="s">
        <v>2417</v>
      </c>
      <c r="W102" s="133" t="s">
        <v>2417</v>
      </c>
      <c r="X102" s="133" t="s">
        <v>2417</v>
      </c>
      <c r="Y102" s="133" t="s">
        <v>2417</v>
      </c>
      <c r="Z102" s="133" t="s">
        <v>2417</v>
      </c>
      <c r="AA102" s="133" t="s">
        <v>2417</v>
      </c>
      <c r="AB102" s="133" t="s">
        <v>2417</v>
      </c>
      <c r="AC102" s="133" t="s">
        <v>2417</v>
      </c>
      <c r="AD102" s="133" t="s">
        <v>2417</v>
      </c>
      <c r="AE102" s="133"/>
    </row>
    <row r="103" spans="1:31" ht="13.2" outlineLevel="2">
      <c r="A103" s="68" t="s">
        <v>743</v>
      </c>
      <c r="B103" s="64" t="s">
        <v>744</v>
      </c>
      <c r="C103" s="387" t="s">
        <v>745</v>
      </c>
      <c r="D103" s="351"/>
      <c r="E103" s="133" t="s">
        <v>2417</v>
      </c>
      <c r="F103" s="133" t="s">
        <v>2417</v>
      </c>
      <c r="G103" s="133" t="s">
        <v>2417</v>
      </c>
      <c r="H103" s="133" t="s">
        <v>2417</v>
      </c>
      <c r="I103" s="133" t="s">
        <v>2417</v>
      </c>
      <c r="J103" s="133" t="s">
        <v>2417</v>
      </c>
      <c r="K103" s="133" t="s">
        <v>2417</v>
      </c>
      <c r="L103" s="133" t="s">
        <v>2417</v>
      </c>
      <c r="M103" s="133" t="s">
        <v>2417</v>
      </c>
      <c r="N103" s="133" t="s">
        <v>2417</v>
      </c>
      <c r="O103" s="133" t="s">
        <v>2417</v>
      </c>
      <c r="P103" s="133" t="s">
        <v>2417</v>
      </c>
      <c r="Q103" s="133" t="s">
        <v>2417</v>
      </c>
      <c r="R103" s="133" t="s">
        <v>2417</v>
      </c>
      <c r="S103" s="133" t="s">
        <v>2417</v>
      </c>
      <c r="T103" s="133" t="s">
        <v>2417</v>
      </c>
      <c r="U103" s="133" t="s">
        <v>2417</v>
      </c>
      <c r="V103" s="133" t="s">
        <v>2417</v>
      </c>
      <c r="W103" s="133" t="s">
        <v>2417</v>
      </c>
      <c r="X103" s="133" t="s">
        <v>2417</v>
      </c>
      <c r="Y103" s="133" t="s">
        <v>2417</v>
      </c>
      <c r="Z103" s="133" t="s">
        <v>2417</v>
      </c>
      <c r="AA103" s="133" t="s">
        <v>2417</v>
      </c>
      <c r="AB103" s="133" t="s">
        <v>2417</v>
      </c>
      <c r="AC103" s="133" t="s">
        <v>2417</v>
      </c>
      <c r="AD103" s="133" t="s">
        <v>2417</v>
      </c>
      <c r="AE103" s="133"/>
    </row>
    <row r="104" spans="1:31" ht="13.2" outlineLevel="2">
      <c r="A104" s="68" t="s">
        <v>746</v>
      </c>
      <c r="B104" s="64" t="s">
        <v>747</v>
      </c>
      <c r="C104" s="387" t="s">
        <v>748</v>
      </c>
      <c r="D104" s="351"/>
      <c r="E104" s="133" t="s">
        <v>2417</v>
      </c>
      <c r="F104" s="133" t="s">
        <v>2417</v>
      </c>
      <c r="G104" s="133" t="s">
        <v>2417</v>
      </c>
      <c r="H104" s="133" t="s">
        <v>2417</v>
      </c>
      <c r="I104" s="133" t="s">
        <v>2417</v>
      </c>
      <c r="J104" s="133" t="s">
        <v>2417</v>
      </c>
      <c r="K104" s="133" t="s">
        <v>2417</v>
      </c>
      <c r="L104" s="133" t="s">
        <v>2417</v>
      </c>
      <c r="M104" s="133" t="s">
        <v>2417</v>
      </c>
      <c r="N104" s="133" t="s">
        <v>2417</v>
      </c>
      <c r="O104" s="133" t="s">
        <v>2417</v>
      </c>
      <c r="P104" s="133" t="s">
        <v>2417</v>
      </c>
      <c r="Q104" s="133" t="s">
        <v>2417</v>
      </c>
      <c r="R104" s="133" t="s">
        <v>2417</v>
      </c>
      <c r="S104" s="133" t="s">
        <v>2417</v>
      </c>
      <c r="T104" s="133" t="s">
        <v>2417</v>
      </c>
      <c r="U104" s="133" t="s">
        <v>2417</v>
      </c>
      <c r="V104" s="133" t="s">
        <v>2417</v>
      </c>
      <c r="W104" s="133" t="s">
        <v>2417</v>
      </c>
      <c r="X104" s="133" t="s">
        <v>2417</v>
      </c>
      <c r="Y104" s="133" t="s">
        <v>2417</v>
      </c>
      <c r="Z104" s="133" t="s">
        <v>2417</v>
      </c>
      <c r="AA104" s="133" t="s">
        <v>2417</v>
      </c>
      <c r="AB104" s="133" t="s">
        <v>2417</v>
      </c>
      <c r="AC104" s="133" t="s">
        <v>2417</v>
      </c>
      <c r="AD104" s="133" t="s">
        <v>2417</v>
      </c>
      <c r="AE104" s="133"/>
    </row>
    <row r="105" spans="1:31" ht="30.6" outlineLevel="2">
      <c r="A105" s="68" t="s">
        <v>749</v>
      </c>
      <c r="B105" s="64" t="s">
        <v>750</v>
      </c>
      <c r="C105" s="387" t="s">
        <v>751</v>
      </c>
      <c r="D105" s="351"/>
      <c r="E105" s="133" t="s">
        <v>2417</v>
      </c>
      <c r="F105" s="133" t="s">
        <v>2417</v>
      </c>
      <c r="G105" s="133" t="s">
        <v>2417</v>
      </c>
      <c r="H105" s="133" t="s">
        <v>2417</v>
      </c>
      <c r="I105" s="133" t="s">
        <v>2417</v>
      </c>
      <c r="J105" s="133" t="s">
        <v>2417</v>
      </c>
      <c r="K105" s="133" t="s">
        <v>2417</v>
      </c>
      <c r="L105" s="133" t="s">
        <v>2417</v>
      </c>
      <c r="M105" s="133" t="s">
        <v>2417</v>
      </c>
      <c r="N105" s="133" t="s">
        <v>2417</v>
      </c>
      <c r="O105" s="133" t="s">
        <v>2417</v>
      </c>
      <c r="P105" s="133" t="s">
        <v>2417</v>
      </c>
      <c r="Q105" s="133" t="s">
        <v>2417</v>
      </c>
      <c r="R105" s="133" t="s">
        <v>2417</v>
      </c>
      <c r="S105" s="133" t="s">
        <v>2417</v>
      </c>
      <c r="T105" s="133" t="s">
        <v>2417</v>
      </c>
      <c r="U105" s="133" t="s">
        <v>2417</v>
      </c>
      <c r="V105" s="133" t="s">
        <v>2417</v>
      </c>
      <c r="W105" s="133" t="s">
        <v>2417</v>
      </c>
      <c r="X105" s="133" t="s">
        <v>2417</v>
      </c>
      <c r="Y105" s="133" t="s">
        <v>2417</v>
      </c>
      <c r="Z105" s="133" t="s">
        <v>2417</v>
      </c>
      <c r="AA105" s="133" t="s">
        <v>2417</v>
      </c>
      <c r="AB105" s="133" t="s">
        <v>2417</v>
      </c>
      <c r="AC105" s="133" t="s">
        <v>2417</v>
      </c>
      <c r="AD105" s="133" t="s">
        <v>2417</v>
      </c>
      <c r="AE105" s="133"/>
    </row>
    <row r="106" spans="1:31" ht="20.399999999999999" outlineLevel="2">
      <c r="A106" s="68" t="s">
        <v>752</v>
      </c>
      <c r="B106" s="64" t="s">
        <v>753</v>
      </c>
      <c r="C106" s="387" t="s">
        <v>754</v>
      </c>
      <c r="D106" s="351"/>
      <c r="E106" s="133" t="s">
        <v>2417</v>
      </c>
      <c r="F106" s="133" t="s">
        <v>2417</v>
      </c>
      <c r="G106" s="133" t="s">
        <v>2417</v>
      </c>
      <c r="H106" s="133" t="s">
        <v>2417</v>
      </c>
      <c r="I106" s="133" t="s">
        <v>2417</v>
      </c>
      <c r="J106" s="133" t="s">
        <v>2417</v>
      </c>
      <c r="K106" s="133" t="s">
        <v>2417</v>
      </c>
      <c r="L106" s="133" t="s">
        <v>2417</v>
      </c>
      <c r="M106" s="133" t="s">
        <v>2417</v>
      </c>
      <c r="N106" s="133" t="s">
        <v>2417</v>
      </c>
      <c r="O106" s="133" t="s">
        <v>2417</v>
      </c>
      <c r="P106" s="133" t="s">
        <v>2417</v>
      </c>
      <c r="Q106" s="133" t="s">
        <v>2417</v>
      </c>
      <c r="R106" s="133" t="s">
        <v>2417</v>
      </c>
      <c r="S106" s="133" t="s">
        <v>2417</v>
      </c>
      <c r="T106" s="133" t="s">
        <v>2417</v>
      </c>
      <c r="U106" s="133" t="s">
        <v>2417</v>
      </c>
      <c r="V106" s="133" t="s">
        <v>2417</v>
      </c>
      <c r="W106" s="133" t="s">
        <v>2417</v>
      </c>
      <c r="X106" s="133" t="s">
        <v>2417</v>
      </c>
      <c r="Y106" s="133" t="s">
        <v>2417</v>
      </c>
      <c r="Z106" s="133" t="s">
        <v>2417</v>
      </c>
      <c r="AA106" s="133" t="s">
        <v>2417</v>
      </c>
      <c r="AB106" s="133" t="s">
        <v>2417</v>
      </c>
      <c r="AC106" s="133" t="s">
        <v>2417</v>
      </c>
      <c r="AD106" s="133" t="s">
        <v>2417</v>
      </c>
      <c r="AE106" s="133"/>
    </row>
    <row r="107" spans="1:31" ht="13.2" outlineLevel="2">
      <c r="A107" s="68" t="s">
        <v>755</v>
      </c>
      <c r="B107" s="64" t="s">
        <v>756</v>
      </c>
      <c r="C107" s="387" t="s">
        <v>757</v>
      </c>
      <c r="D107" s="351"/>
      <c r="E107" s="133" t="s">
        <v>2417</v>
      </c>
      <c r="F107" s="133" t="s">
        <v>2417</v>
      </c>
      <c r="G107" s="133" t="s">
        <v>2417</v>
      </c>
      <c r="H107" s="133" t="s">
        <v>2417</v>
      </c>
      <c r="I107" s="133" t="s">
        <v>2417</v>
      </c>
      <c r="J107" s="133" t="s">
        <v>2417</v>
      </c>
      <c r="K107" s="133" t="s">
        <v>2417</v>
      </c>
      <c r="L107" s="133" t="s">
        <v>2417</v>
      </c>
      <c r="M107" s="133" t="s">
        <v>2417</v>
      </c>
      <c r="N107" s="133" t="s">
        <v>2417</v>
      </c>
      <c r="O107" s="133" t="s">
        <v>2417</v>
      </c>
      <c r="P107" s="133" t="s">
        <v>2417</v>
      </c>
      <c r="Q107" s="133" t="s">
        <v>2417</v>
      </c>
      <c r="R107" s="133" t="s">
        <v>2417</v>
      </c>
      <c r="S107" s="133" t="s">
        <v>2417</v>
      </c>
      <c r="T107" s="133" t="s">
        <v>2417</v>
      </c>
      <c r="U107" s="133" t="s">
        <v>2417</v>
      </c>
      <c r="V107" s="133" t="s">
        <v>2417</v>
      </c>
      <c r="W107" s="133" t="s">
        <v>2417</v>
      </c>
      <c r="X107" s="133" t="s">
        <v>2417</v>
      </c>
      <c r="Y107" s="133" t="s">
        <v>2417</v>
      </c>
      <c r="Z107" s="133" t="s">
        <v>2417</v>
      </c>
      <c r="AA107" s="133" t="s">
        <v>2417</v>
      </c>
      <c r="AB107" s="133" t="s">
        <v>2417</v>
      </c>
      <c r="AC107" s="133" t="s">
        <v>2417</v>
      </c>
      <c r="AD107" s="133" t="s">
        <v>2417</v>
      </c>
      <c r="AE107" s="133"/>
    </row>
    <row r="108" spans="1:31" ht="20.399999999999999" outlineLevel="2">
      <c r="A108" s="68" t="s">
        <v>758</v>
      </c>
      <c r="B108" s="64" t="s">
        <v>759</v>
      </c>
      <c r="C108" s="387" t="s">
        <v>760</v>
      </c>
      <c r="D108" s="351"/>
      <c r="E108" s="133" t="s">
        <v>2417</v>
      </c>
      <c r="F108" s="133" t="s">
        <v>2417</v>
      </c>
      <c r="G108" s="133" t="s">
        <v>2417</v>
      </c>
      <c r="H108" s="133" t="s">
        <v>2417</v>
      </c>
      <c r="I108" s="133" t="s">
        <v>2417</v>
      </c>
      <c r="J108" s="133" t="s">
        <v>2417</v>
      </c>
      <c r="K108" s="133" t="s">
        <v>2417</v>
      </c>
      <c r="L108" s="133" t="s">
        <v>2417</v>
      </c>
      <c r="M108" s="133" t="s">
        <v>2417</v>
      </c>
      <c r="N108" s="133" t="s">
        <v>2417</v>
      </c>
      <c r="O108" s="133" t="s">
        <v>2417</v>
      </c>
      <c r="P108" s="133" t="s">
        <v>2417</v>
      </c>
      <c r="Q108" s="133" t="s">
        <v>2417</v>
      </c>
      <c r="R108" s="133" t="s">
        <v>2417</v>
      </c>
      <c r="S108" s="133" t="s">
        <v>2417</v>
      </c>
      <c r="T108" s="133" t="s">
        <v>2417</v>
      </c>
      <c r="U108" s="133" t="s">
        <v>2417</v>
      </c>
      <c r="V108" s="133" t="s">
        <v>2417</v>
      </c>
      <c r="W108" s="133" t="s">
        <v>2417</v>
      </c>
      <c r="X108" s="133" t="s">
        <v>2417</v>
      </c>
      <c r="Y108" s="133" t="s">
        <v>2417</v>
      </c>
      <c r="Z108" s="133" t="s">
        <v>2417</v>
      </c>
      <c r="AA108" s="133" t="s">
        <v>2417</v>
      </c>
      <c r="AB108" s="133" t="s">
        <v>2417</v>
      </c>
      <c r="AC108" s="133" t="s">
        <v>2417</v>
      </c>
      <c r="AD108" s="133" t="s">
        <v>2417</v>
      </c>
      <c r="AE108" s="133"/>
    </row>
    <row r="109" spans="1:31" ht="20.399999999999999" outlineLevel="2">
      <c r="A109" s="68" t="s">
        <v>761</v>
      </c>
      <c r="B109" s="69" t="s">
        <v>762</v>
      </c>
      <c r="C109" s="360" t="s">
        <v>763</v>
      </c>
      <c r="D109" s="351"/>
      <c r="E109" s="133" t="s">
        <v>2417</v>
      </c>
      <c r="F109" s="133" t="s">
        <v>2417</v>
      </c>
      <c r="G109" s="133" t="s">
        <v>2417</v>
      </c>
      <c r="H109" s="133" t="s">
        <v>2417</v>
      </c>
      <c r="I109" s="133" t="s">
        <v>2417</v>
      </c>
      <c r="J109" s="133" t="s">
        <v>2417</v>
      </c>
      <c r="K109" s="133" t="s">
        <v>2417</v>
      </c>
      <c r="L109" s="133" t="s">
        <v>2417</v>
      </c>
      <c r="M109" s="133" t="s">
        <v>2417</v>
      </c>
      <c r="N109" s="133" t="s">
        <v>2417</v>
      </c>
      <c r="O109" s="133" t="s">
        <v>2417</v>
      </c>
      <c r="P109" s="133" t="s">
        <v>2417</v>
      </c>
      <c r="Q109" s="133" t="s">
        <v>2417</v>
      </c>
      <c r="R109" s="133" t="s">
        <v>2417</v>
      </c>
      <c r="S109" s="133" t="s">
        <v>2417</v>
      </c>
      <c r="T109" s="133" t="s">
        <v>2417</v>
      </c>
      <c r="U109" s="133" t="s">
        <v>2417</v>
      </c>
      <c r="V109" s="133" t="s">
        <v>2417</v>
      </c>
      <c r="W109" s="133" t="s">
        <v>2417</v>
      </c>
      <c r="X109" s="133" t="s">
        <v>2417</v>
      </c>
      <c r="Y109" s="133" t="s">
        <v>2417</v>
      </c>
      <c r="Z109" s="133" t="s">
        <v>2417</v>
      </c>
      <c r="AA109" s="133" t="s">
        <v>2417</v>
      </c>
      <c r="AB109" s="133" t="s">
        <v>2417</v>
      </c>
      <c r="AC109" s="133" t="s">
        <v>2417</v>
      </c>
      <c r="AD109" s="133" t="s">
        <v>2417</v>
      </c>
      <c r="AE109" s="133"/>
    </row>
    <row r="110" spans="1:31" ht="20.399999999999999" outlineLevel="2">
      <c r="A110" s="68" t="s">
        <v>764</v>
      </c>
      <c r="B110" s="64" t="s">
        <v>765</v>
      </c>
      <c r="C110" s="387" t="s">
        <v>766</v>
      </c>
      <c r="D110" s="351"/>
      <c r="E110" s="133" t="s">
        <v>2417</v>
      </c>
      <c r="F110" s="133" t="s">
        <v>2417</v>
      </c>
      <c r="G110" s="133" t="s">
        <v>2417</v>
      </c>
      <c r="H110" s="133" t="s">
        <v>2417</v>
      </c>
      <c r="I110" s="133" t="s">
        <v>2417</v>
      </c>
      <c r="J110" s="133" t="s">
        <v>2417</v>
      </c>
      <c r="K110" s="133" t="s">
        <v>2417</v>
      </c>
      <c r="L110" s="133" t="s">
        <v>2417</v>
      </c>
      <c r="M110" s="133" t="s">
        <v>2417</v>
      </c>
      <c r="N110" s="133" t="s">
        <v>2417</v>
      </c>
      <c r="O110" s="133" t="s">
        <v>2417</v>
      </c>
      <c r="P110" s="133" t="s">
        <v>2417</v>
      </c>
      <c r="Q110" s="133" t="s">
        <v>2417</v>
      </c>
      <c r="R110" s="133" t="s">
        <v>2417</v>
      </c>
      <c r="S110" s="133" t="s">
        <v>2417</v>
      </c>
      <c r="T110" s="133" t="s">
        <v>2417</v>
      </c>
      <c r="U110" s="133" t="s">
        <v>2417</v>
      </c>
      <c r="V110" s="133" t="s">
        <v>2417</v>
      </c>
      <c r="W110" s="133" t="s">
        <v>2417</v>
      </c>
      <c r="X110" s="133" t="s">
        <v>2417</v>
      </c>
      <c r="Y110" s="133" t="s">
        <v>2417</v>
      </c>
      <c r="Z110" s="133" t="s">
        <v>2417</v>
      </c>
      <c r="AA110" s="133" t="s">
        <v>2417</v>
      </c>
      <c r="AB110" s="133" t="s">
        <v>2417</v>
      </c>
      <c r="AC110" s="133" t="s">
        <v>2417</v>
      </c>
      <c r="AD110" s="133" t="s">
        <v>2417</v>
      </c>
      <c r="AE110" s="133"/>
    </row>
    <row r="111" spans="1:31" ht="20.399999999999999" outlineLevel="2">
      <c r="A111" s="68" t="s">
        <v>767</v>
      </c>
      <c r="B111" s="64" t="s">
        <v>768</v>
      </c>
      <c r="C111" s="387" t="s">
        <v>769</v>
      </c>
      <c r="D111" s="351"/>
      <c r="E111" s="133" t="s">
        <v>2417</v>
      </c>
      <c r="F111" s="133" t="s">
        <v>2417</v>
      </c>
      <c r="G111" s="133" t="s">
        <v>2417</v>
      </c>
      <c r="H111" s="133" t="s">
        <v>2417</v>
      </c>
      <c r="I111" s="133" t="s">
        <v>2417</v>
      </c>
      <c r="J111" s="133" t="s">
        <v>2417</v>
      </c>
      <c r="K111" s="133" t="s">
        <v>2417</v>
      </c>
      <c r="L111" s="133" t="s">
        <v>2417</v>
      </c>
      <c r="M111" s="133" t="s">
        <v>2417</v>
      </c>
      <c r="N111" s="133" t="s">
        <v>2417</v>
      </c>
      <c r="O111" s="133" t="s">
        <v>2417</v>
      </c>
      <c r="P111" s="133" t="s">
        <v>2417</v>
      </c>
      <c r="Q111" s="133" t="s">
        <v>2417</v>
      </c>
      <c r="R111" s="133" t="s">
        <v>2417</v>
      </c>
      <c r="S111" s="133" t="s">
        <v>2417</v>
      </c>
      <c r="T111" s="133" t="s">
        <v>2417</v>
      </c>
      <c r="U111" s="133" t="s">
        <v>2417</v>
      </c>
      <c r="V111" s="133" t="s">
        <v>2417</v>
      </c>
      <c r="W111" s="133" t="s">
        <v>2417</v>
      </c>
      <c r="X111" s="133" t="s">
        <v>2417</v>
      </c>
      <c r="Y111" s="133" t="s">
        <v>2417</v>
      </c>
      <c r="Z111" s="133" t="s">
        <v>2417</v>
      </c>
      <c r="AA111" s="133" t="s">
        <v>2417</v>
      </c>
      <c r="AB111" s="133" t="s">
        <v>2417</v>
      </c>
      <c r="AC111" s="133" t="s">
        <v>2417</v>
      </c>
      <c r="AD111" s="133" t="s">
        <v>2417</v>
      </c>
      <c r="AE111" s="133"/>
    </row>
    <row r="112" spans="1:31" ht="20.399999999999999" outlineLevel="2">
      <c r="A112" s="68" t="s">
        <v>770</v>
      </c>
      <c r="B112" s="64" t="s">
        <v>771</v>
      </c>
      <c r="C112" s="360" t="s">
        <v>772</v>
      </c>
      <c r="D112" s="351"/>
      <c r="E112" s="133" t="s">
        <v>2417</v>
      </c>
      <c r="F112" s="133" t="s">
        <v>2417</v>
      </c>
      <c r="G112" s="133" t="s">
        <v>2417</v>
      </c>
      <c r="H112" s="133" t="s">
        <v>2417</v>
      </c>
      <c r="I112" s="133" t="s">
        <v>2417</v>
      </c>
      <c r="J112" s="133" t="s">
        <v>2417</v>
      </c>
      <c r="K112" s="133" t="s">
        <v>2417</v>
      </c>
      <c r="L112" s="133" t="s">
        <v>2417</v>
      </c>
      <c r="M112" s="133" t="s">
        <v>2417</v>
      </c>
      <c r="N112" s="133" t="s">
        <v>2417</v>
      </c>
      <c r="O112" s="133" t="s">
        <v>2417</v>
      </c>
      <c r="P112" s="133" t="s">
        <v>2417</v>
      </c>
      <c r="Q112" s="133" t="s">
        <v>2417</v>
      </c>
      <c r="R112" s="133" t="s">
        <v>2417</v>
      </c>
      <c r="S112" s="133" t="s">
        <v>2417</v>
      </c>
      <c r="T112" s="133" t="s">
        <v>2417</v>
      </c>
      <c r="U112" s="133" t="s">
        <v>2417</v>
      </c>
      <c r="V112" s="133" t="s">
        <v>2417</v>
      </c>
      <c r="W112" s="133" t="s">
        <v>2417</v>
      </c>
      <c r="X112" s="133" t="s">
        <v>2417</v>
      </c>
      <c r="Y112" s="133" t="s">
        <v>2417</v>
      </c>
      <c r="Z112" s="133" t="s">
        <v>2417</v>
      </c>
      <c r="AA112" s="133" t="s">
        <v>2417</v>
      </c>
      <c r="AB112" s="133" t="s">
        <v>2417</v>
      </c>
      <c r="AC112" s="133" t="s">
        <v>2417</v>
      </c>
      <c r="AD112" s="133" t="s">
        <v>2417</v>
      </c>
      <c r="AE112" s="133"/>
    </row>
    <row r="113" spans="1:31" ht="20.399999999999999" outlineLevel="2">
      <c r="A113" s="68" t="s">
        <v>773</v>
      </c>
      <c r="B113" s="64" t="s">
        <v>774</v>
      </c>
      <c r="C113" s="360" t="s">
        <v>775</v>
      </c>
      <c r="D113" s="351"/>
      <c r="E113" s="133" t="s">
        <v>2417</v>
      </c>
      <c r="F113" s="133" t="s">
        <v>2417</v>
      </c>
      <c r="G113" s="133" t="s">
        <v>2417</v>
      </c>
      <c r="H113" s="133" t="s">
        <v>2417</v>
      </c>
      <c r="I113" s="133" t="s">
        <v>2417</v>
      </c>
      <c r="J113" s="133" t="s">
        <v>2417</v>
      </c>
      <c r="K113" s="133" t="s">
        <v>2417</v>
      </c>
      <c r="L113" s="133" t="s">
        <v>2417</v>
      </c>
      <c r="M113" s="133" t="s">
        <v>2417</v>
      </c>
      <c r="N113" s="133" t="s">
        <v>2417</v>
      </c>
      <c r="O113" s="133" t="s">
        <v>2417</v>
      </c>
      <c r="P113" s="133" t="s">
        <v>2417</v>
      </c>
      <c r="Q113" s="133" t="s">
        <v>2417</v>
      </c>
      <c r="R113" s="133" t="s">
        <v>2417</v>
      </c>
      <c r="S113" s="133" t="s">
        <v>2417</v>
      </c>
      <c r="T113" s="133" t="s">
        <v>2417</v>
      </c>
      <c r="U113" s="133" t="s">
        <v>2417</v>
      </c>
      <c r="V113" s="133" t="s">
        <v>2417</v>
      </c>
      <c r="W113" s="133" t="s">
        <v>2417</v>
      </c>
      <c r="X113" s="133" t="s">
        <v>2417</v>
      </c>
      <c r="Y113" s="133" t="s">
        <v>2417</v>
      </c>
      <c r="Z113" s="133" t="s">
        <v>2417</v>
      </c>
      <c r="AA113" s="133" t="s">
        <v>2417</v>
      </c>
      <c r="AB113" s="133" t="s">
        <v>2417</v>
      </c>
      <c r="AC113" s="133" t="s">
        <v>2417</v>
      </c>
      <c r="AD113" s="133" t="s">
        <v>2417</v>
      </c>
      <c r="AE113" s="133"/>
    </row>
    <row r="114" spans="1:31" ht="20.399999999999999" outlineLevel="2">
      <c r="A114" s="68" t="s">
        <v>776</v>
      </c>
      <c r="B114" s="64" t="s">
        <v>777</v>
      </c>
      <c r="C114" s="360" t="s">
        <v>778</v>
      </c>
      <c r="D114" s="351"/>
      <c r="E114" s="133" t="s">
        <v>2417</v>
      </c>
      <c r="F114" s="133" t="s">
        <v>2417</v>
      </c>
      <c r="G114" s="133" t="s">
        <v>2417</v>
      </c>
      <c r="H114" s="133" t="s">
        <v>2417</v>
      </c>
      <c r="I114" s="133" t="s">
        <v>2417</v>
      </c>
      <c r="J114" s="133" t="s">
        <v>2417</v>
      </c>
      <c r="K114" s="133" t="s">
        <v>2417</v>
      </c>
      <c r="L114" s="133" t="s">
        <v>2417</v>
      </c>
      <c r="M114" s="133" t="s">
        <v>2417</v>
      </c>
      <c r="N114" s="133" t="s">
        <v>2417</v>
      </c>
      <c r="O114" s="133" t="s">
        <v>2417</v>
      </c>
      <c r="P114" s="133" t="s">
        <v>2417</v>
      </c>
      <c r="Q114" s="133" t="s">
        <v>2417</v>
      </c>
      <c r="R114" s="133" t="s">
        <v>2417</v>
      </c>
      <c r="S114" s="133" t="s">
        <v>2417</v>
      </c>
      <c r="T114" s="133" t="s">
        <v>2417</v>
      </c>
      <c r="U114" s="133" t="s">
        <v>2417</v>
      </c>
      <c r="V114" s="133" t="s">
        <v>2417</v>
      </c>
      <c r="W114" s="133" t="s">
        <v>2417</v>
      </c>
      <c r="X114" s="133" t="s">
        <v>2417</v>
      </c>
      <c r="Y114" s="133" t="s">
        <v>2417</v>
      </c>
      <c r="Z114" s="133" t="s">
        <v>2417</v>
      </c>
      <c r="AA114" s="133" t="s">
        <v>2417</v>
      </c>
      <c r="AB114" s="133" t="s">
        <v>2417</v>
      </c>
      <c r="AC114" s="133" t="s">
        <v>2417</v>
      </c>
      <c r="AD114" s="133" t="s">
        <v>2417</v>
      </c>
      <c r="AE114" s="133"/>
    </row>
    <row r="115" spans="1:31" ht="20.399999999999999" outlineLevel="2">
      <c r="A115" s="68" t="s">
        <v>779</v>
      </c>
      <c r="B115" s="64" t="s">
        <v>780</v>
      </c>
      <c r="C115" s="387" t="s">
        <v>781</v>
      </c>
      <c r="D115" s="351"/>
      <c r="E115" s="133" t="s">
        <v>2417</v>
      </c>
      <c r="F115" s="133" t="s">
        <v>2417</v>
      </c>
      <c r="G115" s="133" t="s">
        <v>2417</v>
      </c>
      <c r="H115" s="133" t="s">
        <v>2417</v>
      </c>
      <c r="I115" s="133" t="s">
        <v>2417</v>
      </c>
      <c r="J115" s="133" t="s">
        <v>2417</v>
      </c>
      <c r="K115" s="133" t="s">
        <v>2417</v>
      </c>
      <c r="L115" s="133" t="s">
        <v>2417</v>
      </c>
      <c r="M115" s="133" t="s">
        <v>2417</v>
      </c>
      <c r="N115" s="133" t="s">
        <v>2417</v>
      </c>
      <c r="O115" s="133" t="s">
        <v>2417</v>
      </c>
      <c r="P115" s="133" t="s">
        <v>2417</v>
      </c>
      <c r="Q115" s="133" t="s">
        <v>2417</v>
      </c>
      <c r="R115" s="133" t="s">
        <v>2417</v>
      </c>
      <c r="S115" s="133" t="s">
        <v>2417</v>
      </c>
      <c r="T115" s="133" t="s">
        <v>2417</v>
      </c>
      <c r="U115" s="133" t="s">
        <v>2417</v>
      </c>
      <c r="V115" s="133" t="s">
        <v>2417</v>
      </c>
      <c r="W115" s="133" t="s">
        <v>2417</v>
      </c>
      <c r="X115" s="133" t="s">
        <v>2417</v>
      </c>
      <c r="Y115" s="133" t="s">
        <v>2417</v>
      </c>
      <c r="Z115" s="133" t="s">
        <v>2417</v>
      </c>
      <c r="AA115" s="133" t="s">
        <v>2417</v>
      </c>
      <c r="AB115" s="133" t="s">
        <v>2417</v>
      </c>
      <c r="AC115" s="133" t="s">
        <v>2417</v>
      </c>
      <c r="AD115" s="133" t="s">
        <v>2417</v>
      </c>
      <c r="AE115" s="133"/>
    </row>
    <row r="116" spans="1:31" ht="20.399999999999999" outlineLevel="2">
      <c r="A116" s="68" t="s">
        <v>782</v>
      </c>
      <c r="B116" s="64" t="s">
        <v>783</v>
      </c>
      <c r="C116" s="387" t="s">
        <v>784</v>
      </c>
      <c r="D116" s="351"/>
      <c r="E116" s="133" t="s">
        <v>2417</v>
      </c>
      <c r="F116" s="133" t="s">
        <v>2417</v>
      </c>
      <c r="G116" s="133" t="s">
        <v>2417</v>
      </c>
      <c r="H116" s="133" t="s">
        <v>2417</v>
      </c>
      <c r="I116" s="133" t="s">
        <v>2417</v>
      </c>
      <c r="J116" s="133" t="s">
        <v>2417</v>
      </c>
      <c r="K116" s="133" t="s">
        <v>2417</v>
      </c>
      <c r="L116" s="133" t="s">
        <v>2417</v>
      </c>
      <c r="M116" s="133" t="s">
        <v>2417</v>
      </c>
      <c r="N116" s="133" t="s">
        <v>2417</v>
      </c>
      <c r="O116" s="133" t="s">
        <v>2417</v>
      </c>
      <c r="P116" s="133" t="s">
        <v>2417</v>
      </c>
      <c r="Q116" s="133" t="s">
        <v>2417</v>
      </c>
      <c r="R116" s="133" t="s">
        <v>2417</v>
      </c>
      <c r="S116" s="133" t="s">
        <v>2417</v>
      </c>
      <c r="T116" s="133" t="s">
        <v>2417</v>
      </c>
      <c r="U116" s="133" t="s">
        <v>2417</v>
      </c>
      <c r="V116" s="133" t="s">
        <v>2417</v>
      </c>
      <c r="W116" s="133" t="s">
        <v>2417</v>
      </c>
      <c r="X116" s="133" t="s">
        <v>2417</v>
      </c>
      <c r="Y116" s="133" t="s">
        <v>2417</v>
      </c>
      <c r="Z116" s="133" t="s">
        <v>2417</v>
      </c>
      <c r="AA116" s="133" t="s">
        <v>2417</v>
      </c>
      <c r="AB116" s="133" t="s">
        <v>2417</v>
      </c>
      <c r="AC116" s="133" t="s">
        <v>2417</v>
      </c>
      <c r="AD116" s="133" t="s">
        <v>2417</v>
      </c>
      <c r="AE116" s="133"/>
    </row>
    <row r="117" spans="1:31" ht="20.399999999999999" outlineLevel="2">
      <c r="A117" s="68" t="s">
        <v>785</v>
      </c>
      <c r="B117" s="64" t="s">
        <v>786</v>
      </c>
      <c r="C117" s="387" t="s">
        <v>787</v>
      </c>
      <c r="D117" s="351"/>
      <c r="E117" s="133" t="s">
        <v>2417</v>
      </c>
      <c r="F117" s="133" t="s">
        <v>2417</v>
      </c>
      <c r="G117" s="133" t="s">
        <v>2417</v>
      </c>
      <c r="H117" s="133" t="s">
        <v>2417</v>
      </c>
      <c r="I117" s="133" t="s">
        <v>2417</v>
      </c>
      <c r="J117" s="133" t="s">
        <v>2417</v>
      </c>
      <c r="K117" s="133" t="s">
        <v>2417</v>
      </c>
      <c r="L117" s="133" t="s">
        <v>2417</v>
      </c>
      <c r="M117" s="133" t="s">
        <v>2417</v>
      </c>
      <c r="N117" s="133" t="s">
        <v>2417</v>
      </c>
      <c r="O117" s="133" t="s">
        <v>2417</v>
      </c>
      <c r="P117" s="133" t="s">
        <v>2417</v>
      </c>
      <c r="Q117" s="133" t="s">
        <v>2417</v>
      </c>
      <c r="R117" s="133" t="s">
        <v>2417</v>
      </c>
      <c r="S117" s="133" t="s">
        <v>2417</v>
      </c>
      <c r="T117" s="133" t="s">
        <v>2417</v>
      </c>
      <c r="U117" s="133" t="s">
        <v>2417</v>
      </c>
      <c r="V117" s="133" t="s">
        <v>2417</v>
      </c>
      <c r="W117" s="133" t="s">
        <v>2417</v>
      </c>
      <c r="X117" s="133" t="s">
        <v>2417</v>
      </c>
      <c r="Y117" s="133" t="s">
        <v>2417</v>
      </c>
      <c r="Z117" s="133" t="s">
        <v>2417</v>
      </c>
      <c r="AA117" s="133" t="s">
        <v>2417</v>
      </c>
      <c r="AB117" s="133" t="s">
        <v>2417</v>
      </c>
      <c r="AC117" s="133" t="s">
        <v>2417</v>
      </c>
      <c r="AD117" s="133" t="s">
        <v>2417</v>
      </c>
      <c r="AE117" s="133"/>
    </row>
    <row r="118" spans="1:31" ht="20.399999999999999" outlineLevel="2">
      <c r="A118" s="68" t="s">
        <v>788</v>
      </c>
      <c r="B118" s="64" t="s">
        <v>789</v>
      </c>
      <c r="C118" s="387" t="s">
        <v>790</v>
      </c>
      <c r="D118" s="351"/>
      <c r="E118" s="133" t="s">
        <v>2417</v>
      </c>
      <c r="F118" s="133" t="s">
        <v>2417</v>
      </c>
      <c r="G118" s="133" t="s">
        <v>2417</v>
      </c>
      <c r="H118" s="133" t="s">
        <v>2417</v>
      </c>
      <c r="I118" s="133" t="s">
        <v>2417</v>
      </c>
      <c r="J118" s="133" t="s">
        <v>2417</v>
      </c>
      <c r="K118" s="133" t="s">
        <v>2417</v>
      </c>
      <c r="L118" s="133" t="s">
        <v>2417</v>
      </c>
      <c r="M118" s="133" t="s">
        <v>2417</v>
      </c>
      <c r="N118" s="133" t="s">
        <v>2417</v>
      </c>
      <c r="O118" s="133" t="s">
        <v>2417</v>
      </c>
      <c r="P118" s="133" t="s">
        <v>2417</v>
      </c>
      <c r="Q118" s="133" t="s">
        <v>2417</v>
      </c>
      <c r="R118" s="133" t="s">
        <v>2417</v>
      </c>
      <c r="S118" s="133" t="s">
        <v>2417</v>
      </c>
      <c r="T118" s="133" t="s">
        <v>2417</v>
      </c>
      <c r="U118" s="133" t="s">
        <v>2417</v>
      </c>
      <c r="V118" s="133" t="s">
        <v>2417</v>
      </c>
      <c r="W118" s="133" t="s">
        <v>2417</v>
      </c>
      <c r="X118" s="133" t="s">
        <v>2417</v>
      </c>
      <c r="Y118" s="133" t="s">
        <v>2417</v>
      </c>
      <c r="Z118" s="133" t="s">
        <v>2417</v>
      </c>
      <c r="AA118" s="133" t="s">
        <v>2417</v>
      </c>
      <c r="AB118" s="133" t="s">
        <v>2417</v>
      </c>
      <c r="AC118" s="133" t="s">
        <v>2417</v>
      </c>
      <c r="AD118" s="133" t="s">
        <v>2417</v>
      </c>
      <c r="AE118" s="133"/>
    </row>
    <row r="119" spans="1:31" ht="20.399999999999999" outlineLevel="2">
      <c r="A119" s="68" t="s">
        <v>791</v>
      </c>
      <c r="B119" s="65" t="s">
        <v>792</v>
      </c>
      <c r="C119" s="387" t="s">
        <v>793</v>
      </c>
      <c r="D119" s="351"/>
      <c r="E119" s="133" t="s">
        <v>2417</v>
      </c>
      <c r="F119" s="133" t="s">
        <v>2417</v>
      </c>
      <c r="G119" s="133" t="s">
        <v>2417</v>
      </c>
      <c r="H119" s="133" t="s">
        <v>2417</v>
      </c>
      <c r="I119" s="133" t="s">
        <v>2417</v>
      </c>
      <c r="J119" s="133" t="s">
        <v>2417</v>
      </c>
      <c r="K119" s="133" t="s">
        <v>2417</v>
      </c>
      <c r="L119" s="133" t="s">
        <v>2417</v>
      </c>
      <c r="M119" s="133" t="s">
        <v>2417</v>
      </c>
      <c r="N119" s="133" t="s">
        <v>2417</v>
      </c>
      <c r="O119" s="133" t="s">
        <v>2417</v>
      </c>
      <c r="P119" s="133" t="s">
        <v>2417</v>
      </c>
      <c r="Q119" s="133" t="s">
        <v>2417</v>
      </c>
      <c r="R119" s="133" t="s">
        <v>2417</v>
      </c>
      <c r="S119" s="133" t="s">
        <v>2417</v>
      </c>
      <c r="T119" s="133" t="s">
        <v>2417</v>
      </c>
      <c r="U119" s="133" t="s">
        <v>2417</v>
      </c>
      <c r="V119" s="133" t="s">
        <v>2417</v>
      </c>
      <c r="W119" s="133" t="s">
        <v>2417</v>
      </c>
      <c r="X119" s="133" t="s">
        <v>2417</v>
      </c>
      <c r="Y119" s="133" t="s">
        <v>2417</v>
      </c>
      <c r="Z119" s="133" t="s">
        <v>2417</v>
      </c>
      <c r="AA119" s="133" t="s">
        <v>2417</v>
      </c>
      <c r="AB119" s="133" t="s">
        <v>2417</v>
      </c>
      <c r="AC119" s="133" t="s">
        <v>2417</v>
      </c>
      <c r="AD119" s="133" t="s">
        <v>2417</v>
      </c>
      <c r="AE119" s="133"/>
    </row>
    <row r="120" spans="1:31" ht="20.399999999999999" outlineLevel="2">
      <c r="A120" s="68" t="s">
        <v>794</v>
      </c>
      <c r="B120" s="64" t="s">
        <v>795</v>
      </c>
      <c r="C120" s="387" t="s">
        <v>796</v>
      </c>
      <c r="D120" s="351"/>
      <c r="E120" s="133" t="s">
        <v>2417</v>
      </c>
      <c r="F120" s="133" t="s">
        <v>2417</v>
      </c>
      <c r="G120" s="133" t="s">
        <v>2417</v>
      </c>
      <c r="H120" s="133" t="s">
        <v>2417</v>
      </c>
      <c r="I120" s="133" t="s">
        <v>2417</v>
      </c>
      <c r="J120" s="133" t="s">
        <v>2417</v>
      </c>
      <c r="K120" s="133" t="s">
        <v>2417</v>
      </c>
      <c r="L120" s="133" t="s">
        <v>2417</v>
      </c>
      <c r="M120" s="133" t="s">
        <v>2417</v>
      </c>
      <c r="N120" s="133" t="s">
        <v>2417</v>
      </c>
      <c r="O120" s="133" t="s">
        <v>2417</v>
      </c>
      <c r="P120" s="133" t="s">
        <v>2417</v>
      </c>
      <c r="Q120" s="133" t="s">
        <v>2417</v>
      </c>
      <c r="R120" s="133" t="s">
        <v>2417</v>
      </c>
      <c r="S120" s="133" t="s">
        <v>2417</v>
      </c>
      <c r="T120" s="133" t="s">
        <v>2417</v>
      </c>
      <c r="U120" s="133" t="s">
        <v>2417</v>
      </c>
      <c r="V120" s="133" t="s">
        <v>2417</v>
      </c>
      <c r="W120" s="133" t="s">
        <v>2417</v>
      </c>
      <c r="X120" s="133" t="s">
        <v>2417</v>
      </c>
      <c r="Y120" s="133" t="s">
        <v>2417</v>
      </c>
      <c r="Z120" s="133" t="s">
        <v>2417</v>
      </c>
      <c r="AA120" s="133" t="s">
        <v>2417</v>
      </c>
      <c r="AB120" s="133" t="s">
        <v>2417</v>
      </c>
      <c r="AC120" s="133" t="s">
        <v>2417</v>
      </c>
      <c r="AD120" s="133" t="s">
        <v>2417</v>
      </c>
      <c r="AE120" s="133"/>
    </row>
    <row r="121" spans="1:31" ht="30.6" outlineLevel="2">
      <c r="A121" s="68" t="s">
        <v>797</v>
      </c>
      <c r="B121" s="64" t="s">
        <v>798</v>
      </c>
      <c r="C121" s="387" t="s">
        <v>799</v>
      </c>
      <c r="D121" s="351"/>
      <c r="E121" s="133" t="s">
        <v>2417</v>
      </c>
      <c r="F121" s="133" t="s">
        <v>2417</v>
      </c>
      <c r="G121" s="133" t="s">
        <v>2417</v>
      </c>
      <c r="H121" s="133" t="s">
        <v>2417</v>
      </c>
      <c r="I121" s="133" t="s">
        <v>2417</v>
      </c>
      <c r="J121" s="133" t="s">
        <v>2417</v>
      </c>
      <c r="K121" s="133" t="s">
        <v>2417</v>
      </c>
      <c r="L121" s="133" t="s">
        <v>2417</v>
      </c>
      <c r="M121" s="133" t="s">
        <v>2417</v>
      </c>
      <c r="N121" s="133" t="s">
        <v>2417</v>
      </c>
      <c r="O121" s="133" t="s">
        <v>2417</v>
      </c>
      <c r="P121" s="133" t="s">
        <v>2417</v>
      </c>
      <c r="Q121" s="133" t="s">
        <v>2417</v>
      </c>
      <c r="R121" s="133" t="s">
        <v>2417</v>
      </c>
      <c r="S121" s="133" t="s">
        <v>2417</v>
      </c>
      <c r="T121" s="133" t="s">
        <v>2417</v>
      </c>
      <c r="U121" s="133" t="s">
        <v>2417</v>
      </c>
      <c r="V121" s="133" t="s">
        <v>2417</v>
      </c>
      <c r="W121" s="133" t="s">
        <v>2417</v>
      </c>
      <c r="X121" s="133" t="s">
        <v>2417</v>
      </c>
      <c r="Y121" s="133" t="s">
        <v>2417</v>
      </c>
      <c r="Z121" s="133" t="s">
        <v>2417</v>
      </c>
      <c r="AA121" s="133" t="s">
        <v>2417</v>
      </c>
      <c r="AB121" s="133" t="s">
        <v>2417</v>
      </c>
      <c r="AC121" s="133" t="s">
        <v>2417</v>
      </c>
      <c r="AD121" s="133" t="s">
        <v>2417</v>
      </c>
      <c r="AE121" s="133"/>
    </row>
    <row r="122" spans="1:31" ht="20.399999999999999" outlineLevel="2">
      <c r="A122" s="68" t="s">
        <v>800</v>
      </c>
      <c r="B122" s="69" t="s">
        <v>801</v>
      </c>
      <c r="C122" s="360" t="s">
        <v>802</v>
      </c>
      <c r="D122" s="351"/>
      <c r="E122" s="133" t="s">
        <v>2417</v>
      </c>
      <c r="F122" s="133" t="s">
        <v>2417</v>
      </c>
      <c r="G122" s="133" t="s">
        <v>2417</v>
      </c>
      <c r="H122" s="133" t="s">
        <v>2417</v>
      </c>
      <c r="I122" s="133" t="s">
        <v>2417</v>
      </c>
      <c r="J122" s="133" t="s">
        <v>2417</v>
      </c>
      <c r="K122" s="133" t="s">
        <v>2417</v>
      </c>
      <c r="L122" s="133" t="s">
        <v>2417</v>
      </c>
      <c r="M122" s="133" t="s">
        <v>2417</v>
      </c>
      <c r="N122" s="133" t="s">
        <v>2417</v>
      </c>
      <c r="O122" s="133" t="s">
        <v>2417</v>
      </c>
      <c r="P122" s="133" t="s">
        <v>2417</v>
      </c>
      <c r="Q122" s="133" t="s">
        <v>2417</v>
      </c>
      <c r="R122" s="133" t="s">
        <v>2417</v>
      </c>
      <c r="S122" s="133" t="s">
        <v>2417</v>
      </c>
      <c r="T122" s="133" t="s">
        <v>2417</v>
      </c>
      <c r="U122" s="133" t="s">
        <v>2417</v>
      </c>
      <c r="V122" s="133" t="s">
        <v>2417</v>
      </c>
      <c r="W122" s="133" t="s">
        <v>2417</v>
      </c>
      <c r="X122" s="133" t="s">
        <v>2417</v>
      </c>
      <c r="Y122" s="133" t="s">
        <v>2417</v>
      </c>
      <c r="Z122" s="133" t="s">
        <v>2417</v>
      </c>
      <c r="AA122" s="133" t="s">
        <v>2417</v>
      </c>
      <c r="AB122" s="133" t="s">
        <v>2417</v>
      </c>
      <c r="AC122" s="133" t="s">
        <v>2417</v>
      </c>
      <c r="AD122" s="133" t="s">
        <v>2417</v>
      </c>
      <c r="AE122" s="133"/>
    </row>
    <row r="123" spans="1:31" ht="30.6" outlineLevel="2">
      <c r="A123" s="68" t="s">
        <v>803</v>
      </c>
      <c r="B123" s="64" t="s">
        <v>804</v>
      </c>
      <c r="C123" s="360" t="s">
        <v>805</v>
      </c>
      <c r="D123" s="351"/>
      <c r="E123" s="133" t="s">
        <v>2417</v>
      </c>
      <c r="F123" s="133" t="s">
        <v>2417</v>
      </c>
      <c r="G123" s="133" t="s">
        <v>2417</v>
      </c>
      <c r="H123" s="133" t="s">
        <v>2417</v>
      </c>
      <c r="I123" s="133" t="s">
        <v>2417</v>
      </c>
      <c r="J123" s="133" t="s">
        <v>2417</v>
      </c>
      <c r="K123" s="133" t="s">
        <v>2417</v>
      </c>
      <c r="L123" s="133" t="s">
        <v>2417</v>
      </c>
      <c r="M123" s="133" t="s">
        <v>2417</v>
      </c>
      <c r="N123" s="133" t="s">
        <v>2417</v>
      </c>
      <c r="O123" s="133" t="s">
        <v>2417</v>
      </c>
      <c r="P123" s="133" t="s">
        <v>2417</v>
      </c>
      <c r="Q123" s="133" t="s">
        <v>2417</v>
      </c>
      <c r="R123" s="133" t="s">
        <v>2417</v>
      </c>
      <c r="S123" s="133" t="s">
        <v>2417</v>
      </c>
      <c r="T123" s="133" t="s">
        <v>2417</v>
      </c>
      <c r="U123" s="133" t="s">
        <v>2417</v>
      </c>
      <c r="V123" s="133" t="s">
        <v>2417</v>
      </c>
      <c r="W123" s="133" t="s">
        <v>2417</v>
      </c>
      <c r="X123" s="133" t="s">
        <v>2417</v>
      </c>
      <c r="Y123" s="133" t="s">
        <v>2417</v>
      </c>
      <c r="Z123" s="133" t="s">
        <v>2417</v>
      </c>
      <c r="AA123" s="133" t="s">
        <v>2417</v>
      </c>
      <c r="AB123" s="133" t="s">
        <v>2417</v>
      </c>
      <c r="AC123" s="133" t="s">
        <v>2417</v>
      </c>
      <c r="AD123" s="133" t="s">
        <v>2417</v>
      </c>
      <c r="AE123" s="133"/>
    </row>
    <row r="124" spans="1:31" ht="30.6" outlineLevel="2">
      <c r="A124" s="68" t="s">
        <v>806</v>
      </c>
      <c r="B124" s="64" t="s">
        <v>807</v>
      </c>
      <c r="C124" s="360" t="s">
        <v>808</v>
      </c>
      <c r="D124" s="351"/>
      <c r="E124" s="133" t="s">
        <v>2417</v>
      </c>
      <c r="F124" s="133" t="s">
        <v>2417</v>
      </c>
      <c r="G124" s="133" t="s">
        <v>2417</v>
      </c>
      <c r="H124" s="133" t="s">
        <v>2417</v>
      </c>
      <c r="I124" s="133" t="s">
        <v>2417</v>
      </c>
      <c r="J124" s="133" t="s">
        <v>2417</v>
      </c>
      <c r="K124" s="133" t="s">
        <v>2417</v>
      </c>
      <c r="L124" s="133" t="s">
        <v>2417</v>
      </c>
      <c r="M124" s="133" t="s">
        <v>2417</v>
      </c>
      <c r="N124" s="133" t="s">
        <v>2417</v>
      </c>
      <c r="O124" s="133" t="s">
        <v>2417</v>
      </c>
      <c r="P124" s="133" t="s">
        <v>2417</v>
      </c>
      <c r="Q124" s="133" t="s">
        <v>2417</v>
      </c>
      <c r="R124" s="133" t="s">
        <v>2417</v>
      </c>
      <c r="S124" s="133" t="s">
        <v>2417</v>
      </c>
      <c r="T124" s="133" t="s">
        <v>2417</v>
      </c>
      <c r="U124" s="133" t="s">
        <v>2417</v>
      </c>
      <c r="V124" s="133" t="s">
        <v>2417</v>
      </c>
      <c r="W124" s="133" t="s">
        <v>2417</v>
      </c>
      <c r="X124" s="133" t="s">
        <v>2417</v>
      </c>
      <c r="Y124" s="133" t="s">
        <v>2417</v>
      </c>
      <c r="Z124" s="133" t="s">
        <v>2417</v>
      </c>
      <c r="AA124" s="133" t="s">
        <v>2417</v>
      </c>
      <c r="AB124" s="133" t="s">
        <v>2417</v>
      </c>
      <c r="AC124" s="133" t="s">
        <v>2417</v>
      </c>
      <c r="AD124" s="133" t="s">
        <v>2417</v>
      </c>
      <c r="AE124" s="133"/>
    </row>
    <row r="125" spans="1:31" ht="13.2" outlineLevel="2">
      <c r="A125" s="68" t="s">
        <v>809</v>
      </c>
      <c r="B125" s="64" t="s">
        <v>810</v>
      </c>
      <c r="C125" s="387" t="s">
        <v>811</v>
      </c>
      <c r="D125" s="351"/>
      <c r="E125" s="133" t="s">
        <v>2417</v>
      </c>
      <c r="F125" s="133" t="s">
        <v>2417</v>
      </c>
      <c r="G125" s="133" t="s">
        <v>2417</v>
      </c>
      <c r="H125" s="133" t="s">
        <v>2417</v>
      </c>
      <c r="I125" s="133" t="s">
        <v>2417</v>
      </c>
      <c r="J125" s="133" t="s">
        <v>2417</v>
      </c>
      <c r="K125" s="133" t="s">
        <v>2417</v>
      </c>
      <c r="L125" s="133" t="s">
        <v>2417</v>
      </c>
      <c r="M125" s="133" t="s">
        <v>2417</v>
      </c>
      <c r="N125" s="133" t="s">
        <v>2417</v>
      </c>
      <c r="O125" s="133" t="s">
        <v>2417</v>
      </c>
      <c r="P125" s="133" t="s">
        <v>2417</v>
      </c>
      <c r="Q125" s="133" t="s">
        <v>2417</v>
      </c>
      <c r="R125" s="133" t="s">
        <v>2417</v>
      </c>
      <c r="S125" s="133" t="s">
        <v>2417</v>
      </c>
      <c r="T125" s="133" t="s">
        <v>2417</v>
      </c>
      <c r="U125" s="133" t="s">
        <v>2417</v>
      </c>
      <c r="V125" s="133" t="s">
        <v>2417</v>
      </c>
      <c r="W125" s="133" t="s">
        <v>2417</v>
      </c>
      <c r="X125" s="133" t="s">
        <v>2417</v>
      </c>
      <c r="Y125" s="133" t="s">
        <v>2417</v>
      </c>
      <c r="Z125" s="133" t="s">
        <v>2417</v>
      </c>
      <c r="AA125" s="133" t="s">
        <v>2417</v>
      </c>
      <c r="AB125" s="133" t="s">
        <v>2417</v>
      </c>
      <c r="AC125" s="133" t="s">
        <v>2417</v>
      </c>
      <c r="AD125" s="133" t="s">
        <v>2417</v>
      </c>
      <c r="AE125" s="133"/>
    </row>
    <row r="126" spans="1:31" ht="13.2" outlineLevel="2">
      <c r="A126" s="68" t="s">
        <v>812</v>
      </c>
      <c r="B126" s="62" t="s">
        <v>813</v>
      </c>
      <c r="C126" s="387" t="s">
        <v>814</v>
      </c>
      <c r="D126" s="351"/>
      <c r="E126" s="133" t="s">
        <v>2417</v>
      </c>
      <c r="F126" s="133" t="s">
        <v>2417</v>
      </c>
      <c r="G126" s="133" t="s">
        <v>2417</v>
      </c>
      <c r="H126" s="133" t="s">
        <v>2417</v>
      </c>
      <c r="I126" s="133" t="s">
        <v>2417</v>
      </c>
      <c r="J126" s="133" t="s">
        <v>2417</v>
      </c>
      <c r="K126" s="133" t="s">
        <v>2417</v>
      </c>
      <c r="L126" s="133" t="s">
        <v>2417</v>
      </c>
      <c r="M126" s="133" t="s">
        <v>2417</v>
      </c>
      <c r="N126" s="133" t="s">
        <v>2417</v>
      </c>
      <c r="O126" s="133" t="s">
        <v>2417</v>
      </c>
      <c r="P126" s="133" t="s">
        <v>2417</v>
      </c>
      <c r="Q126" s="133" t="s">
        <v>2417</v>
      </c>
      <c r="R126" s="133" t="s">
        <v>2417</v>
      </c>
      <c r="S126" s="133" t="s">
        <v>2417</v>
      </c>
      <c r="T126" s="133" t="s">
        <v>2417</v>
      </c>
      <c r="U126" s="133" t="s">
        <v>2417</v>
      </c>
      <c r="V126" s="133" t="s">
        <v>2417</v>
      </c>
      <c r="W126" s="133" t="s">
        <v>2417</v>
      </c>
      <c r="X126" s="133" t="s">
        <v>2417</v>
      </c>
      <c r="Y126" s="133" t="s">
        <v>2417</v>
      </c>
      <c r="Z126" s="133" t="s">
        <v>2417</v>
      </c>
      <c r="AA126" s="133" t="s">
        <v>2417</v>
      </c>
      <c r="AB126" s="133" t="s">
        <v>2417</v>
      </c>
      <c r="AC126" s="133" t="s">
        <v>2417</v>
      </c>
      <c r="AD126" s="133" t="s">
        <v>2417</v>
      </c>
      <c r="AE126" s="133"/>
    </row>
    <row r="127" spans="1:31" ht="13.2" outlineLevel="2">
      <c r="A127" s="68" t="s">
        <v>815</v>
      </c>
      <c r="B127" s="64" t="s">
        <v>816</v>
      </c>
      <c r="C127" s="360" t="s">
        <v>817</v>
      </c>
      <c r="D127" s="351"/>
      <c r="E127" s="133" t="s">
        <v>2417</v>
      </c>
      <c r="F127" s="133" t="s">
        <v>2417</v>
      </c>
      <c r="G127" s="133" t="s">
        <v>2417</v>
      </c>
      <c r="H127" s="133" t="s">
        <v>2417</v>
      </c>
      <c r="I127" s="133" t="s">
        <v>2417</v>
      </c>
      <c r="J127" s="133" t="s">
        <v>2417</v>
      </c>
      <c r="K127" s="133" t="s">
        <v>2417</v>
      </c>
      <c r="L127" s="133" t="s">
        <v>2417</v>
      </c>
      <c r="M127" s="133" t="s">
        <v>2417</v>
      </c>
      <c r="N127" s="133" t="s">
        <v>2417</v>
      </c>
      <c r="O127" s="133" t="s">
        <v>2417</v>
      </c>
      <c r="P127" s="133" t="s">
        <v>2417</v>
      </c>
      <c r="Q127" s="133" t="s">
        <v>2417</v>
      </c>
      <c r="R127" s="133" t="s">
        <v>2417</v>
      </c>
      <c r="S127" s="133" t="s">
        <v>2417</v>
      </c>
      <c r="T127" s="133" t="s">
        <v>2417</v>
      </c>
      <c r="U127" s="133" t="s">
        <v>2417</v>
      </c>
      <c r="V127" s="133" t="s">
        <v>2417</v>
      </c>
      <c r="W127" s="133" t="s">
        <v>2417</v>
      </c>
      <c r="X127" s="133" t="s">
        <v>2417</v>
      </c>
      <c r="Y127" s="133" t="s">
        <v>2417</v>
      </c>
      <c r="Z127" s="133" t="s">
        <v>2417</v>
      </c>
      <c r="AA127" s="133" t="s">
        <v>2417</v>
      </c>
      <c r="AB127" s="133" t="s">
        <v>2417</v>
      </c>
      <c r="AC127" s="133" t="s">
        <v>2417</v>
      </c>
      <c r="AD127" s="133" t="s">
        <v>2417</v>
      </c>
      <c r="AE127" s="133"/>
    </row>
    <row r="128" spans="1:31" ht="13.2" outlineLevel="2">
      <c r="A128" s="68" t="s">
        <v>818</v>
      </c>
      <c r="B128" s="62" t="s">
        <v>819</v>
      </c>
      <c r="C128" s="387" t="s">
        <v>820</v>
      </c>
      <c r="D128" s="351"/>
      <c r="E128" s="133" t="s">
        <v>2417</v>
      </c>
      <c r="F128" s="133" t="s">
        <v>2417</v>
      </c>
      <c r="G128" s="133" t="s">
        <v>2417</v>
      </c>
      <c r="H128" s="133" t="s">
        <v>2417</v>
      </c>
      <c r="I128" s="133" t="s">
        <v>2417</v>
      </c>
      <c r="J128" s="133" t="s">
        <v>2417</v>
      </c>
      <c r="K128" s="133" t="s">
        <v>2417</v>
      </c>
      <c r="L128" s="133" t="s">
        <v>2417</v>
      </c>
      <c r="M128" s="133" t="s">
        <v>2417</v>
      </c>
      <c r="N128" s="133" t="s">
        <v>2417</v>
      </c>
      <c r="O128" s="133" t="s">
        <v>2417</v>
      </c>
      <c r="P128" s="133" t="s">
        <v>2417</v>
      </c>
      <c r="Q128" s="133" t="s">
        <v>2417</v>
      </c>
      <c r="R128" s="133" t="s">
        <v>2417</v>
      </c>
      <c r="S128" s="133" t="s">
        <v>2417</v>
      </c>
      <c r="T128" s="133" t="s">
        <v>2417</v>
      </c>
      <c r="U128" s="133" t="s">
        <v>2417</v>
      </c>
      <c r="V128" s="133" t="s">
        <v>2417</v>
      </c>
      <c r="W128" s="133" t="s">
        <v>2417</v>
      </c>
      <c r="X128" s="133" t="s">
        <v>2417</v>
      </c>
      <c r="Y128" s="133" t="s">
        <v>2417</v>
      </c>
      <c r="Z128" s="133" t="s">
        <v>2417</v>
      </c>
      <c r="AA128" s="133" t="s">
        <v>2417</v>
      </c>
      <c r="AB128" s="133" t="s">
        <v>2417</v>
      </c>
      <c r="AC128" s="133" t="s">
        <v>2417</v>
      </c>
      <c r="AD128" s="133" t="s">
        <v>2417</v>
      </c>
      <c r="AE128" s="133"/>
    </row>
    <row r="129" spans="1:31" ht="13.2" outlineLevel="1">
      <c r="A129" s="393" t="s">
        <v>821</v>
      </c>
      <c r="B129" s="350"/>
      <c r="C129" s="350"/>
      <c r="D129" s="351"/>
      <c r="E129" s="133" t="s">
        <v>2417</v>
      </c>
      <c r="F129" s="133" t="s">
        <v>2417</v>
      </c>
      <c r="G129" s="133" t="s">
        <v>2417</v>
      </c>
      <c r="H129" s="133" t="s">
        <v>2417</v>
      </c>
      <c r="I129" s="133" t="s">
        <v>2417</v>
      </c>
      <c r="J129" s="133" t="s">
        <v>2417</v>
      </c>
      <c r="K129" s="133" t="s">
        <v>2417</v>
      </c>
      <c r="L129" s="133" t="s">
        <v>2417</v>
      </c>
      <c r="M129" s="133" t="s">
        <v>2417</v>
      </c>
      <c r="N129" s="133" t="s">
        <v>2417</v>
      </c>
      <c r="O129" s="133" t="s">
        <v>2417</v>
      </c>
      <c r="P129" s="133" t="s">
        <v>2417</v>
      </c>
      <c r="Q129" s="133" t="s">
        <v>2417</v>
      </c>
      <c r="R129" s="133" t="s">
        <v>2417</v>
      </c>
      <c r="S129" s="133" t="s">
        <v>2417</v>
      </c>
      <c r="T129" s="133" t="s">
        <v>2417</v>
      </c>
      <c r="U129" s="133" t="s">
        <v>2417</v>
      </c>
      <c r="V129" s="133" t="s">
        <v>2417</v>
      </c>
      <c r="W129" s="133" t="s">
        <v>2417</v>
      </c>
      <c r="X129" s="133" t="s">
        <v>2417</v>
      </c>
      <c r="Y129" s="133" t="s">
        <v>2417</v>
      </c>
      <c r="Z129" s="133" t="s">
        <v>2417</v>
      </c>
      <c r="AA129" s="133" t="s">
        <v>2417</v>
      </c>
      <c r="AB129" s="133" t="s">
        <v>2417</v>
      </c>
      <c r="AC129" s="133" t="s">
        <v>2417</v>
      </c>
      <c r="AD129" s="133" t="s">
        <v>2417</v>
      </c>
      <c r="AE129" s="133"/>
    </row>
    <row r="130" spans="1:31" ht="13.2" outlineLevel="2">
      <c r="A130" s="68" t="s">
        <v>822</v>
      </c>
      <c r="B130" s="62" t="s">
        <v>823</v>
      </c>
      <c r="C130" s="389" t="s">
        <v>824</v>
      </c>
      <c r="D130" s="351"/>
      <c r="E130" s="133" t="s">
        <v>2417</v>
      </c>
      <c r="F130" s="133" t="s">
        <v>2417</v>
      </c>
      <c r="G130" s="133" t="s">
        <v>2417</v>
      </c>
      <c r="H130" s="133" t="s">
        <v>2417</v>
      </c>
      <c r="I130" s="133" t="s">
        <v>2417</v>
      </c>
      <c r="J130" s="133" t="s">
        <v>2417</v>
      </c>
      <c r="K130" s="133" t="s">
        <v>2417</v>
      </c>
      <c r="L130" s="133" t="s">
        <v>2417</v>
      </c>
      <c r="M130" s="133" t="s">
        <v>2417</v>
      </c>
      <c r="N130" s="133" t="s">
        <v>2417</v>
      </c>
      <c r="O130" s="133" t="s">
        <v>2417</v>
      </c>
      <c r="P130" s="133" t="s">
        <v>2417</v>
      </c>
      <c r="Q130" s="133" t="s">
        <v>2417</v>
      </c>
      <c r="R130" s="133" t="s">
        <v>2417</v>
      </c>
      <c r="S130" s="133" t="s">
        <v>2417</v>
      </c>
      <c r="T130" s="133" t="s">
        <v>2417</v>
      </c>
      <c r="U130" s="133" t="s">
        <v>2417</v>
      </c>
      <c r="V130" s="133" t="s">
        <v>2417</v>
      </c>
      <c r="W130" s="133" t="s">
        <v>2417</v>
      </c>
      <c r="X130" s="133" t="s">
        <v>2417</v>
      </c>
      <c r="Y130" s="133" t="s">
        <v>2417</v>
      </c>
      <c r="Z130" s="133" t="s">
        <v>2417</v>
      </c>
      <c r="AA130" s="133" t="s">
        <v>2417</v>
      </c>
      <c r="AB130" s="133" t="s">
        <v>2417</v>
      </c>
      <c r="AC130" s="133" t="s">
        <v>2417</v>
      </c>
      <c r="AD130" s="133" t="s">
        <v>2417</v>
      </c>
      <c r="AE130" s="133"/>
    </row>
    <row r="131" spans="1:31" ht="13.2" outlineLevel="1">
      <c r="A131" s="393" t="s">
        <v>825</v>
      </c>
      <c r="B131" s="350"/>
      <c r="C131" s="350"/>
      <c r="D131" s="351"/>
      <c r="E131" s="133" t="s">
        <v>2417</v>
      </c>
      <c r="F131" s="133" t="s">
        <v>2417</v>
      </c>
      <c r="G131" s="133" t="s">
        <v>2417</v>
      </c>
      <c r="H131" s="133" t="s">
        <v>2417</v>
      </c>
      <c r="I131" s="133" t="s">
        <v>2417</v>
      </c>
      <c r="J131" s="133" t="s">
        <v>2417</v>
      </c>
      <c r="K131" s="133" t="s">
        <v>2417</v>
      </c>
      <c r="L131" s="133" t="s">
        <v>2417</v>
      </c>
      <c r="M131" s="133" t="s">
        <v>2417</v>
      </c>
      <c r="N131" s="133" t="s">
        <v>2417</v>
      </c>
      <c r="O131" s="133" t="s">
        <v>2417</v>
      </c>
      <c r="P131" s="133" t="s">
        <v>2417</v>
      </c>
      <c r="Q131" s="133" t="s">
        <v>2417</v>
      </c>
      <c r="R131" s="133" t="s">
        <v>2417</v>
      </c>
      <c r="S131" s="133" t="s">
        <v>2417</v>
      </c>
      <c r="T131" s="133" t="s">
        <v>2417</v>
      </c>
      <c r="U131" s="133" t="s">
        <v>2417</v>
      </c>
      <c r="V131" s="133" t="s">
        <v>2417</v>
      </c>
      <c r="W131" s="133" t="s">
        <v>2417</v>
      </c>
      <c r="X131" s="133" t="s">
        <v>2417</v>
      </c>
      <c r="Y131" s="133" t="s">
        <v>2417</v>
      </c>
      <c r="Z131" s="133" t="s">
        <v>2417</v>
      </c>
      <c r="AA131" s="133" t="s">
        <v>2417</v>
      </c>
      <c r="AB131" s="133" t="s">
        <v>2417</v>
      </c>
      <c r="AC131" s="133" t="s">
        <v>2417</v>
      </c>
      <c r="AD131" s="133" t="s">
        <v>2417</v>
      </c>
      <c r="AE131" s="133"/>
    </row>
    <row r="132" spans="1:31" ht="20.399999999999999" outlineLevel="2">
      <c r="A132" s="68" t="s">
        <v>826</v>
      </c>
      <c r="B132" s="65" t="s">
        <v>827</v>
      </c>
      <c r="C132" s="360" t="s">
        <v>828</v>
      </c>
      <c r="D132" s="351"/>
      <c r="E132" s="133" t="s">
        <v>2417</v>
      </c>
      <c r="F132" s="133" t="s">
        <v>2417</v>
      </c>
      <c r="G132" s="133" t="s">
        <v>2417</v>
      </c>
      <c r="H132" s="133" t="s">
        <v>2417</v>
      </c>
      <c r="I132" s="133" t="s">
        <v>2417</v>
      </c>
      <c r="J132" s="133" t="s">
        <v>2417</v>
      </c>
      <c r="K132" s="133" t="s">
        <v>2417</v>
      </c>
      <c r="L132" s="133" t="s">
        <v>2417</v>
      </c>
      <c r="M132" s="133" t="s">
        <v>2417</v>
      </c>
      <c r="N132" s="133" t="s">
        <v>2417</v>
      </c>
      <c r="O132" s="133" t="s">
        <v>2417</v>
      </c>
      <c r="P132" s="133" t="s">
        <v>2417</v>
      </c>
      <c r="Q132" s="133" t="s">
        <v>2417</v>
      </c>
      <c r="R132" s="133" t="s">
        <v>2417</v>
      </c>
      <c r="S132" s="133" t="s">
        <v>2417</v>
      </c>
      <c r="T132" s="133" t="s">
        <v>2417</v>
      </c>
      <c r="U132" s="133" t="s">
        <v>2417</v>
      </c>
      <c r="V132" s="133" t="s">
        <v>2417</v>
      </c>
      <c r="W132" s="133" t="s">
        <v>2417</v>
      </c>
      <c r="X132" s="133" t="s">
        <v>2417</v>
      </c>
      <c r="Y132" s="133" t="s">
        <v>2417</v>
      </c>
      <c r="Z132" s="133" t="s">
        <v>2417</v>
      </c>
      <c r="AA132" s="133" t="s">
        <v>2417</v>
      </c>
      <c r="AB132" s="133" t="s">
        <v>2417</v>
      </c>
      <c r="AC132" s="133" t="s">
        <v>2417</v>
      </c>
      <c r="AD132" s="133" t="s">
        <v>2417</v>
      </c>
      <c r="AE132" s="133"/>
    </row>
    <row r="133" spans="1:31" ht="13.2" outlineLevel="2">
      <c r="A133" s="68" t="s">
        <v>829</v>
      </c>
      <c r="B133" s="64" t="s">
        <v>830</v>
      </c>
      <c r="C133" s="360" t="s">
        <v>831</v>
      </c>
      <c r="D133" s="351"/>
      <c r="E133" s="133" t="s">
        <v>2417</v>
      </c>
      <c r="F133" s="133" t="s">
        <v>2417</v>
      </c>
      <c r="G133" s="133" t="s">
        <v>2417</v>
      </c>
      <c r="H133" s="133" t="s">
        <v>2417</v>
      </c>
      <c r="I133" s="133" t="s">
        <v>2417</v>
      </c>
      <c r="J133" s="133" t="s">
        <v>2417</v>
      </c>
      <c r="K133" s="133" t="s">
        <v>2417</v>
      </c>
      <c r="L133" s="133" t="s">
        <v>2417</v>
      </c>
      <c r="M133" s="133" t="s">
        <v>2417</v>
      </c>
      <c r="N133" s="133" t="s">
        <v>2417</v>
      </c>
      <c r="O133" s="133" t="s">
        <v>2417</v>
      </c>
      <c r="P133" s="133" t="s">
        <v>2417</v>
      </c>
      <c r="Q133" s="133" t="s">
        <v>2417</v>
      </c>
      <c r="R133" s="133" t="s">
        <v>2417</v>
      </c>
      <c r="S133" s="133" t="s">
        <v>2417</v>
      </c>
      <c r="T133" s="133" t="s">
        <v>2417</v>
      </c>
      <c r="U133" s="133" t="s">
        <v>2417</v>
      </c>
      <c r="V133" s="133" t="s">
        <v>2417</v>
      </c>
      <c r="W133" s="133" t="s">
        <v>2417</v>
      </c>
      <c r="X133" s="133" t="s">
        <v>2417</v>
      </c>
      <c r="Y133" s="133" t="s">
        <v>2417</v>
      </c>
      <c r="Z133" s="133" t="s">
        <v>2417</v>
      </c>
      <c r="AA133" s="133" t="s">
        <v>2417</v>
      </c>
      <c r="AB133" s="133" t="s">
        <v>2417</v>
      </c>
      <c r="AC133" s="133" t="s">
        <v>2417</v>
      </c>
      <c r="AD133" s="133" t="s">
        <v>2417</v>
      </c>
      <c r="AE133" s="133"/>
    </row>
    <row r="134" spans="1:31" ht="13.2" outlineLevel="2">
      <c r="A134" s="68" t="s">
        <v>832</v>
      </c>
      <c r="B134" s="64" t="s">
        <v>833</v>
      </c>
      <c r="C134" s="360" t="s">
        <v>834</v>
      </c>
      <c r="D134" s="351"/>
      <c r="E134" s="133" t="s">
        <v>2417</v>
      </c>
      <c r="F134" s="133" t="s">
        <v>2417</v>
      </c>
      <c r="G134" s="133" t="s">
        <v>2417</v>
      </c>
      <c r="H134" s="133" t="s">
        <v>2417</v>
      </c>
      <c r="I134" s="133" t="s">
        <v>2417</v>
      </c>
      <c r="J134" s="133" t="s">
        <v>2417</v>
      </c>
      <c r="K134" s="133" t="s">
        <v>2417</v>
      </c>
      <c r="L134" s="133" t="s">
        <v>2417</v>
      </c>
      <c r="M134" s="133" t="s">
        <v>2417</v>
      </c>
      <c r="N134" s="133" t="s">
        <v>2417</v>
      </c>
      <c r="O134" s="133" t="s">
        <v>2417</v>
      </c>
      <c r="P134" s="133" t="s">
        <v>2417</v>
      </c>
      <c r="Q134" s="133" t="s">
        <v>2417</v>
      </c>
      <c r="R134" s="133" t="s">
        <v>2417</v>
      </c>
      <c r="S134" s="133" t="s">
        <v>2417</v>
      </c>
      <c r="T134" s="133" t="s">
        <v>2417</v>
      </c>
      <c r="U134" s="133" t="s">
        <v>2417</v>
      </c>
      <c r="V134" s="133" t="s">
        <v>2417</v>
      </c>
      <c r="W134" s="133" t="s">
        <v>2417</v>
      </c>
      <c r="X134" s="133" t="s">
        <v>2417</v>
      </c>
      <c r="Y134" s="133" t="s">
        <v>2417</v>
      </c>
      <c r="Z134" s="133" t="s">
        <v>2417</v>
      </c>
      <c r="AA134" s="133" t="s">
        <v>2417</v>
      </c>
      <c r="AB134" s="133" t="s">
        <v>2417</v>
      </c>
      <c r="AC134" s="133" t="s">
        <v>2417</v>
      </c>
      <c r="AD134" s="133" t="s">
        <v>2417</v>
      </c>
      <c r="AE134" s="133"/>
    </row>
    <row r="135" spans="1:31" ht="13.2" outlineLevel="2">
      <c r="A135" s="68" t="s">
        <v>835</v>
      </c>
      <c r="B135" s="64" t="s">
        <v>836</v>
      </c>
      <c r="C135" s="360" t="s">
        <v>837</v>
      </c>
      <c r="D135" s="351"/>
      <c r="E135" s="133" t="s">
        <v>2417</v>
      </c>
      <c r="F135" s="133" t="s">
        <v>2417</v>
      </c>
      <c r="G135" s="133" t="s">
        <v>2417</v>
      </c>
      <c r="H135" s="133" t="s">
        <v>2417</v>
      </c>
      <c r="I135" s="133" t="s">
        <v>2417</v>
      </c>
      <c r="J135" s="133" t="s">
        <v>2417</v>
      </c>
      <c r="K135" s="133" t="s">
        <v>2417</v>
      </c>
      <c r="L135" s="133" t="s">
        <v>2417</v>
      </c>
      <c r="M135" s="133" t="s">
        <v>2417</v>
      </c>
      <c r="N135" s="133" t="s">
        <v>2417</v>
      </c>
      <c r="O135" s="133" t="s">
        <v>2417</v>
      </c>
      <c r="P135" s="133" t="s">
        <v>2417</v>
      </c>
      <c r="Q135" s="133" t="s">
        <v>2417</v>
      </c>
      <c r="R135" s="133" t="s">
        <v>2417</v>
      </c>
      <c r="S135" s="133" t="s">
        <v>2417</v>
      </c>
      <c r="T135" s="133" t="s">
        <v>2417</v>
      </c>
      <c r="U135" s="133" t="s">
        <v>2417</v>
      </c>
      <c r="V135" s="133" t="s">
        <v>2417</v>
      </c>
      <c r="W135" s="133" t="s">
        <v>2417</v>
      </c>
      <c r="X135" s="133" t="s">
        <v>2417</v>
      </c>
      <c r="Y135" s="133" t="s">
        <v>2417</v>
      </c>
      <c r="Z135" s="133" t="s">
        <v>2417</v>
      </c>
      <c r="AA135" s="133" t="s">
        <v>2417</v>
      </c>
      <c r="AB135" s="133" t="s">
        <v>2417</v>
      </c>
      <c r="AC135" s="133" t="s">
        <v>2417</v>
      </c>
      <c r="AD135" s="133" t="s">
        <v>2417</v>
      </c>
      <c r="AE135" s="133"/>
    </row>
    <row r="136" spans="1:31" ht="13.2" outlineLevel="2">
      <c r="A136" s="68" t="s">
        <v>838</v>
      </c>
      <c r="B136" s="64" t="s">
        <v>839</v>
      </c>
      <c r="C136" s="360" t="s">
        <v>840</v>
      </c>
      <c r="D136" s="351"/>
      <c r="E136" s="133" t="s">
        <v>2417</v>
      </c>
      <c r="F136" s="133" t="s">
        <v>2417</v>
      </c>
      <c r="G136" s="133" t="s">
        <v>2417</v>
      </c>
      <c r="H136" s="133" t="s">
        <v>2417</v>
      </c>
      <c r="I136" s="133" t="s">
        <v>2417</v>
      </c>
      <c r="J136" s="133" t="s">
        <v>2417</v>
      </c>
      <c r="K136" s="133" t="s">
        <v>2417</v>
      </c>
      <c r="L136" s="133" t="s">
        <v>2417</v>
      </c>
      <c r="M136" s="133" t="s">
        <v>2417</v>
      </c>
      <c r="N136" s="133" t="s">
        <v>2417</v>
      </c>
      <c r="O136" s="133" t="s">
        <v>2417</v>
      </c>
      <c r="P136" s="133" t="s">
        <v>2417</v>
      </c>
      <c r="Q136" s="133" t="s">
        <v>2417</v>
      </c>
      <c r="R136" s="133" t="s">
        <v>2417</v>
      </c>
      <c r="S136" s="133" t="s">
        <v>2417</v>
      </c>
      <c r="T136" s="133" t="s">
        <v>2417</v>
      </c>
      <c r="U136" s="133" t="s">
        <v>2417</v>
      </c>
      <c r="V136" s="133" t="s">
        <v>2417</v>
      </c>
      <c r="W136" s="133" t="s">
        <v>2417</v>
      </c>
      <c r="X136" s="133" t="s">
        <v>2417</v>
      </c>
      <c r="Y136" s="133" t="s">
        <v>2417</v>
      </c>
      <c r="Z136" s="133" t="s">
        <v>2417</v>
      </c>
      <c r="AA136" s="133" t="s">
        <v>2417</v>
      </c>
      <c r="AB136" s="133" t="s">
        <v>2417</v>
      </c>
      <c r="AC136" s="133" t="s">
        <v>2417</v>
      </c>
      <c r="AD136" s="133" t="s">
        <v>2417</v>
      </c>
      <c r="AE136" s="133"/>
    </row>
    <row r="137" spans="1:31" ht="13.2" outlineLevel="2">
      <c r="A137" s="68" t="s">
        <v>841</v>
      </c>
      <c r="B137" s="64" t="s">
        <v>842</v>
      </c>
      <c r="C137" s="360" t="s">
        <v>843</v>
      </c>
      <c r="D137" s="351"/>
      <c r="E137" s="133" t="s">
        <v>2417</v>
      </c>
      <c r="F137" s="133" t="s">
        <v>2417</v>
      </c>
      <c r="G137" s="133" t="s">
        <v>2417</v>
      </c>
      <c r="H137" s="133" t="s">
        <v>2417</v>
      </c>
      <c r="I137" s="133" t="s">
        <v>2417</v>
      </c>
      <c r="J137" s="133" t="s">
        <v>2417</v>
      </c>
      <c r="K137" s="133" t="s">
        <v>2417</v>
      </c>
      <c r="L137" s="133" t="s">
        <v>2417</v>
      </c>
      <c r="M137" s="133" t="s">
        <v>2417</v>
      </c>
      <c r="N137" s="133" t="s">
        <v>2417</v>
      </c>
      <c r="O137" s="133" t="s">
        <v>2417</v>
      </c>
      <c r="P137" s="133" t="s">
        <v>2417</v>
      </c>
      <c r="Q137" s="133" t="s">
        <v>2417</v>
      </c>
      <c r="R137" s="133" t="s">
        <v>2417</v>
      </c>
      <c r="S137" s="133" t="s">
        <v>2417</v>
      </c>
      <c r="T137" s="133" t="s">
        <v>2417</v>
      </c>
      <c r="U137" s="133" t="s">
        <v>2417</v>
      </c>
      <c r="V137" s="133" t="s">
        <v>2417</v>
      </c>
      <c r="W137" s="133" t="s">
        <v>2417</v>
      </c>
      <c r="X137" s="133" t="s">
        <v>2417</v>
      </c>
      <c r="Y137" s="133" t="s">
        <v>2417</v>
      </c>
      <c r="Z137" s="133" t="s">
        <v>2417</v>
      </c>
      <c r="AA137" s="133" t="s">
        <v>2417</v>
      </c>
      <c r="AB137" s="133" t="s">
        <v>2417</v>
      </c>
      <c r="AC137" s="133" t="s">
        <v>2417</v>
      </c>
      <c r="AD137" s="133" t="s">
        <v>2417</v>
      </c>
      <c r="AE137" s="133"/>
    </row>
    <row r="138" spans="1:31" ht="13.2" outlineLevel="2">
      <c r="A138" s="68" t="s">
        <v>844</v>
      </c>
      <c r="B138" s="62" t="s">
        <v>845</v>
      </c>
      <c r="C138" s="360" t="s">
        <v>846</v>
      </c>
      <c r="D138" s="351"/>
      <c r="E138" s="133" t="s">
        <v>2417</v>
      </c>
      <c r="F138" s="133" t="s">
        <v>2417</v>
      </c>
      <c r="G138" s="133" t="s">
        <v>2417</v>
      </c>
      <c r="H138" s="133" t="s">
        <v>2417</v>
      </c>
      <c r="I138" s="133" t="s">
        <v>2417</v>
      </c>
      <c r="J138" s="133" t="s">
        <v>2417</v>
      </c>
      <c r="K138" s="133" t="s">
        <v>2417</v>
      </c>
      <c r="L138" s="133" t="s">
        <v>2417</v>
      </c>
      <c r="M138" s="133" t="s">
        <v>2417</v>
      </c>
      <c r="N138" s="133" t="s">
        <v>2417</v>
      </c>
      <c r="O138" s="133" t="s">
        <v>2417</v>
      </c>
      <c r="P138" s="133" t="s">
        <v>2417</v>
      </c>
      <c r="Q138" s="133" t="s">
        <v>2417</v>
      </c>
      <c r="R138" s="133" t="s">
        <v>2417</v>
      </c>
      <c r="S138" s="133" t="s">
        <v>2417</v>
      </c>
      <c r="T138" s="133" t="s">
        <v>2417</v>
      </c>
      <c r="U138" s="133" t="s">
        <v>2417</v>
      </c>
      <c r="V138" s="133" t="s">
        <v>2417</v>
      </c>
      <c r="W138" s="133" t="s">
        <v>2417</v>
      </c>
      <c r="X138" s="133" t="s">
        <v>2417</v>
      </c>
      <c r="Y138" s="133" t="s">
        <v>2417</v>
      </c>
      <c r="Z138" s="133" t="s">
        <v>2417</v>
      </c>
      <c r="AA138" s="133" t="s">
        <v>2417</v>
      </c>
      <c r="AB138" s="133" t="s">
        <v>2417</v>
      </c>
      <c r="AC138" s="133" t="s">
        <v>2417</v>
      </c>
      <c r="AD138" s="133" t="s">
        <v>2417</v>
      </c>
      <c r="AE138" s="133"/>
    </row>
    <row r="139" spans="1:31" ht="13.2" outlineLevel="2">
      <c r="A139" s="68" t="s">
        <v>847</v>
      </c>
      <c r="B139" s="62" t="s">
        <v>848</v>
      </c>
      <c r="C139" s="360" t="s">
        <v>849</v>
      </c>
      <c r="D139" s="351"/>
      <c r="E139" s="133" t="s">
        <v>2417</v>
      </c>
      <c r="F139" s="133" t="s">
        <v>2417</v>
      </c>
      <c r="G139" s="133" t="s">
        <v>2417</v>
      </c>
      <c r="H139" s="133" t="s">
        <v>2417</v>
      </c>
      <c r="I139" s="133" t="s">
        <v>2417</v>
      </c>
      <c r="J139" s="133" t="s">
        <v>2417</v>
      </c>
      <c r="K139" s="133" t="s">
        <v>2417</v>
      </c>
      <c r="L139" s="133" t="s">
        <v>2417</v>
      </c>
      <c r="M139" s="133" t="s">
        <v>2417</v>
      </c>
      <c r="N139" s="133" t="s">
        <v>2417</v>
      </c>
      <c r="O139" s="133" t="s">
        <v>2417</v>
      </c>
      <c r="P139" s="133" t="s">
        <v>2417</v>
      </c>
      <c r="Q139" s="133" t="s">
        <v>2417</v>
      </c>
      <c r="R139" s="133" t="s">
        <v>2417</v>
      </c>
      <c r="S139" s="133" t="s">
        <v>2417</v>
      </c>
      <c r="T139" s="133" t="s">
        <v>2417</v>
      </c>
      <c r="U139" s="133" t="s">
        <v>2417</v>
      </c>
      <c r="V139" s="133" t="s">
        <v>2417</v>
      </c>
      <c r="W139" s="133" t="s">
        <v>2417</v>
      </c>
      <c r="X139" s="133" t="s">
        <v>2417</v>
      </c>
      <c r="Y139" s="133" t="s">
        <v>2417</v>
      </c>
      <c r="Z139" s="133" t="s">
        <v>2417</v>
      </c>
      <c r="AA139" s="133" t="s">
        <v>2417</v>
      </c>
      <c r="AB139" s="133" t="s">
        <v>2417</v>
      </c>
      <c r="AC139" s="133" t="s">
        <v>2417</v>
      </c>
      <c r="AD139" s="133" t="s">
        <v>2417</v>
      </c>
      <c r="AE139" s="133"/>
    </row>
    <row r="140" spans="1:31" ht="13.2" outlineLevel="2">
      <c r="A140" s="68" t="s">
        <v>850</v>
      </c>
      <c r="B140" s="69" t="s">
        <v>851</v>
      </c>
      <c r="C140" s="360" t="s">
        <v>852</v>
      </c>
      <c r="D140" s="351"/>
      <c r="E140" s="133" t="s">
        <v>2417</v>
      </c>
      <c r="F140" s="133" t="s">
        <v>2417</v>
      </c>
      <c r="G140" s="133" t="s">
        <v>2417</v>
      </c>
      <c r="H140" s="133" t="s">
        <v>2417</v>
      </c>
      <c r="I140" s="133" t="s">
        <v>2417</v>
      </c>
      <c r="J140" s="133" t="s">
        <v>2417</v>
      </c>
      <c r="K140" s="133" t="s">
        <v>2417</v>
      </c>
      <c r="L140" s="133" t="s">
        <v>2417</v>
      </c>
      <c r="M140" s="133" t="s">
        <v>2417</v>
      </c>
      <c r="N140" s="133" t="s">
        <v>2417</v>
      </c>
      <c r="O140" s="133" t="s">
        <v>2417</v>
      </c>
      <c r="P140" s="133" t="s">
        <v>2417</v>
      </c>
      <c r="Q140" s="133" t="s">
        <v>2417</v>
      </c>
      <c r="R140" s="133" t="s">
        <v>2417</v>
      </c>
      <c r="S140" s="133" t="s">
        <v>2417</v>
      </c>
      <c r="T140" s="133" t="s">
        <v>2417</v>
      </c>
      <c r="U140" s="133" t="s">
        <v>2417</v>
      </c>
      <c r="V140" s="133" t="s">
        <v>2417</v>
      </c>
      <c r="W140" s="133" t="s">
        <v>2417</v>
      </c>
      <c r="X140" s="133" t="s">
        <v>2417</v>
      </c>
      <c r="Y140" s="133" t="s">
        <v>2417</v>
      </c>
      <c r="Z140" s="133" t="s">
        <v>2417</v>
      </c>
      <c r="AA140" s="133" t="s">
        <v>2417</v>
      </c>
      <c r="AB140" s="133" t="s">
        <v>2417</v>
      </c>
      <c r="AC140" s="133" t="s">
        <v>2417</v>
      </c>
      <c r="AD140" s="133" t="s">
        <v>2417</v>
      </c>
      <c r="AE140" s="133"/>
    </row>
    <row r="141" spans="1:31" ht="13.2" outlineLevel="2">
      <c r="A141" s="68" t="s">
        <v>853</v>
      </c>
      <c r="B141" s="62" t="s">
        <v>854</v>
      </c>
      <c r="C141" s="360" t="s">
        <v>855</v>
      </c>
      <c r="D141" s="351"/>
      <c r="E141" s="133" t="s">
        <v>2417</v>
      </c>
      <c r="F141" s="133" t="s">
        <v>2417</v>
      </c>
      <c r="G141" s="133" t="s">
        <v>2417</v>
      </c>
      <c r="H141" s="133" t="s">
        <v>2417</v>
      </c>
      <c r="I141" s="133" t="s">
        <v>2417</v>
      </c>
      <c r="J141" s="133" t="s">
        <v>2417</v>
      </c>
      <c r="K141" s="133" t="s">
        <v>2417</v>
      </c>
      <c r="L141" s="133" t="s">
        <v>2417</v>
      </c>
      <c r="M141" s="133" t="s">
        <v>2417</v>
      </c>
      <c r="N141" s="133" t="s">
        <v>2417</v>
      </c>
      <c r="O141" s="133" t="s">
        <v>2417</v>
      </c>
      <c r="P141" s="133" t="s">
        <v>2417</v>
      </c>
      <c r="Q141" s="133" t="s">
        <v>2417</v>
      </c>
      <c r="R141" s="133" t="s">
        <v>2417</v>
      </c>
      <c r="S141" s="133" t="s">
        <v>2417</v>
      </c>
      <c r="T141" s="133" t="s">
        <v>2417</v>
      </c>
      <c r="U141" s="133" t="s">
        <v>2417</v>
      </c>
      <c r="V141" s="133" t="s">
        <v>2417</v>
      </c>
      <c r="W141" s="133" t="s">
        <v>2417</v>
      </c>
      <c r="X141" s="133" t="s">
        <v>2417</v>
      </c>
      <c r="Y141" s="133" t="s">
        <v>2417</v>
      </c>
      <c r="Z141" s="133" t="s">
        <v>2417</v>
      </c>
      <c r="AA141" s="133" t="s">
        <v>2417</v>
      </c>
      <c r="AB141" s="133" t="s">
        <v>2417</v>
      </c>
      <c r="AC141" s="133" t="s">
        <v>2417</v>
      </c>
      <c r="AD141" s="133" t="s">
        <v>2417</v>
      </c>
      <c r="AE141" s="133"/>
    </row>
    <row r="142" spans="1:31" ht="13.2" outlineLevel="2">
      <c r="A142" s="68" t="s">
        <v>856</v>
      </c>
      <c r="B142" s="64" t="s">
        <v>857</v>
      </c>
      <c r="C142" s="360" t="s">
        <v>858</v>
      </c>
      <c r="D142" s="351"/>
      <c r="E142" s="133" t="s">
        <v>2417</v>
      </c>
      <c r="F142" s="133" t="s">
        <v>2417</v>
      </c>
      <c r="G142" s="133" t="s">
        <v>2417</v>
      </c>
      <c r="H142" s="133" t="s">
        <v>2417</v>
      </c>
      <c r="I142" s="133" t="s">
        <v>2417</v>
      </c>
      <c r="J142" s="133" t="s">
        <v>2417</v>
      </c>
      <c r="K142" s="133" t="s">
        <v>2417</v>
      </c>
      <c r="L142" s="133" t="s">
        <v>2417</v>
      </c>
      <c r="M142" s="133" t="s">
        <v>2417</v>
      </c>
      <c r="N142" s="133" t="s">
        <v>2417</v>
      </c>
      <c r="O142" s="133" t="s">
        <v>2417</v>
      </c>
      <c r="P142" s="133" t="s">
        <v>2417</v>
      </c>
      <c r="Q142" s="133" t="s">
        <v>2417</v>
      </c>
      <c r="R142" s="133" t="s">
        <v>2417</v>
      </c>
      <c r="S142" s="133" t="s">
        <v>2417</v>
      </c>
      <c r="T142" s="133" t="s">
        <v>2417</v>
      </c>
      <c r="U142" s="133" t="s">
        <v>2417</v>
      </c>
      <c r="V142" s="133" t="s">
        <v>2417</v>
      </c>
      <c r="W142" s="133" t="s">
        <v>2417</v>
      </c>
      <c r="X142" s="133" t="s">
        <v>2417</v>
      </c>
      <c r="Y142" s="133" t="s">
        <v>2417</v>
      </c>
      <c r="Z142" s="133" t="s">
        <v>2417</v>
      </c>
      <c r="AA142" s="133" t="s">
        <v>2417</v>
      </c>
      <c r="AB142" s="133" t="s">
        <v>2417</v>
      </c>
      <c r="AC142" s="133" t="s">
        <v>2417</v>
      </c>
      <c r="AD142" s="133" t="s">
        <v>2417</v>
      </c>
      <c r="AE142" s="133"/>
    </row>
    <row r="143" spans="1:31" ht="13.2" outlineLevel="2">
      <c r="A143" s="68" t="s">
        <v>859</v>
      </c>
      <c r="B143" s="62" t="s">
        <v>860</v>
      </c>
      <c r="C143" s="360" t="s">
        <v>861</v>
      </c>
      <c r="D143" s="351"/>
      <c r="E143" s="133" t="s">
        <v>2417</v>
      </c>
      <c r="F143" s="133" t="s">
        <v>2417</v>
      </c>
      <c r="G143" s="133" t="s">
        <v>2417</v>
      </c>
      <c r="H143" s="133" t="s">
        <v>2417</v>
      </c>
      <c r="I143" s="133" t="s">
        <v>2417</v>
      </c>
      <c r="J143" s="133" t="s">
        <v>2417</v>
      </c>
      <c r="K143" s="133" t="s">
        <v>2417</v>
      </c>
      <c r="L143" s="133" t="s">
        <v>2417</v>
      </c>
      <c r="M143" s="133" t="s">
        <v>2417</v>
      </c>
      <c r="N143" s="133" t="s">
        <v>2417</v>
      </c>
      <c r="O143" s="133" t="s">
        <v>2417</v>
      </c>
      <c r="P143" s="133" t="s">
        <v>2417</v>
      </c>
      <c r="Q143" s="133" t="s">
        <v>2417</v>
      </c>
      <c r="R143" s="133" t="s">
        <v>2417</v>
      </c>
      <c r="S143" s="133" t="s">
        <v>2417</v>
      </c>
      <c r="T143" s="133" t="s">
        <v>2417</v>
      </c>
      <c r="U143" s="133" t="s">
        <v>2417</v>
      </c>
      <c r="V143" s="133" t="s">
        <v>2417</v>
      </c>
      <c r="W143" s="133" t="s">
        <v>2417</v>
      </c>
      <c r="X143" s="133" t="s">
        <v>2417</v>
      </c>
      <c r="Y143" s="133" t="s">
        <v>2417</v>
      </c>
      <c r="Z143" s="133" t="s">
        <v>2417</v>
      </c>
      <c r="AA143" s="133" t="s">
        <v>2417</v>
      </c>
      <c r="AB143" s="133" t="s">
        <v>2417</v>
      </c>
      <c r="AC143" s="133" t="s">
        <v>2417</v>
      </c>
      <c r="AD143" s="133" t="s">
        <v>2417</v>
      </c>
      <c r="AE143" s="133"/>
    </row>
    <row r="144" spans="1:31" ht="13.2" outlineLevel="2">
      <c r="A144" s="68" t="s">
        <v>862</v>
      </c>
      <c r="B144" s="62" t="s">
        <v>863</v>
      </c>
      <c r="C144" s="360" t="s">
        <v>864</v>
      </c>
      <c r="D144" s="351"/>
      <c r="E144" s="133" t="s">
        <v>2417</v>
      </c>
      <c r="F144" s="133" t="s">
        <v>2417</v>
      </c>
      <c r="G144" s="133" t="s">
        <v>2417</v>
      </c>
      <c r="H144" s="133" t="s">
        <v>2417</v>
      </c>
      <c r="I144" s="133" t="s">
        <v>2417</v>
      </c>
      <c r="J144" s="133" t="s">
        <v>2417</v>
      </c>
      <c r="K144" s="133" t="s">
        <v>2417</v>
      </c>
      <c r="L144" s="133" t="s">
        <v>2417</v>
      </c>
      <c r="M144" s="133" t="s">
        <v>2417</v>
      </c>
      <c r="N144" s="133" t="s">
        <v>2417</v>
      </c>
      <c r="O144" s="133" t="s">
        <v>2417</v>
      </c>
      <c r="P144" s="133" t="s">
        <v>2417</v>
      </c>
      <c r="Q144" s="133" t="s">
        <v>2417</v>
      </c>
      <c r="R144" s="133" t="s">
        <v>2417</v>
      </c>
      <c r="S144" s="133" t="s">
        <v>2417</v>
      </c>
      <c r="T144" s="133" t="s">
        <v>2417</v>
      </c>
      <c r="U144" s="133" t="s">
        <v>2417</v>
      </c>
      <c r="V144" s="133" t="s">
        <v>2417</v>
      </c>
      <c r="W144" s="133" t="s">
        <v>2417</v>
      </c>
      <c r="X144" s="133" t="s">
        <v>2417</v>
      </c>
      <c r="Y144" s="133" t="s">
        <v>2417</v>
      </c>
      <c r="Z144" s="133" t="s">
        <v>2417</v>
      </c>
      <c r="AA144" s="133" t="s">
        <v>2417</v>
      </c>
      <c r="AB144" s="133" t="s">
        <v>2417</v>
      </c>
      <c r="AC144" s="133" t="s">
        <v>2417</v>
      </c>
      <c r="AD144" s="133" t="s">
        <v>2417</v>
      </c>
      <c r="AE144" s="133"/>
    </row>
    <row r="145" spans="1:31" ht="13.2" outlineLevel="2">
      <c r="A145" s="68" t="s">
        <v>865</v>
      </c>
      <c r="B145" s="62" t="s">
        <v>866</v>
      </c>
      <c r="C145" s="360" t="s">
        <v>867</v>
      </c>
      <c r="D145" s="351"/>
      <c r="E145" s="133" t="s">
        <v>2417</v>
      </c>
      <c r="F145" s="133" t="s">
        <v>2417</v>
      </c>
      <c r="G145" s="133" t="s">
        <v>2417</v>
      </c>
      <c r="H145" s="133" t="s">
        <v>2417</v>
      </c>
      <c r="I145" s="133" t="s">
        <v>2417</v>
      </c>
      <c r="J145" s="133" t="s">
        <v>2417</v>
      </c>
      <c r="K145" s="133" t="s">
        <v>2417</v>
      </c>
      <c r="L145" s="133" t="s">
        <v>2417</v>
      </c>
      <c r="M145" s="133" t="s">
        <v>2417</v>
      </c>
      <c r="N145" s="133" t="s">
        <v>2417</v>
      </c>
      <c r="O145" s="133" t="s">
        <v>2417</v>
      </c>
      <c r="P145" s="133" t="s">
        <v>2417</v>
      </c>
      <c r="Q145" s="133" t="s">
        <v>2417</v>
      </c>
      <c r="R145" s="133" t="s">
        <v>2417</v>
      </c>
      <c r="S145" s="133" t="s">
        <v>2417</v>
      </c>
      <c r="T145" s="133" t="s">
        <v>2417</v>
      </c>
      <c r="U145" s="133" t="s">
        <v>2417</v>
      </c>
      <c r="V145" s="133" t="s">
        <v>2417</v>
      </c>
      <c r="W145" s="133" t="s">
        <v>2417</v>
      </c>
      <c r="X145" s="133" t="s">
        <v>2417</v>
      </c>
      <c r="Y145" s="133" t="s">
        <v>2417</v>
      </c>
      <c r="Z145" s="133" t="s">
        <v>2417</v>
      </c>
      <c r="AA145" s="133" t="s">
        <v>2417</v>
      </c>
      <c r="AB145" s="133" t="s">
        <v>2417</v>
      </c>
      <c r="AC145" s="133" t="s">
        <v>2417</v>
      </c>
      <c r="AD145" s="133" t="s">
        <v>2417</v>
      </c>
      <c r="AE145" s="133"/>
    </row>
    <row r="146" spans="1:31" ht="13.2" outlineLevel="2">
      <c r="A146" s="68" t="s">
        <v>868</v>
      </c>
      <c r="B146" s="64" t="s">
        <v>869</v>
      </c>
      <c r="C146" s="360" t="s">
        <v>870</v>
      </c>
      <c r="D146" s="351"/>
      <c r="E146" s="133" t="s">
        <v>2417</v>
      </c>
      <c r="F146" s="133" t="s">
        <v>2417</v>
      </c>
      <c r="G146" s="133" t="s">
        <v>2417</v>
      </c>
      <c r="H146" s="133" t="s">
        <v>2417</v>
      </c>
      <c r="I146" s="133" t="s">
        <v>2417</v>
      </c>
      <c r="J146" s="133" t="s">
        <v>2417</v>
      </c>
      <c r="K146" s="133" t="s">
        <v>2417</v>
      </c>
      <c r="L146" s="133" t="s">
        <v>2417</v>
      </c>
      <c r="M146" s="133" t="s">
        <v>2417</v>
      </c>
      <c r="N146" s="133" t="s">
        <v>2417</v>
      </c>
      <c r="O146" s="133" t="s">
        <v>2417</v>
      </c>
      <c r="P146" s="133" t="s">
        <v>2417</v>
      </c>
      <c r="Q146" s="133" t="s">
        <v>2417</v>
      </c>
      <c r="R146" s="133" t="s">
        <v>2417</v>
      </c>
      <c r="S146" s="133" t="s">
        <v>2417</v>
      </c>
      <c r="T146" s="133" t="s">
        <v>2417</v>
      </c>
      <c r="U146" s="133" t="s">
        <v>2417</v>
      </c>
      <c r="V146" s="133" t="s">
        <v>2417</v>
      </c>
      <c r="W146" s="133" t="s">
        <v>2417</v>
      </c>
      <c r="X146" s="133" t="s">
        <v>2417</v>
      </c>
      <c r="Y146" s="133" t="s">
        <v>2417</v>
      </c>
      <c r="Z146" s="133" t="s">
        <v>2417</v>
      </c>
      <c r="AA146" s="133" t="s">
        <v>2417</v>
      </c>
      <c r="AB146" s="133" t="s">
        <v>2417</v>
      </c>
      <c r="AC146" s="133" t="s">
        <v>2417</v>
      </c>
      <c r="AD146" s="133" t="s">
        <v>2417</v>
      </c>
      <c r="AE146" s="133"/>
    </row>
    <row r="147" spans="1:31" ht="13.2" outlineLevel="2">
      <c r="A147" s="68" t="s">
        <v>871</v>
      </c>
      <c r="B147" s="64" t="s">
        <v>872</v>
      </c>
      <c r="C147" s="360" t="s">
        <v>873</v>
      </c>
      <c r="D147" s="351"/>
      <c r="E147" s="133" t="s">
        <v>2417</v>
      </c>
      <c r="F147" s="133" t="s">
        <v>2417</v>
      </c>
      <c r="G147" s="133" t="s">
        <v>2417</v>
      </c>
      <c r="H147" s="133" t="s">
        <v>2417</v>
      </c>
      <c r="I147" s="133" t="s">
        <v>2417</v>
      </c>
      <c r="J147" s="133" t="s">
        <v>2417</v>
      </c>
      <c r="K147" s="133" t="s">
        <v>2417</v>
      </c>
      <c r="L147" s="133" t="s">
        <v>2417</v>
      </c>
      <c r="M147" s="133" t="s">
        <v>2417</v>
      </c>
      <c r="N147" s="133" t="s">
        <v>2417</v>
      </c>
      <c r="O147" s="133" t="s">
        <v>2417</v>
      </c>
      <c r="P147" s="133" t="s">
        <v>2417</v>
      </c>
      <c r="Q147" s="133" t="s">
        <v>2417</v>
      </c>
      <c r="R147" s="133" t="s">
        <v>2417</v>
      </c>
      <c r="S147" s="133" t="s">
        <v>2417</v>
      </c>
      <c r="T147" s="133" t="s">
        <v>2417</v>
      </c>
      <c r="U147" s="133" t="s">
        <v>2417</v>
      </c>
      <c r="V147" s="133" t="s">
        <v>2417</v>
      </c>
      <c r="W147" s="133" t="s">
        <v>2417</v>
      </c>
      <c r="X147" s="133" t="s">
        <v>2417</v>
      </c>
      <c r="Y147" s="133" t="s">
        <v>2417</v>
      </c>
      <c r="Z147" s="133" t="s">
        <v>2417</v>
      </c>
      <c r="AA147" s="133" t="s">
        <v>2417</v>
      </c>
      <c r="AB147" s="133" t="s">
        <v>2417</v>
      </c>
      <c r="AC147" s="133" t="s">
        <v>2417</v>
      </c>
      <c r="AD147" s="133" t="s">
        <v>2417</v>
      </c>
      <c r="AE147" s="133"/>
    </row>
    <row r="148" spans="1:31" ht="20.399999999999999" outlineLevel="2">
      <c r="A148" s="68" t="s">
        <v>874</v>
      </c>
      <c r="B148" s="62" t="s">
        <v>875</v>
      </c>
      <c r="C148" s="360" t="s">
        <v>876</v>
      </c>
      <c r="D148" s="351"/>
      <c r="E148" s="133" t="s">
        <v>2417</v>
      </c>
      <c r="F148" s="133" t="s">
        <v>2417</v>
      </c>
      <c r="G148" s="133" t="s">
        <v>2417</v>
      </c>
      <c r="H148" s="133" t="s">
        <v>2417</v>
      </c>
      <c r="I148" s="133" t="s">
        <v>2417</v>
      </c>
      <c r="J148" s="133" t="s">
        <v>2417</v>
      </c>
      <c r="K148" s="133" t="s">
        <v>2417</v>
      </c>
      <c r="L148" s="133" t="s">
        <v>2417</v>
      </c>
      <c r="M148" s="133" t="s">
        <v>2417</v>
      </c>
      <c r="N148" s="133" t="s">
        <v>2417</v>
      </c>
      <c r="O148" s="133" t="s">
        <v>2417</v>
      </c>
      <c r="P148" s="133" t="s">
        <v>2417</v>
      </c>
      <c r="Q148" s="133" t="s">
        <v>2417</v>
      </c>
      <c r="R148" s="133" t="s">
        <v>2417</v>
      </c>
      <c r="S148" s="133" t="s">
        <v>2417</v>
      </c>
      <c r="T148" s="133" t="s">
        <v>2417</v>
      </c>
      <c r="U148" s="133" t="s">
        <v>2417</v>
      </c>
      <c r="V148" s="133" t="s">
        <v>2417</v>
      </c>
      <c r="W148" s="133" t="s">
        <v>2417</v>
      </c>
      <c r="X148" s="133" t="s">
        <v>2417</v>
      </c>
      <c r="Y148" s="133" t="s">
        <v>2417</v>
      </c>
      <c r="Z148" s="133" t="s">
        <v>2417</v>
      </c>
      <c r="AA148" s="133" t="s">
        <v>2417</v>
      </c>
      <c r="AB148" s="133" t="s">
        <v>2417</v>
      </c>
      <c r="AC148" s="133" t="s">
        <v>2417</v>
      </c>
      <c r="AD148" s="133" t="s">
        <v>2417</v>
      </c>
      <c r="AE148" s="133"/>
    </row>
    <row r="149" spans="1:31" ht="13.2" outlineLevel="1">
      <c r="A149" s="393" t="s">
        <v>877</v>
      </c>
      <c r="B149" s="350"/>
      <c r="C149" s="350"/>
      <c r="D149" s="351"/>
      <c r="E149" s="133" t="s">
        <v>2417</v>
      </c>
      <c r="F149" s="133" t="s">
        <v>2417</v>
      </c>
      <c r="G149" s="133" t="s">
        <v>2417</v>
      </c>
      <c r="H149" s="133" t="s">
        <v>2417</v>
      </c>
      <c r="I149" s="133" t="s">
        <v>2417</v>
      </c>
      <c r="J149" s="133" t="s">
        <v>2417</v>
      </c>
      <c r="K149" s="133" t="s">
        <v>2417</v>
      </c>
      <c r="L149" s="133" t="s">
        <v>2417</v>
      </c>
      <c r="M149" s="133" t="s">
        <v>2417</v>
      </c>
      <c r="N149" s="133" t="s">
        <v>2417</v>
      </c>
      <c r="O149" s="133" t="s">
        <v>2417</v>
      </c>
      <c r="P149" s="133" t="s">
        <v>2417</v>
      </c>
      <c r="Q149" s="133" t="s">
        <v>2417</v>
      </c>
      <c r="R149" s="133" t="s">
        <v>2417</v>
      </c>
      <c r="S149" s="133" t="s">
        <v>2417</v>
      </c>
      <c r="T149" s="133" t="s">
        <v>2417</v>
      </c>
      <c r="U149" s="133" t="s">
        <v>2417</v>
      </c>
      <c r="V149" s="133" t="s">
        <v>2417</v>
      </c>
      <c r="W149" s="133" t="s">
        <v>2417</v>
      </c>
      <c r="X149" s="133" t="s">
        <v>2417</v>
      </c>
      <c r="Y149" s="133" t="s">
        <v>2417</v>
      </c>
      <c r="Z149" s="133" t="s">
        <v>2417</v>
      </c>
      <c r="AA149" s="133" t="s">
        <v>2417</v>
      </c>
      <c r="AB149" s="133" t="s">
        <v>2417</v>
      </c>
      <c r="AC149" s="133" t="s">
        <v>2417</v>
      </c>
      <c r="AD149" s="133" t="s">
        <v>2417</v>
      </c>
      <c r="AE149" s="133"/>
    </row>
    <row r="150" spans="1:31" ht="13.2" outlineLevel="2">
      <c r="A150" s="68" t="s">
        <v>878</v>
      </c>
      <c r="B150" s="62" t="s">
        <v>879</v>
      </c>
      <c r="C150" s="360" t="s">
        <v>880</v>
      </c>
      <c r="D150" s="351"/>
      <c r="E150" s="133" t="s">
        <v>2417</v>
      </c>
      <c r="F150" s="133" t="s">
        <v>2417</v>
      </c>
      <c r="G150" s="133" t="s">
        <v>2417</v>
      </c>
      <c r="H150" s="133" t="s">
        <v>2417</v>
      </c>
      <c r="I150" s="133" t="s">
        <v>2417</v>
      </c>
      <c r="J150" s="133" t="s">
        <v>2417</v>
      </c>
      <c r="K150" s="133" t="s">
        <v>2417</v>
      </c>
      <c r="L150" s="133" t="s">
        <v>2417</v>
      </c>
      <c r="M150" s="133" t="s">
        <v>2417</v>
      </c>
      <c r="N150" s="133" t="s">
        <v>2417</v>
      </c>
      <c r="O150" s="133" t="s">
        <v>2417</v>
      </c>
      <c r="P150" s="133" t="s">
        <v>2417</v>
      </c>
      <c r="Q150" s="133" t="s">
        <v>2417</v>
      </c>
      <c r="R150" s="133" t="s">
        <v>2417</v>
      </c>
      <c r="S150" s="133" t="s">
        <v>2417</v>
      </c>
      <c r="T150" s="133" t="s">
        <v>2417</v>
      </c>
      <c r="U150" s="133" t="s">
        <v>2417</v>
      </c>
      <c r="V150" s="133" t="s">
        <v>2417</v>
      </c>
      <c r="W150" s="133" t="s">
        <v>2417</v>
      </c>
      <c r="X150" s="133" t="s">
        <v>2417</v>
      </c>
      <c r="Y150" s="133" t="s">
        <v>2417</v>
      </c>
      <c r="Z150" s="133" t="s">
        <v>2417</v>
      </c>
      <c r="AA150" s="133" t="s">
        <v>2417</v>
      </c>
      <c r="AB150" s="133" t="s">
        <v>2417</v>
      </c>
      <c r="AC150" s="133" t="s">
        <v>2417</v>
      </c>
      <c r="AD150" s="133" t="s">
        <v>2417</v>
      </c>
      <c r="AE150" s="133"/>
    </row>
    <row r="151" spans="1:31" ht="13.2" outlineLevel="2">
      <c r="A151" s="68" t="s">
        <v>881</v>
      </c>
      <c r="B151" s="70" t="s">
        <v>882</v>
      </c>
      <c r="C151" s="360" t="s">
        <v>883</v>
      </c>
      <c r="D151" s="351"/>
      <c r="E151" s="133" t="s">
        <v>2417</v>
      </c>
      <c r="F151" s="133" t="s">
        <v>2417</v>
      </c>
      <c r="G151" s="133" t="s">
        <v>2417</v>
      </c>
      <c r="H151" s="133" t="s">
        <v>2417</v>
      </c>
      <c r="I151" s="133" t="s">
        <v>2417</v>
      </c>
      <c r="J151" s="133" t="s">
        <v>2417</v>
      </c>
      <c r="K151" s="133" t="s">
        <v>2417</v>
      </c>
      <c r="L151" s="133" t="s">
        <v>2417</v>
      </c>
      <c r="M151" s="133" t="s">
        <v>2417</v>
      </c>
      <c r="N151" s="133" t="s">
        <v>2417</v>
      </c>
      <c r="O151" s="133" t="s">
        <v>2417</v>
      </c>
      <c r="P151" s="133" t="s">
        <v>2417</v>
      </c>
      <c r="Q151" s="133" t="s">
        <v>2417</v>
      </c>
      <c r="R151" s="133" t="s">
        <v>2417</v>
      </c>
      <c r="S151" s="133" t="s">
        <v>2417</v>
      </c>
      <c r="T151" s="133" t="s">
        <v>2417</v>
      </c>
      <c r="U151" s="133" t="s">
        <v>2417</v>
      </c>
      <c r="V151" s="133" t="s">
        <v>2417</v>
      </c>
      <c r="W151" s="133" t="s">
        <v>2417</v>
      </c>
      <c r="X151" s="133" t="s">
        <v>2417</v>
      </c>
      <c r="Y151" s="133" t="s">
        <v>2417</v>
      </c>
      <c r="Z151" s="133" t="s">
        <v>2417</v>
      </c>
      <c r="AA151" s="133" t="s">
        <v>2417</v>
      </c>
      <c r="AB151" s="133" t="s">
        <v>2417</v>
      </c>
      <c r="AC151" s="133" t="s">
        <v>2417</v>
      </c>
      <c r="AD151" s="133" t="s">
        <v>2417</v>
      </c>
      <c r="AE151" s="133"/>
    </row>
    <row r="152" spans="1:31" ht="13.2" outlineLevel="2">
      <c r="A152" s="68" t="s">
        <v>884</v>
      </c>
      <c r="B152" s="64" t="s">
        <v>885</v>
      </c>
      <c r="C152" s="360" t="s">
        <v>886</v>
      </c>
      <c r="D152" s="351"/>
      <c r="E152" s="133" t="s">
        <v>2417</v>
      </c>
      <c r="F152" s="133" t="s">
        <v>2417</v>
      </c>
      <c r="G152" s="133" t="s">
        <v>2417</v>
      </c>
      <c r="H152" s="133" t="s">
        <v>2417</v>
      </c>
      <c r="I152" s="133" t="s">
        <v>2417</v>
      </c>
      <c r="J152" s="133" t="s">
        <v>2417</v>
      </c>
      <c r="K152" s="133" t="s">
        <v>2417</v>
      </c>
      <c r="L152" s="133" t="s">
        <v>2417</v>
      </c>
      <c r="M152" s="133" t="s">
        <v>2417</v>
      </c>
      <c r="N152" s="133" t="s">
        <v>2417</v>
      </c>
      <c r="O152" s="133" t="s">
        <v>2417</v>
      </c>
      <c r="P152" s="133" t="s">
        <v>2417</v>
      </c>
      <c r="Q152" s="133" t="s">
        <v>2417</v>
      </c>
      <c r="R152" s="133" t="s">
        <v>2417</v>
      </c>
      <c r="S152" s="133" t="s">
        <v>2417</v>
      </c>
      <c r="T152" s="133" t="s">
        <v>2417</v>
      </c>
      <c r="U152" s="133" t="s">
        <v>2417</v>
      </c>
      <c r="V152" s="133" t="s">
        <v>2417</v>
      </c>
      <c r="W152" s="133" t="s">
        <v>2417</v>
      </c>
      <c r="X152" s="133" t="s">
        <v>2417</v>
      </c>
      <c r="Y152" s="133" t="s">
        <v>2417</v>
      </c>
      <c r="Z152" s="133" t="s">
        <v>2417</v>
      </c>
      <c r="AA152" s="133" t="s">
        <v>2417</v>
      </c>
      <c r="AB152" s="133" t="s">
        <v>2417</v>
      </c>
      <c r="AC152" s="133" t="s">
        <v>2417</v>
      </c>
      <c r="AD152" s="133" t="s">
        <v>2417</v>
      </c>
      <c r="AE152" s="133"/>
    </row>
    <row r="153" spans="1:31" ht="13.2" outlineLevel="2">
      <c r="A153" s="68" t="s">
        <v>887</v>
      </c>
      <c r="B153" s="69" t="s">
        <v>888</v>
      </c>
      <c r="C153" s="360" t="s">
        <v>889</v>
      </c>
      <c r="D153" s="351"/>
      <c r="E153" s="133" t="s">
        <v>2417</v>
      </c>
      <c r="F153" s="133" t="s">
        <v>2417</v>
      </c>
      <c r="G153" s="133" t="s">
        <v>2417</v>
      </c>
      <c r="H153" s="133" t="s">
        <v>2417</v>
      </c>
      <c r="I153" s="133" t="s">
        <v>2417</v>
      </c>
      <c r="J153" s="133" t="s">
        <v>2417</v>
      </c>
      <c r="K153" s="133" t="s">
        <v>2417</v>
      </c>
      <c r="L153" s="133" t="s">
        <v>2417</v>
      </c>
      <c r="M153" s="133" t="s">
        <v>2417</v>
      </c>
      <c r="N153" s="133" t="s">
        <v>2417</v>
      </c>
      <c r="O153" s="133" t="s">
        <v>2417</v>
      </c>
      <c r="P153" s="133" t="s">
        <v>2417</v>
      </c>
      <c r="Q153" s="133" t="s">
        <v>2417</v>
      </c>
      <c r="R153" s="133" t="s">
        <v>2417</v>
      </c>
      <c r="S153" s="133" t="s">
        <v>2417</v>
      </c>
      <c r="T153" s="133" t="s">
        <v>2417</v>
      </c>
      <c r="U153" s="133" t="s">
        <v>2417</v>
      </c>
      <c r="V153" s="133" t="s">
        <v>2417</v>
      </c>
      <c r="W153" s="133" t="s">
        <v>2417</v>
      </c>
      <c r="X153" s="133" t="s">
        <v>2417</v>
      </c>
      <c r="Y153" s="133" t="s">
        <v>2417</v>
      </c>
      <c r="Z153" s="133" t="s">
        <v>2417</v>
      </c>
      <c r="AA153" s="133" t="s">
        <v>2417</v>
      </c>
      <c r="AB153" s="133" t="s">
        <v>2417</v>
      </c>
      <c r="AC153" s="133" t="s">
        <v>2417</v>
      </c>
      <c r="AD153" s="133" t="s">
        <v>2417</v>
      </c>
      <c r="AE153" s="133"/>
    </row>
    <row r="154" spans="1:31" ht="13.2" outlineLevel="2">
      <c r="A154" s="68" t="s">
        <v>890</v>
      </c>
      <c r="B154" s="69" t="s">
        <v>891</v>
      </c>
      <c r="C154" s="360" t="s">
        <v>892</v>
      </c>
      <c r="D154" s="351"/>
      <c r="E154" s="133" t="s">
        <v>2417</v>
      </c>
      <c r="F154" s="133" t="s">
        <v>2417</v>
      </c>
      <c r="G154" s="133" t="s">
        <v>2417</v>
      </c>
      <c r="H154" s="133" t="s">
        <v>2417</v>
      </c>
      <c r="I154" s="133" t="s">
        <v>2417</v>
      </c>
      <c r="J154" s="133" t="s">
        <v>2417</v>
      </c>
      <c r="K154" s="133" t="s">
        <v>2417</v>
      </c>
      <c r="L154" s="133" t="s">
        <v>2417</v>
      </c>
      <c r="M154" s="133" t="s">
        <v>2417</v>
      </c>
      <c r="N154" s="133" t="s">
        <v>2417</v>
      </c>
      <c r="O154" s="133" t="s">
        <v>2417</v>
      </c>
      <c r="P154" s="133" t="s">
        <v>2417</v>
      </c>
      <c r="Q154" s="133" t="s">
        <v>2417</v>
      </c>
      <c r="R154" s="133" t="s">
        <v>2417</v>
      </c>
      <c r="S154" s="133" t="s">
        <v>2417</v>
      </c>
      <c r="T154" s="133" t="s">
        <v>2417</v>
      </c>
      <c r="U154" s="133" t="s">
        <v>2417</v>
      </c>
      <c r="V154" s="133" t="s">
        <v>2417</v>
      </c>
      <c r="W154" s="133" t="s">
        <v>2417</v>
      </c>
      <c r="X154" s="133" t="s">
        <v>2417</v>
      </c>
      <c r="Y154" s="133" t="s">
        <v>2417</v>
      </c>
      <c r="Z154" s="133" t="s">
        <v>2417</v>
      </c>
      <c r="AA154" s="133" t="s">
        <v>2417</v>
      </c>
      <c r="AB154" s="133" t="s">
        <v>2417</v>
      </c>
      <c r="AC154" s="133" t="s">
        <v>2417</v>
      </c>
      <c r="AD154" s="133" t="s">
        <v>2417</v>
      </c>
      <c r="AE154" s="133"/>
    </row>
    <row r="155" spans="1:31" ht="13.2" outlineLevel="2">
      <c r="A155" s="68" t="s">
        <v>893</v>
      </c>
      <c r="B155" s="62" t="s">
        <v>894</v>
      </c>
      <c r="C155" s="360" t="s">
        <v>2453</v>
      </c>
      <c r="D155" s="351"/>
      <c r="E155" s="133" t="s">
        <v>2417</v>
      </c>
      <c r="F155" s="133" t="s">
        <v>2417</v>
      </c>
      <c r="G155" s="133" t="s">
        <v>2417</v>
      </c>
      <c r="H155" s="133" t="s">
        <v>2417</v>
      </c>
      <c r="I155" s="133" t="s">
        <v>2417</v>
      </c>
      <c r="J155" s="133" t="s">
        <v>2417</v>
      </c>
      <c r="K155" s="133" t="s">
        <v>2417</v>
      </c>
      <c r="L155" s="133" t="s">
        <v>2417</v>
      </c>
      <c r="M155" s="133" t="s">
        <v>2417</v>
      </c>
      <c r="N155" s="133" t="s">
        <v>2417</v>
      </c>
      <c r="O155" s="133" t="s">
        <v>2417</v>
      </c>
      <c r="P155" s="133" t="s">
        <v>2417</v>
      </c>
      <c r="Q155" s="133" t="s">
        <v>2417</v>
      </c>
      <c r="R155" s="133" t="s">
        <v>2417</v>
      </c>
      <c r="S155" s="133" t="s">
        <v>2417</v>
      </c>
      <c r="T155" s="133" t="s">
        <v>2417</v>
      </c>
      <c r="U155" s="133" t="s">
        <v>2417</v>
      </c>
      <c r="V155" s="133" t="s">
        <v>2417</v>
      </c>
      <c r="W155" s="133" t="s">
        <v>2417</v>
      </c>
      <c r="X155" s="133" t="s">
        <v>2417</v>
      </c>
      <c r="Y155" s="133" t="s">
        <v>2417</v>
      </c>
      <c r="Z155" s="133" t="s">
        <v>2417</v>
      </c>
      <c r="AA155" s="133" t="s">
        <v>2417</v>
      </c>
      <c r="AB155" s="133" t="s">
        <v>2417</v>
      </c>
      <c r="AC155" s="133" t="s">
        <v>2417</v>
      </c>
      <c r="AD155" s="133" t="s">
        <v>2417</v>
      </c>
      <c r="AE155" s="133"/>
    </row>
    <row r="156" spans="1:31" ht="20.399999999999999" outlineLevel="2">
      <c r="A156" s="68" t="s">
        <v>896</v>
      </c>
      <c r="B156" s="62" t="s">
        <v>897</v>
      </c>
      <c r="C156" s="360" t="s">
        <v>898</v>
      </c>
      <c r="D156" s="351"/>
      <c r="E156" s="133" t="s">
        <v>2417</v>
      </c>
      <c r="F156" s="133" t="s">
        <v>2417</v>
      </c>
      <c r="G156" s="133" t="s">
        <v>2417</v>
      </c>
      <c r="H156" s="133" t="s">
        <v>2417</v>
      </c>
      <c r="I156" s="133" t="s">
        <v>2417</v>
      </c>
      <c r="J156" s="133" t="s">
        <v>2417</v>
      </c>
      <c r="K156" s="133" t="s">
        <v>2417</v>
      </c>
      <c r="L156" s="133" t="s">
        <v>2417</v>
      </c>
      <c r="M156" s="133" t="s">
        <v>2417</v>
      </c>
      <c r="N156" s="133" t="s">
        <v>2417</v>
      </c>
      <c r="O156" s="133" t="s">
        <v>2417</v>
      </c>
      <c r="P156" s="133" t="s">
        <v>2417</v>
      </c>
      <c r="Q156" s="133" t="s">
        <v>2417</v>
      </c>
      <c r="R156" s="133" t="s">
        <v>2417</v>
      </c>
      <c r="S156" s="133" t="s">
        <v>2417</v>
      </c>
      <c r="T156" s="133" t="s">
        <v>2417</v>
      </c>
      <c r="U156" s="133" t="s">
        <v>2417</v>
      </c>
      <c r="V156" s="133" t="s">
        <v>2417</v>
      </c>
      <c r="W156" s="133" t="s">
        <v>2417</v>
      </c>
      <c r="X156" s="133" t="s">
        <v>2417</v>
      </c>
      <c r="Y156" s="133" t="s">
        <v>2417</v>
      </c>
      <c r="Z156" s="133" t="s">
        <v>2417</v>
      </c>
      <c r="AA156" s="133" t="s">
        <v>2417</v>
      </c>
      <c r="AB156" s="133" t="s">
        <v>2417</v>
      </c>
      <c r="AC156" s="133" t="s">
        <v>2417</v>
      </c>
      <c r="AD156" s="133" t="s">
        <v>2417</v>
      </c>
      <c r="AE156" s="133"/>
    </row>
    <row r="157" spans="1:31" ht="13.2" outlineLevel="2">
      <c r="A157" s="68" t="s">
        <v>899</v>
      </c>
      <c r="B157" s="62" t="s">
        <v>900</v>
      </c>
      <c r="C157" s="360" t="s">
        <v>901</v>
      </c>
      <c r="D157" s="351"/>
      <c r="E157" s="133" t="s">
        <v>2417</v>
      </c>
      <c r="F157" s="133" t="s">
        <v>2417</v>
      </c>
      <c r="G157" s="133" t="s">
        <v>2417</v>
      </c>
      <c r="H157" s="133" t="s">
        <v>2417</v>
      </c>
      <c r="I157" s="133" t="s">
        <v>2417</v>
      </c>
      <c r="J157" s="133" t="s">
        <v>2417</v>
      </c>
      <c r="K157" s="133" t="s">
        <v>2417</v>
      </c>
      <c r="L157" s="133" t="s">
        <v>2417</v>
      </c>
      <c r="M157" s="133" t="s">
        <v>2417</v>
      </c>
      <c r="N157" s="133" t="s">
        <v>2417</v>
      </c>
      <c r="O157" s="133" t="s">
        <v>2417</v>
      </c>
      <c r="P157" s="133" t="s">
        <v>2417</v>
      </c>
      <c r="Q157" s="133" t="s">
        <v>2417</v>
      </c>
      <c r="R157" s="133" t="s">
        <v>2417</v>
      </c>
      <c r="S157" s="133" t="s">
        <v>2417</v>
      </c>
      <c r="T157" s="133" t="s">
        <v>2417</v>
      </c>
      <c r="U157" s="133" t="s">
        <v>2417</v>
      </c>
      <c r="V157" s="133" t="s">
        <v>2417</v>
      </c>
      <c r="W157" s="133" t="s">
        <v>2417</v>
      </c>
      <c r="X157" s="133" t="s">
        <v>2417</v>
      </c>
      <c r="Y157" s="133" t="s">
        <v>2417</v>
      </c>
      <c r="Z157" s="133" t="s">
        <v>2417</v>
      </c>
      <c r="AA157" s="133" t="s">
        <v>2417</v>
      </c>
      <c r="AB157" s="133" t="s">
        <v>2417</v>
      </c>
      <c r="AC157" s="133" t="s">
        <v>2417</v>
      </c>
      <c r="AD157" s="133" t="s">
        <v>2417</v>
      </c>
      <c r="AE157" s="133"/>
    </row>
    <row r="158" spans="1:31" ht="13.2" outlineLevel="2">
      <c r="A158" s="68" t="s">
        <v>902</v>
      </c>
      <c r="B158" s="62" t="s">
        <v>903</v>
      </c>
      <c r="C158" s="360" t="s">
        <v>904</v>
      </c>
      <c r="D158" s="351"/>
      <c r="E158" s="133" t="s">
        <v>2417</v>
      </c>
      <c r="F158" s="133" t="s">
        <v>2417</v>
      </c>
      <c r="G158" s="133" t="s">
        <v>2417</v>
      </c>
      <c r="H158" s="133" t="s">
        <v>2417</v>
      </c>
      <c r="I158" s="133" t="s">
        <v>2417</v>
      </c>
      <c r="J158" s="133" t="s">
        <v>2417</v>
      </c>
      <c r="K158" s="133" t="s">
        <v>2417</v>
      </c>
      <c r="L158" s="133" t="s">
        <v>2417</v>
      </c>
      <c r="M158" s="133" t="s">
        <v>2417</v>
      </c>
      <c r="N158" s="133" t="s">
        <v>2417</v>
      </c>
      <c r="O158" s="133" t="s">
        <v>2417</v>
      </c>
      <c r="P158" s="133" t="s">
        <v>2417</v>
      </c>
      <c r="Q158" s="133" t="s">
        <v>2417</v>
      </c>
      <c r="R158" s="133" t="s">
        <v>2417</v>
      </c>
      <c r="S158" s="133" t="s">
        <v>2417</v>
      </c>
      <c r="T158" s="133" t="s">
        <v>2417</v>
      </c>
      <c r="U158" s="133" t="s">
        <v>2417</v>
      </c>
      <c r="V158" s="133" t="s">
        <v>2417</v>
      </c>
      <c r="W158" s="133" t="s">
        <v>2417</v>
      </c>
      <c r="X158" s="133" t="s">
        <v>2417</v>
      </c>
      <c r="Y158" s="133" t="s">
        <v>2417</v>
      </c>
      <c r="Z158" s="133" t="s">
        <v>2417</v>
      </c>
      <c r="AA158" s="133" t="s">
        <v>2417</v>
      </c>
      <c r="AB158" s="133" t="s">
        <v>2417</v>
      </c>
      <c r="AC158" s="133" t="s">
        <v>2417</v>
      </c>
      <c r="AD158" s="133" t="s">
        <v>2417</v>
      </c>
      <c r="AE158" s="133"/>
    </row>
    <row r="159" spans="1:31" ht="13.2" outlineLevel="2">
      <c r="A159" s="68" t="s">
        <v>905</v>
      </c>
      <c r="B159" s="62" t="s">
        <v>906</v>
      </c>
      <c r="C159" s="389" t="s">
        <v>907</v>
      </c>
      <c r="D159" s="351"/>
      <c r="E159" s="133" t="s">
        <v>2417</v>
      </c>
      <c r="F159" s="133" t="s">
        <v>2417</v>
      </c>
      <c r="G159" s="133" t="s">
        <v>2417</v>
      </c>
      <c r="H159" s="133" t="s">
        <v>2417</v>
      </c>
      <c r="I159" s="133" t="s">
        <v>2417</v>
      </c>
      <c r="J159" s="133" t="s">
        <v>2417</v>
      </c>
      <c r="K159" s="133" t="s">
        <v>2417</v>
      </c>
      <c r="L159" s="133" t="s">
        <v>2417</v>
      </c>
      <c r="M159" s="133" t="s">
        <v>2417</v>
      </c>
      <c r="N159" s="133" t="s">
        <v>2417</v>
      </c>
      <c r="O159" s="133" t="s">
        <v>2417</v>
      </c>
      <c r="P159" s="133" t="s">
        <v>2417</v>
      </c>
      <c r="Q159" s="133" t="s">
        <v>2417</v>
      </c>
      <c r="R159" s="133" t="s">
        <v>2417</v>
      </c>
      <c r="S159" s="133" t="s">
        <v>2417</v>
      </c>
      <c r="T159" s="133" t="s">
        <v>2417</v>
      </c>
      <c r="U159" s="133" t="s">
        <v>2417</v>
      </c>
      <c r="V159" s="133" t="s">
        <v>2417</v>
      </c>
      <c r="W159" s="133" t="s">
        <v>2417</v>
      </c>
      <c r="X159" s="133" t="s">
        <v>2417</v>
      </c>
      <c r="Y159" s="133" t="s">
        <v>2417</v>
      </c>
      <c r="Z159" s="133" t="s">
        <v>2417</v>
      </c>
      <c r="AA159" s="133" t="s">
        <v>2417</v>
      </c>
      <c r="AB159" s="133" t="s">
        <v>2417</v>
      </c>
      <c r="AC159" s="133" t="s">
        <v>2417</v>
      </c>
      <c r="AD159" s="133" t="s">
        <v>2417</v>
      </c>
      <c r="AE159" s="133"/>
    </row>
    <row r="160" spans="1:31" ht="13.2" outlineLevel="2">
      <c r="A160" s="68" t="s">
        <v>908</v>
      </c>
      <c r="B160" s="62" t="s">
        <v>909</v>
      </c>
      <c r="C160" s="389" t="s">
        <v>910</v>
      </c>
      <c r="D160" s="351"/>
      <c r="E160" s="133" t="s">
        <v>2417</v>
      </c>
      <c r="F160" s="133" t="s">
        <v>2417</v>
      </c>
      <c r="G160" s="133" t="s">
        <v>2417</v>
      </c>
      <c r="H160" s="133" t="s">
        <v>2417</v>
      </c>
      <c r="I160" s="133" t="s">
        <v>2417</v>
      </c>
      <c r="J160" s="133" t="s">
        <v>2417</v>
      </c>
      <c r="K160" s="133" t="s">
        <v>2417</v>
      </c>
      <c r="L160" s="133" t="s">
        <v>2417</v>
      </c>
      <c r="M160" s="133" t="s">
        <v>2417</v>
      </c>
      <c r="N160" s="133" t="s">
        <v>2417</v>
      </c>
      <c r="O160" s="133" t="s">
        <v>2417</v>
      </c>
      <c r="P160" s="133" t="s">
        <v>2417</v>
      </c>
      <c r="Q160" s="133" t="s">
        <v>2417</v>
      </c>
      <c r="R160" s="133" t="s">
        <v>2417</v>
      </c>
      <c r="S160" s="133" t="s">
        <v>2417</v>
      </c>
      <c r="T160" s="133" t="s">
        <v>2417</v>
      </c>
      <c r="U160" s="133" t="s">
        <v>2417</v>
      </c>
      <c r="V160" s="133" t="s">
        <v>2417</v>
      </c>
      <c r="W160" s="133" t="s">
        <v>2417</v>
      </c>
      <c r="X160" s="133" t="s">
        <v>2417</v>
      </c>
      <c r="Y160" s="133" t="s">
        <v>2417</v>
      </c>
      <c r="Z160" s="133" t="s">
        <v>2417</v>
      </c>
      <c r="AA160" s="133" t="s">
        <v>2417</v>
      </c>
      <c r="AB160" s="133" t="s">
        <v>2417</v>
      </c>
      <c r="AC160" s="133" t="s">
        <v>2417</v>
      </c>
      <c r="AD160" s="133" t="s">
        <v>2417</v>
      </c>
      <c r="AE160" s="133"/>
    </row>
    <row r="161" spans="1:31" ht="21" outlineLevel="2">
      <c r="A161" s="68" t="s">
        <v>911</v>
      </c>
      <c r="B161" s="63" t="s">
        <v>912</v>
      </c>
      <c r="C161" s="389" t="s">
        <v>913</v>
      </c>
      <c r="D161" s="351"/>
      <c r="E161" s="132" t="s">
        <v>2417</v>
      </c>
      <c r="F161" s="132" t="s">
        <v>2417</v>
      </c>
      <c r="G161" s="132" t="s">
        <v>2417</v>
      </c>
      <c r="H161" s="133" t="s">
        <v>2440</v>
      </c>
      <c r="I161" s="132" t="s">
        <v>2417</v>
      </c>
      <c r="J161" s="132" t="s">
        <v>2417</v>
      </c>
      <c r="K161" s="132" t="s">
        <v>2417</v>
      </c>
      <c r="L161" s="132" t="s">
        <v>2417</v>
      </c>
      <c r="M161" s="132" t="s">
        <v>2417</v>
      </c>
      <c r="N161" s="132" t="s">
        <v>2417</v>
      </c>
      <c r="O161" s="132" t="s">
        <v>2417</v>
      </c>
      <c r="P161" s="132" t="s">
        <v>2417</v>
      </c>
      <c r="Q161" s="132" t="s">
        <v>2417</v>
      </c>
      <c r="R161" s="132" t="s">
        <v>2417</v>
      </c>
      <c r="S161" s="132" t="s">
        <v>2417</v>
      </c>
      <c r="T161" s="132" t="s">
        <v>2417</v>
      </c>
      <c r="U161" s="132" t="s">
        <v>2417</v>
      </c>
      <c r="V161" s="132" t="s">
        <v>2417</v>
      </c>
      <c r="W161" s="132" t="s">
        <v>2417</v>
      </c>
      <c r="X161" s="132" t="s">
        <v>2417</v>
      </c>
      <c r="Y161" s="132" t="s">
        <v>2417</v>
      </c>
      <c r="Z161" s="132" t="s">
        <v>2417</v>
      </c>
      <c r="AA161" s="132" t="s">
        <v>2417</v>
      </c>
      <c r="AB161" s="132" t="s">
        <v>2417</v>
      </c>
      <c r="AC161" s="132" t="s">
        <v>2417</v>
      </c>
      <c r="AD161" s="132" t="s">
        <v>2417</v>
      </c>
      <c r="AE161" s="138"/>
    </row>
    <row r="162" spans="1:31" ht="21" outlineLevel="2">
      <c r="A162" s="68" t="s">
        <v>914</v>
      </c>
      <c r="B162" s="63" t="s">
        <v>915</v>
      </c>
      <c r="C162" s="389" t="s">
        <v>916</v>
      </c>
      <c r="D162" s="351"/>
      <c r="E162" s="132" t="s">
        <v>2417</v>
      </c>
      <c r="F162" s="132" t="s">
        <v>2417</v>
      </c>
      <c r="G162" s="132" t="s">
        <v>2417</v>
      </c>
      <c r="H162" s="133" t="s">
        <v>2440</v>
      </c>
      <c r="I162" s="132" t="s">
        <v>2417</v>
      </c>
      <c r="J162" s="132" t="s">
        <v>2417</v>
      </c>
      <c r="K162" s="132" t="s">
        <v>2417</v>
      </c>
      <c r="L162" s="132" t="s">
        <v>2417</v>
      </c>
      <c r="M162" s="132" t="s">
        <v>2417</v>
      </c>
      <c r="N162" s="132" t="s">
        <v>2417</v>
      </c>
      <c r="O162" s="132" t="s">
        <v>2417</v>
      </c>
      <c r="P162" s="132" t="s">
        <v>2417</v>
      </c>
      <c r="Q162" s="132" t="s">
        <v>2417</v>
      </c>
      <c r="R162" s="132" t="s">
        <v>2417</v>
      </c>
      <c r="S162" s="132" t="s">
        <v>2417</v>
      </c>
      <c r="T162" s="132" t="s">
        <v>2417</v>
      </c>
      <c r="U162" s="132" t="s">
        <v>2417</v>
      </c>
      <c r="V162" s="132" t="s">
        <v>2417</v>
      </c>
      <c r="W162" s="132" t="s">
        <v>2417</v>
      </c>
      <c r="X162" s="132" t="s">
        <v>2417</v>
      </c>
      <c r="Y162" s="132" t="s">
        <v>2417</v>
      </c>
      <c r="Z162" s="132" t="s">
        <v>2417</v>
      </c>
      <c r="AA162" s="132" t="s">
        <v>2417</v>
      </c>
      <c r="AB162" s="132" t="s">
        <v>2417</v>
      </c>
      <c r="AC162" s="132" t="s">
        <v>2417</v>
      </c>
      <c r="AD162" s="132" t="s">
        <v>2417</v>
      </c>
      <c r="AE162" s="138"/>
    </row>
    <row r="163" spans="1:31" ht="21" outlineLevel="2">
      <c r="A163" s="68" t="s">
        <v>917</v>
      </c>
      <c r="B163" s="63" t="s">
        <v>918</v>
      </c>
      <c r="C163" s="389" t="s">
        <v>919</v>
      </c>
      <c r="D163" s="351"/>
      <c r="E163" s="132" t="s">
        <v>2417</v>
      </c>
      <c r="F163" s="132" t="s">
        <v>2417</v>
      </c>
      <c r="G163" s="132" t="s">
        <v>2417</v>
      </c>
      <c r="H163" s="133" t="s">
        <v>2440</v>
      </c>
      <c r="I163" s="132" t="s">
        <v>2417</v>
      </c>
      <c r="J163" s="132" t="s">
        <v>2417</v>
      </c>
      <c r="K163" s="132" t="s">
        <v>2417</v>
      </c>
      <c r="L163" s="132" t="s">
        <v>2417</v>
      </c>
      <c r="M163" s="132" t="s">
        <v>2417</v>
      </c>
      <c r="N163" s="132" t="s">
        <v>2417</v>
      </c>
      <c r="O163" s="132" t="s">
        <v>2417</v>
      </c>
      <c r="P163" s="132" t="s">
        <v>2417</v>
      </c>
      <c r="Q163" s="132" t="s">
        <v>2417</v>
      </c>
      <c r="R163" s="132" t="s">
        <v>2417</v>
      </c>
      <c r="S163" s="132" t="s">
        <v>2417</v>
      </c>
      <c r="T163" s="132" t="s">
        <v>2417</v>
      </c>
      <c r="U163" s="132" t="s">
        <v>2417</v>
      </c>
      <c r="V163" s="132" t="s">
        <v>2417</v>
      </c>
      <c r="W163" s="132" t="s">
        <v>2417</v>
      </c>
      <c r="X163" s="132" t="s">
        <v>2417</v>
      </c>
      <c r="Y163" s="132" t="s">
        <v>2417</v>
      </c>
      <c r="Z163" s="132" t="s">
        <v>2417</v>
      </c>
      <c r="AA163" s="132" t="s">
        <v>2417</v>
      </c>
      <c r="AB163" s="132" t="s">
        <v>2417</v>
      </c>
      <c r="AC163" s="132" t="s">
        <v>2417</v>
      </c>
      <c r="AD163" s="132" t="s">
        <v>2417</v>
      </c>
      <c r="AE163" s="138"/>
    </row>
    <row r="164" spans="1:31" ht="13.2" outlineLevel="2">
      <c r="A164" s="68" t="s">
        <v>920</v>
      </c>
      <c r="B164" s="63" t="s">
        <v>921</v>
      </c>
      <c r="C164" s="389" t="s">
        <v>922</v>
      </c>
      <c r="D164" s="351"/>
      <c r="E164" s="132" t="s">
        <v>2417</v>
      </c>
      <c r="F164" s="132" t="s">
        <v>2417</v>
      </c>
      <c r="G164" s="132" t="s">
        <v>2417</v>
      </c>
      <c r="H164" s="133" t="s">
        <v>2440</v>
      </c>
      <c r="I164" s="132" t="s">
        <v>2417</v>
      </c>
      <c r="J164" s="132" t="s">
        <v>2417</v>
      </c>
      <c r="K164" s="132" t="s">
        <v>2417</v>
      </c>
      <c r="L164" s="132" t="s">
        <v>2417</v>
      </c>
      <c r="M164" s="132" t="s">
        <v>2417</v>
      </c>
      <c r="N164" s="132" t="s">
        <v>2417</v>
      </c>
      <c r="O164" s="132" t="s">
        <v>2417</v>
      </c>
      <c r="P164" s="132" t="s">
        <v>2417</v>
      </c>
      <c r="Q164" s="132" t="s">
        <v>2417</v>
      </c>
      <c r="R164" s="132" t="s">
        <v>2417</v>
      </c>
      <c r="S164" s="132" t="s">
        <v>2417</v>
      </c>
      <c r="T164" s="132" t="s">
        <v>2417</v>
      </c>
      <c r="U164" s="132" t="s">
        <v>2417</v>
      </c>
      <c r="V164" s="132" t="s">
        <v>2417</v>
      </c>
      <c r="W164" s="132" t="s">
        <v>2417</v>
      </c>
      <c r="X164" s="132" t="s">
        <v>2417</v>
      </c>
      <c r="Y164" s="132" t="s">
        <v>2417</v>
      </c>
      <c r="Z164" s="132" t="s">
        <v>2417</v>
      </c>
      <c r="AA164" s="132" t="s">
        <v>2417</v>
      </c>
      <c r="AB164" s="132" t="s">
        <v>2417</v>
      </c>
      <c r="AC164" s="132" t="s">
        <v>2417</v>
      </c>
      <c r="AD164" s="132" t="s">
        <v>2417</v>
      </c>
      <c r="AE164" s="138"/>
    </row>
    <row r="165" spans="1:31" ht="21" outlineLevel="2">
      <c r="A165" s="68" t="s">
        <v>923</v>
      </c>
      <c r="B165" s="63" t="s">
        <v>924</v>
      </c>
      <c r="C165" s="389" t="s">
        <v>925</v>
      </c>
      <c r="D165" s="351"/>
      <c r="E165" s="132" t="s">
        <v>2417</v>
      </c>
      <c r="F165" s="132" t="s">
        <v>2417</v>
      </c>
      <c r="G165" s="132" t="s">
        <v>2417</v>
      </c>
      <c r="H165" s="133" t="s">
        <v>2440</v>
      </c>
      <c r="I165" s="132" t="s">
        <v>2417</v>
      </c>
      <c r="J165" s="132" t="s">
        <v>2417</v>
      </c>
      <c r="K165" s="132" t="s">
        <v>2417</v>
      </c>
      <c r="L165" s="132" t="s">
        <v>2417</v>
      </c>
      <c r="M165" s="132" t="s">
        <v>2417</v>
      </c>
      <c r="N165" s="132" t="s">
        <v>2417</v>
      </c>
      <c r="O165" s="132" t="s">
        <v>2417</v>
      </c>
      <c r="P165" s="132" t="s">
        <v>2417</v>
      </c>
      <c r="Q165" s="132" t="s">
        <v>2417</v>
      </c>
      <c r="R165" s="132" t="s">
        <v>2417</v>
      </c>
      <c r="S165" s="132" t="s">
        <v>2417</v>
      </c>
      <c r="T165" s="132" t="s">
        <v>2417</v>
      </c>
      <c r="U165" s="132" t="s">
        <v>2417</v>
      </c>
      <c r="V165" s="132" t="s">
        <v>2417</v>
      </c>
      <c r="W165" s="132" t="s">
        <v>2417</v>
      </c>
      <c r="X165" s="132" t="s">
        <v>2417</v>
      </c>
      <c r="Y165" s="132" t="s">
        <v>2417</v>
      </c>
      <c r="Z165" s="132" t="s">
        <v>2417</v>
      </c>
      <c r="AA165" s="132" t="s">
        <v>2417</v>
      </c>
      <c r="AB165" s="132" t="s">
        <v>2417</v>
      </c>
      <c r="AC165" s="132" t="s">
        <v>2417</v>
      </c>
      <c r="AD165" s="132" t="s">
        <v>2417</v>
      </c>
      <c r="AE165" s="138"/>
    </row>
    <row r="166" spans="1:31" ht="21" outlineLevel="2">
      <c r="A166" s="68" t="s">
        <v>926</v>
      </c>
      <c r="B166" s="63" t="s">
        <v>927</v>
      </c>
      <c r="C166" s="389" t="s">
        <v>928</v>
      </c>
      <c r="D166" s="351"/>
      <c r="E166" s="132" t="s">
        <v>2417</v>
      </c>
      <c r="F166" s="132" t="s">
        <v>2417</v>
      </c>
      <c r="G166" s="132" t="s">
        <v>2417</v>
      </c>
      <c r="H166" s="133" t="s">
        <v>2440</v>
      </c>
      <c r="I166" s="132" t="s">
        <v>2417</v>
      </c>
      <c r="J166" s="132" t="s">
        <v>2417</v>
      </c>
      <c r="K166" s="132" t="s">
        <v>2417</v>
      </c>
      <c r="L166" s="132" t="s">
        <v>2417</v>
      </c>
      <c r="M166" s="132" t="s">
        <v>2417</v>
      </c>
      <c r="N166" s="132" t="s">
        <v>2417</v>
      </c>
      <c r="O166" s="132" t="s">
        <v>2417</v>
      </c>
      <c r="P166" s="132" t="s">
        <v>2417</v>
      </c>
      <c r="Q166" s="132" t="s">
        <v>2417</v>
      </c>
      <c r="R166" s="132" t="s">
        <v>2417</v>
      </c>
      <c r="S166" s="132" t="s">
        <v>2417</v>
      </c>
      <c r="T166" s="132" t="s">
        <v>2417</v>
      </c>
      <c r="U166" s="132" t="s">
        <v>2417</v>
      </c>
      <c r="V166" s="132" t="s">
        <v>2417</v>
      </c>
      <c r="W166" s="132" t="s">
        <v>2417</v>
      </c>
      <c r="X166" s="132" t="s">
        <v>2417</v>
      </c>
      <c r="Y166" s="132" t="s">
        <v>2417</v>
      </c>
      <c r="Z166" s="132" t="s">
        <v>2417</v>
      </c>
      <c r="AA166" s="132" t="s">
        <v>2417</v>
      </c>
      <c r="AB166" s="132" t="s">
        <v>2417</v>
      </c>
      <c r="AC166" s="132" t="s">
        <v>2417</v>
      </c>
      <c r="AD166" s="132" t="s">
        <v>2417</v>
      </c>
      <c r="AE166" s="138"/>
    </row>
    <row r="167" spans="1:31" ht="13.2" outlineLevel="2">
      <c r="A167" s="68" t="s">
        <v>929</v>
      </c>
      <c r="B167" s="63" t="s">
        <v>930</v>
      </c>
      <c r="C167" s="389" t="s">
        <v>931</v>
      </c>
      <c r="D167" s="351"/>
      <c r="E167" s="132" t="s">
        <v>2417</v>
      </c>
      <c r="F167" s="132" t="s">
        <v>2417</v>
      </c>
      <c r="G167" s="132" t="s">
        <v>2417</v>
      </c>
      <c r="H167" s="133" t="s">
        <v>2440</v>
      </c>
      <c r="I167" s="132" t="s">
        <v>2417</v>
      </c>
      <c r="J167" s="132" t="s">
        <v>2417</v>
      </c>
      <c r="K167" s="132" t="s">
        <v>2417</v>
      </c>
      <c r="L167" s="132" t="s">
        <v>2417</v>
      </c>
      <c r="M167" s="132" t="s">
        <v>2417</v>
      </c>
      <c r="N167" s="132" t="s">
        <v>2417</v>
      </c>
      <c r="O167" s="132" t="s">
        <v>2417</v>
      </c>
      <c r="P167" s="132" t="s">
        <v>2417</v>
      </c>
      <c r="Q167" s="132" t="s">
        <v>2417</v>
      </c>
      <c r="R167" s="132" t="s">
        <v>2417</v>
      </c>
      <c r="S167" s="132" t="s">
        <v>2417</v>
      </c>
      <c r="T167" s="132" t="s">
        <v>2417</v>
      </c>
      <c r="U167" s="132" t="s">
        <v>2417</v>
      </c>
      <c r="V167" s="132" t="s">
        <v>2417</v>
      </c>
      <c r="W167" s="132" t="s">
        <v>2417</v>
      </c>
      <c r="X167" s="132" t="s">
        <v>2417</v>
      </c>
      <c r="Y167" s="132" t="s">
        <v>2417</v>
      </c>
      <c r="Z167" s="132" t="s">
        <v>2417</v>
      </c>
      <c r="AA167" s="132" t="s">
        <v>2417</v>
      </c>
      <c r="AB167" s="132" t="s">
        <v>2417</v>
      </c>
      <c r="AC167" s="132" t="s">
        <v>2417</v>
      </c>
      <c r="AD167" s="132" t="s">
        <v>2417</v>
      </c>
      <c r="AE167" s="138"/>
    </row>
    <row r="168" spans="1:31" ht="21" outlineLevel="2">
      <c r="A168" s="68" t="s">
        <v>932</v>
      </c>
      <c r="B168" s="63" t="s">
        <v>933</v>
      </c>
      <c r="C168" s="389" t="s">
        <v>934</v>
      </c>
      <c r="D168" s="351"/>
      <c r="E168" s="132" t="s">
        <v>2417</v>
      </c>
      <c r="F168" s="132" t="s">
        <v>2417</v>
      </c>
      <c r="G168" s="132" t="s">
        <v>2417</v>
      </c>
      <c r="H168" s="133" t="s">
        <v>2440</v>
      </c>
      <c r="I168" s="132" t="s">
        <v>2417</v>
      </c>
      <c r="J168" s="132" t="s">
        <v>2417</v>
      </c>
      <c r="K168" s="132" t="s">
        <v>2417</v>
      </c>
      <c r="L168" s="132" t="s">
        <v>2417</v>
      </c>
      <c r="M168" s="132" t="s">
        <v>2417</v>
      </c>
      <c r="N168" s="132" t="s">
        <v>2417</v>
      </c>
      <c r="O168" s="132" t="s">
        <v>2417</v>
      </c>
      <c r="P168" s="132" t="s">
        <v>2417</v>
      </c>
      <c r="Q168" s="132" t="s">
        <v>2417</v>
      </c>
      <c r="R168" s="132" t="s">
        <v>2417</v>
      </c>
      <c r="S168" s="132" t="s">
        <v>2417</v>
      </c>
      <c r="T168" s="132" t="s">
        <v>2417</v>
      </c>
      <c r="U168" s="132" t="s">
        <v>2417</v>
      </c>
      <c r="V168" s="132" t="s">
        <v>2417</v>
      </c>
      <c r="W168" s="132" t="s">
        <v>2417</v>
      </c>
      <c r="X168" s="132" t="s">
        <v>2417</v>
      </c>
      <c r="Y168" s="132" t="s">
        <v>2417</v>
      </c>
      <c r="Z168" s="132" t="s">
        <v>2417</v>
      </c>
      <c r="AA168" s="132" t="s">
        <v>2417</v>
      </c>
      <c r="AB168" s="132" t="s">
        <v>2417</v>
      </c>
      <c r="AC168" s="132" t="s">
        <v>2417</v>
      </c>
      <c r="AD168" s="132" t="s">
        <v>2417</v>
      </c>
      <c r="AE168" s="138"/>
    </row>
    <row r="169" spans="1:31" ht="21" outlineLevel="2">
      <c r="A169" s="68" t="s">
        <v>935</v>
      </c>
      <c r="B169" s="63" t="s">
        <v>936</v>
      </c>
      <c r="C169" s="389" t="s">
        <v>937</v>
      </c>
      <c r="D169" s="351"/>
      <c r="E169" s="132" t="s">
        <v>2417</v>
      </c>
      <c r="F169" s="132" t="s">
        <v>2417</v>
      </c>
      <c r="G169" s="132" t="s">
        <v>2417</v>
      </c>
      <c r="H169" s="133" t="s">
        <v>2440</v>
      </c>
      <c r="I169" s="132" t="s">
        <v>2417</v>
      </c>
      <c r="J169" s="132" t="s">
        <v>2417</v>
      </c>
      <c r="K169" s="132" t="s">
        <v>2417</v>
      </c>
      <c r="L169" s="132" t="s">
        <v>2417</v>
      </c>
      <c r="M169" s="132" t="s">
        <v>2417</v>
      </c>
      <c r="N169" s="132" t="s">
        <v>2417</v>
      </c>
      <c r="O169" s="132" t="s">
        <v>2417</v>
      </c>
      <c r="P169" s="132" t="s">
        <v>2417</v>
      </c>
      <c r="Q169" s="132" t="s">
        <v>2417</v>
      </c>
      <c r="R169" s="132" t="s">
        <v>2417</v>
      </c>
      <c r="S169" s="132" t="s">
        <v>2417</v>
      </c>
      <c r="T169" s="132" t="s">
        <v>2417</v>
      </c>
      <c r="U169" s="132" t="s">
        <v>2417</v>
      </c>
      <c r="V169" s="132" t="s">
        <v>2417</v>
      </c>
      <c r="W169" s="132" t="s">
        <v>2417</v>
      </c>
      <c r="X169" s="132" t="s">
        <v>2417</v>
      </c>
      <c r="Y169" s="132" t="s">
        <v>2417</v>
      </c>
      <c r="Z169" s="132" t="s">
        <v>2417</v>
      </c>
      <c r="AA169" s="132" t="s">
        <v>2417</v>
      </c>
      <c r="AB169" s="132" t="s">
        <v>2417</v>
      </c>
      <c r="AC169" s="132" t="s">
        <v>2417</v>
      </c>
      <c r="AD169" s="132" t="s">
        <v>2417</v>
      </c>
      <c r="AE169" s="138"/>
    </row>
    <row r="170" spans="1:31" ht="21" outlineLevel="2">
      <c r="A170" s="68" t="s">
        <v>938</v>
      </c>
      <c r="B170" s="63" t="s">
        <v>939</v>
      </c>
      <c r="C170" s="389" t="s">
        <v>940</v>
      </c>
      <c r="D170" s="351"/>
      <c r="E170" s="132" t="s">
        <v>2417</v>
      </c>
      <c r="F170" s="132" t="s">
        <v>2417</v>
      </c>
      <c r="G170" s="132" t="s">
        <v>2417</v>
      </c>
      <c r="H170" s="133" t="s">
        <v>2440</v>
      </c>
      <c r="I170" s="132" t="s">
        <v>2417</v>
      </c>
      <c r="J170" s="132" t="s">
        <v>2417</v>
      </c>
      <c r="K170" s="132" t="s">
        <v>2417</v>
      </c>
      <c r="L170" s="132" t="s">
        <v>2417</v>
      </c>
      <c r="M170" s="132" t="s">
        <v>2417</v>
      </c>
      <c r="N170" s="132" t="s">
        <v>2417</v>
      </c>
      <c r="O170" s="132" t="s">
        <v>2417</v>
      </c>
      <c r="P170" s="132" t="s">
        <v>2417</v>
      </c>
      <c r="Q170" s="132" t="s">
        <v>2417</v>
      </c>
      <c r="R170" s="132" t="s">
        <v>2417</v>
      </c>
      <c r="S170" s="132" t="s">
        <v>2417</v>
      </c>
      <c r="T170" s="132" t="s">
        <v>2417</v>
      </c>
      <c r="U170" s="132" t="s">
        <v>2417</v>
      </c>
      <c r="V170" s="132" t="s">
        <v>2417</v>
      </c>
      <c r="W170" s="132" t="s">
        <v>2417</v>
      </c>
      <c r="X170" s="132" t="s">
        <v>2417</v>
      </c>
      <c r="Y170" s="132" t="s">
        <v>2417</v>
      </c>
      <c r="Z170" s="132" t="s">
        <v>2417</v>
      </c>
      <c r="AA170" s="132" t="s">
        <v>2417</v>
      </c>
      <c r="AB170" s="132" t="s">
        <v>2417</v>
      </c>
      <c r="AC170" s="132" t="s">
        <v>2417</v>
      </c>
      <c r="AD170" s="132" t="s">
        <v>2417</v>
      </c>
      <c r="AE170" s="132" t="s">
        <v>2417</v>
      </c>
    </row>
    <row r="171" spans="1:31" ht="31.2" outlineLevel="2">
      <c r="A171" s="68" t="s">
        <v>941</v>
      </c>
      <c r="B171" s="63" t="s">
        <v>942</v>
      </c>
      <c r="C171" s="389" t="s">
        <v>943</v>
      </c>
      <c r="D171" s="351"/>
      <c r="E171" s="132" t="s">
        <v>2417</v>
      </c>
      <c r="F171" s="132" t="s">
        <v>2417</v>
      </c>
      <c r="G171" s="132" t="s">
        <v>2417</v>
      </c>
      <c r="H171" s="133" t="s">
        <v>2440</v>
      </c>
      <c r="I171" s="132" t="s">
        <v>2417</v>
      </c>
      <c r="J171" s="132" t="s">
        <v>2417</v>
      </c>
      <c r="K171" s="132" t="s">
        <v>2417</v>
      </c>
      <c r="L171" s="132" t="s">
        <v>2417</v>
      </c>
      <c r="M171" s="132" t="s">
        <v>2417</v>
      </c>
      <c r="N171" s="132" t="s">
        <v>2417</v>
      </c>
      <c r="O171" s="132" t="s">
        <v>2417</v>
      </c>
      <c r="P171" s="132" t="s">
        <v>2417</v>
      </c>
      <c r="Q171" s="132" t="s">
        <v>2417</v>
      </c>
      <c r="R171" s="132" t="s">
        <v>2417</v>
      </c>
      <c r="S171" s="132" t="s">
        <v>2417</v>
      </c>
      <c r="T171" s="132" t="s">
        <v>2417</v>
      </c>
      <c r="U171" s="132" t="s">
        <v>2417</v>
      </c>
      <c r="V171" s="132" t="s">
        <v>2417</v>
      </c>
      <c r="W171" s="132" t="s">
        <v>2417</v>
      </c>
      <c r="X171" s="132" t="s">
        <v>2417</v>
      </c>
      <c r="Y171" s="132" t="s">
        <v>2417</v>
      </c>
      <c r="Z171" s="132" t="s">
        <v>2417</v>
      </c>
      <c r="AA171" s="132" t="s">
        <v>2417</v>
      </c>
      <c r="AB171" s="132" t="s">
        <v>2417</v>
      </c>
      <c r="AC171" s="132" t="s">
        <v>2417</v>
      </c>
      <c r="AD171" s="132" t="s">
        <v>2417</v>
      </c>
      <c r="AE171" s="138"/>
    </row>
    <row r="172" spans="1:31" ht="31.2" outlineLevel="2">
      <c r="A172" s="68" t="s">
        <v>944</v>
      </c>
      <c r="B172" s="63" t="s">
        <v>945</v>
      </c>
      <c r="C172" s="389" t="s">
        <v>946</v>
      </c>
      <c r="D172" s="351"/>
      <c r="E172" s="132" t="s">
        <v>2417</v>
      </c>
      <c r="F172" s="132" t="s">
        <v>2417</v>
      </c>
      <c r="G172" s="132" t="s">
        <v>2417</v>
      </c>
      <c r="H172" s="133" t="s">
        <v>2440</v>
      </c>
      <c r="I172" s="132" t="s">
        <v>2417</v>
      </c>
      <c r="J172" s="132" t="s">
        <v>2417</v>
      </c>
      <c r="K172" s="132" t="s">
        <v>2417</v>
      </c>
      <c r="L172" s="132" t="s">
        <v>2417</v>
      </c>
      <c r="M172" s="132" t="s">
        <v>2417</v>
      </c>
      <c r="N172" s="132" t="s">
        <v>2417</v>
      </c>
      <c r="O172" s="132" t="s">
        <v>2417</v>
      </c>
      <c r="P172" s="132" t="s">
        <v>2417</v>
      </c>
      <c r="Q172" s="132" t="s">
        <v>2417</v>
      </c>
      <c r="R172" s="132" t="s">
        <v>2417</v>
      </c>
      <c r="S172" s="132" t="s">
        <v>2417</v>
      </c>
      <c r="T172" s="132" t="s">
        <v>2417</v>
      </c>
      <c r="U172" s="132" t="s">
        <v>2417</v>
      </c>
      <c r="V172" s="132" t="s">
        <v>2417</v>
      </c>
      <c r="W172" s="132" t="s">
        <v>2417</v>
      </c>
      <c r="X172" s="132" t="s">
        <v>2417</v>
      </c>
      <c r="Y172" s="132" t="s">
        <v>2417</v>
      </c>
      <c r="Z172" s="132" t="s">
        <v>2417</v>
      </c>
      <c r="AA172" s="132" t="s">
        <v>2417</v>
      </c>
      <c r="AB172" s="132" t="s">
        <v>2417</v>
      </c>
      <c r="AC172" s="132" t="s">
        <v>2417</v>
      </c>
      <c r="AD172" s="132" t="s">
        <v>2417</v>
      </c>
      <c r="AE172" s="132" t="s">
        <v>2417</v>
      </c>
    </row>
    <row r="173" spans="1:31" ht="13.2">
      <c r="A173" s="393" t="s">
        <v>947</v>
      </c>
      <c r="B173" s="350"/>
      <c r="C173" s="350"/>
      <c r="D173" s="351"/>
      <c r="E173" s="133" t="s">
        <v>2417</v>
      </c>
      <c r="F173" s="133" t="s">
        <v>2417</v>
      </c>
      <c r="G173" s="133" t="s">
        <v>2417</v>
      </c>
      <c r="H173" s="133" t="s">
        <v>2417</v>
      </c>
      <c r="I173" s="134" t="s">
        <v>2418</v>
      </c>
      <c r="J173" s="133" t="s">
        <v>2417</v>
      </c>
      <c r="K173" s="133" t="s">
        <v>2417</v>
      </c>
      <c r="L173" s="133" t="s">
        <v>2417</v>
      </c>
      <c r="M173" s="133" t="s">
        <v>2417</v>
      </c>
      <c r="N173" s="133" t="s">
        <v>2417</v>
      </c>
      <c r="O173" s="133" t="s">
        <v>2417</v>
      </c>
      <c r="P173" s="133" t="s">
        <v>2417</v>
      </c>
      <c r="Q173" s="133" t="s">
        <v>2417</v>
      </c>
      <c r="R173" s="133" t="s">
        <v>2417</v>
      </c>
      <c r="S173" s="133" t="s">
        <v>2417</v>
      </c>
      <c r="T173" s="133" t="s">
        <v>2417</v>
      </c>
      <c r="U173" s="133" t="s">
        <v>2417</v>
      </c>
      <c r="V173" s="133" t="s">
        <v>2417</v>
      </c>
      <c r="W173" s="133" t="s">
        <v>2417</v>
      </c>
      <c r="X173" s="133" t="s">
        <v>2417</v>
      </c>
      <c r="Y173" s="133" t="s">
        <v>2417</v>
      </c>
      <c r="Z173" s="133" t="s">
        <v>2417</v>
      </c>
      <c r="AA173" s="133" t="s">
        <v>2417</v>
      </c>
      <c r="AB173" s="133" t="s">
        <v>2417</v>
      </c>
      <c r="AC173" s="133" t="s">
        <v>2417</v>
      </c>
      <c r="AD173" s="133" t="s">
        <v>2417</v>
      </c>
      <c r="AE173" s="138"/>
    </row>
    <row r="174" spans="1:31" ht="13.2" outlineLevel="1">
      <c r="A174" s="386" t="s">
        <v>948</v>
      </c>
      <c r="B174" s="350"/>
      <c r="C174" s="350"/>
      <c r="D174" s="351"/>
      <c r="E174" s="133" t="s">
        <v>2417</v>
      </c>
      <c r="F174" s="133" t="s">
        <v>2417</v>
      </c>
      <c r="G174" s="133" t="s">
        <v>2417</v>
      </c>
      <c r="H174" s="133" t="s">
        <v>2417</v>
      </c>
      <c r="I174" s="134" t="s">
        <v>2418</v>
      </c>
      <c r="J174" s="133" t="s">
        <v>2417</v>
      </c>
      <c r="K174" s="133" t="s">
        <v>2417</v>
      </c>
      <c r="L174" s="133" t="s">
        <v>2417</v>
      </c>
      <c r="M174" s="133" t="s">
        <v>2417</v>
      </c>
      <c r="N174" s="133" t="s">
        <v>2417</v>
      </c>
      <c r="O174" s="133" t="s">
        <v>2417</v>
      </c>
      <c r="P174" s="133" t="s">
        <v>2417</v>
      </c>
      <c r="Q174" s="133" t="s">
        <v>2417</v>
      </c>
      <c r="R174" s="133" t="s">
        <v>2417</v>
      </c>
      <c r="S174" s="133" t="s">
        <v>2417</v>
      </c>
      <c r="T174" s="133" t="s">
        <v>2417</v>
      </c>
      <c r="U174" s="133" t="s">
        <v>2417</v>
      </c>
      <c r="V174" s="133" t="s">
        <v>2417</v>
      </c>
      <c r="W174" s="133" t="s">
        <v>2417</v>
      </c>
      <c r="X174" s="133" t="s">
        <v>2417</v>
      </c>
      <c r="Y174" s="133" t="s">
        <v>2417</v>
      </c>
      <c r="Z174" s="133" t="s">
        <v>2417</v>
      </c>
      <c r="AA174" s="133" t="s">
        <v>2417</v>
      </c>
      <c r="AB174" s="133" t="s">
        <v>2417</v>
      </c>
      <c r="AC174" s="133" t="s">
        <v>2417</v>
      </c>
      <c r="AD174" s="133" t="s">
        <v>2417</v>
      </c>
      <c r="AE174" s="139"/>
    </row>
    <row r="175" spans="1:31" ht="13.2" outlineLevel="2">
      <c r="A175" s="68" t="s">
        <v>949</v>
      </c>
      <c r="B175" s="71"/>
      <c r="C175" s="387" t="s">
        <v>950</v>
      </c>
      <c r="D175" s="351"/>
      <c r="E175" s="133" t="s">
        <v>2417</v>
      </c>
      <c r="F175" s="133" t="s">
        <v>2417</v>
      </c>
      <c r="G175" s="133" t="s">
        <v>2417</v>
      </c>
      <c r="H175" s="133" t="s">
        <v>2417</v>
      </c>
      <c r="I175" s="134" t="s">
        <v>2418</v>
      </c>
      <c r="J175" s="133" t="s">
        <v>2417</v>
      </c>
      <c r="K175" s="133" t="s">
        <v>2417</v>
      </c>
      <c r="L175" s="133" t="s">
        <v>2417</v>
      </c>
      <c r="M175" s="133" t="s">
        <v>2417</v>
      </c>
      <c r="N175" s="133" t="s">
        <v>2417</v>
      </c>
      <c r="O175" s="133" t="s">
        <v>2417</v>
      </c>
      <c r="P175" s="133" t="s">
        <v>2417</v>
      </c>
      <c r="Q175" s="133" t="s">
        <v>2417</v>
      </c>
      <c r="R175" s="133" t="s">
        <v>2417</v>
      </c>
      <c r="S175" s="133" t="s">
        <v>2417</v>
      </c>
      <c r="T175" s="133" t="s">
        <v>2417</v>
      </c>
      <c r="U175" s="133" t="s">
        <v>2417</v>
      </c>
      <c r="V175" s="133" t="s">
        <v>2417</v>
      </c>
      <c r="W175" s="133" t="s">
        <v>2417</v>
      </c>
      <c r="X175" s="133" t="s">
        <v>2417</v>
      </c>
      <c r="Y175" s="133" t="s">
        <v>2417</v>
      </c>
      <c r="Z175" s="133" t="s">
        <v>2417</v>
      </c>
      <c r="AA175" s="133" t="s">
        <v>2417</v>
      </c>
      <c r="AB175" s="133" t="s">
        <v>2417</v>
      </c>
      <c r="AC175" s="133" t="s">
        <v>2417</v>
      </c>
      <c r="AD175" s="133" t="s">
        <v>2417</v>
      </c>
      <c r="AE175" s="59"/>
    </row>
    <row r="176" spans="1:31" ht="13.2" outlineLevel="1">
      <c r="A176" s="385" t="s">
        <v>951</v>
      </c>
      <c r="B176" s="350"/>
      <c r="C176" s="350"/>
      <c r="D176" s="351"/>
      <c r="E176" s="133" t="s">
        <v>2454</v>
      </c>
      <c r="F176" s="140" t="s">
        <v>2421</v>
      </c>
      <c r="G176" s="141" t="s">
        <v>2417</v>
      </c>
      <c r="H176" s="142" t="s">
        <v>2417</v>
      </c>
      <c r="I176" s="134" t="s">
        <v>2418</v>
      </c>
      <c r="J176" s="141" t="s">
        <v>2417</v>
      </c>
      <c r="K176" s="141" t="s">
        <v>2417</v>
      </c>
      <c r="L176" s="141" t="s">
        <v>2417</v>
      </c>
      <c r="M176" s="133" t="s">
        <v>2417</v>
      </c>
      <c r="N176" s="133" t="s">
        <v>2417</v>
      </c>
      <c r="O176" s="133" t="s">
        <v>2417</v>
      </c>
      <c r="P176" s="141" t="s">
        <v>2417</v>
      </c>
      <c r="Q176" s="141" t="s">
        <v>2417</v>
      </c>
      <c r="R176" s="133" t="s">
        <v>2417</v>
      </c>
      <c r="S176" s="141" t="s">
        <v>2417</v>
      </c>
      <c r="T176" s="141" t="s">
        <v>2417</v>
      </c>
      <c r="U176" s="141" t="s">
        <v>2417</v>
      </c>
      <c r="V176" s="141" t="s">
        <v>2417</v>
      </c>
      <c r="W176" s="141" t="s">
        <v>2417</v>
      </c>
      <c r="X176" s="141" t="s">
        <v>2417</v>
      </c>
      <c r="Y176" s="141" t="s">
        <v>2417</v>
      </c>
      <c r="Z176" s="141" t="s">
        <v>2417</v>
      </c>
      <c r="AA176" s="133" t="s">
        <v>2417</v>
      </c>
      <c r="AB176" s="133" t="s">
        <v>2417</v>
      </c>
      <c r="AC176" s="133" t="s">
        <v>2417</v>
      </c>
      <c r="AD176" s="133" t="s">
        <v>2417</v>
      </c>
      <c r="AE176" s="143"/>
    </row>
    <row r="177" spans="1:31" ht="13.2" outlineLevel="2">
      <c r="A177" s="68" t="s">
        <v>952</v>
      </c>
      <c r="B177" s="72"/>
      <c r="C177" s="387" t="s">
        <v>953</v>
      </c>
      <c r="D177" s="351"/>
      <c r="E177" s="133" t="s">
        <v>2455</v>
      </c>
      <c r="F177" s="140" t="s">
        <v>2421</v>
      </c>
      <c r="G177" s="141" t="s">
        <v>2417</v>
      </c>
      <c r="H177" s="142" t="s">
        <v>2417</v>
      </c>
      <c r="I177" s="134" t="s">
        <v>2418</v>
      </c>
      <c r="J177" s="141" t="s">
        <v>2417</v>
      </c>
      <c r="K177" s="141" t="s">
        <v>2417</v>
      </c>
      <c r="L177" s="141" t="s">
        <v>2417</v>
      </c>
      <c r="M177" s="133" t="s">
        <v>2417</v>
      </c>
      <c r="N177" s="133" t="s">
        <v>2417</v>
      </c>
      <c r="O177" s="133" t="s">
        <v>2417</v>
      </c>
      <c r="P177" s="141" t="s">
        <v>2417</v>
      </c>
      <c r="Q177" s="141" t="s">
        <v>2417</v>
      </c>
      <c r="R177" s="133" t="s">
        <v>2417</v>
      </c>
      <c r="S177" s="141" t="s">
        <v>2417</v>
      </c>
      <c r="T177" s="141" t="s">
        <v>2417</v>
      </c>
      <c r="U177" s="141" t="s">
        <v>2417</v>
      </c>
      <c r="V177" s="141" t="s">
        <v>2417</v>
      </c>
      <c r="W177" s="141" t="s">
        <v>2417</v>
      </c>
      <c r="X177" s="141" t="s">
        <v>2417</v>
      </c>
      <c r="Y177" s="141" t="s">
        <v>2417</v>
      </c>
      <c r="Z177" s="141" t="s">
        <v>2417</v>
      </c>
      <c r="AA177" s="133" t="s">
        <v>2417</v>
      </c>
      <c r="AB177" s="133" t="s">
        <v>2417</v>
      </c>
      <c r="AC177" s="133" t="s">
        <v>2417</v>
      </c>
      <c r="AD177" s="133" t="s">
        <v>2417</v>
      </c>
      <c r="AE177" s="144"/>
    </row>
    <row r="178" spans="1:31" ht="13.2" outlineLevel="1">
      <c r="A178" s="385" t="s">
        <v>954</v>
      </c>
      <c r="B178" s="350"/>
      <c r="C178" s="350"/>
      <c r="D178" s="351"/>
      <c r="E178" s="133" t="s">
        <v>2455</v>
      </c>
      <c r="F178" s="140" t="s">
        <v>2421</v>
      </c>
      <c r="G178" s="141" t="s">
        <v>2417</v>
      </c>
      <c r="H178" s="141" t="s">
        <v>2417</v>
      </c>
      <c r="I178" s="134" t="s">
        <v>2418</v>
      </c>
      <c r="J178" s="141" t="s">
        <v>2417</v>
      </c>
      <c r="K178" s="141" t="s">
        <v>2417</v>
      </c>
      <c r="L178" s="141" t="s">
        <v>2417</v>
      </c>
      <c r="M178" s="133" t="s">
        <v>2417</v>
      </c>
      <c r="N178" s="133" t="s">
        <v>2417</v>
      </c>
      <c r="O178" s="133" t="s">
        <v>2417</v>
      </c>
      <c r="P178" s="141" t="s">
        <v>2417</v>
      </c>
      <c r="Q178" s="141" t="s">
        <v>2417</v>
      </c>
      <c r="R178" s="133" t="s">
        <v>2417</v>
      </c>
      <c r="S178" s="141" t="s">
        <v>2417</v>
      </c>
      <c r="T178" s="141" t="s">
        <v>2417</v>
      </c>
      <c r="U178" s="141" t="s">
        <v>2417</v>
      </c>
      <c r="V178" s="141" t="s">
        <v>2417</v>
      </c>
      <c r="W178" s="141" t="s">
        <v>2417</v>
      </c>
      <c r="X178" s="141" t="s">
        <v>2417</v>
      </c>
      <c r="Y178" s="141" t="s">
        <v>2417</v>
      </c>
      <c r="Z178" s="141" t="s">
        <v>2417</v>
      </c>
      <c r="AA178" s="133" t="s">
        <v>2417</v>
      </c>
      <c r="AB178" s="133" t="s">
        <v>2417</v>
      </c>
      <c r="AC178" s="133" t="s">
        <v>2417</v>
      </c>
      <c r="AD178" s="133" t="s">
        <v>2417</v>
      </c>
      <c r="AE178" s="143"/>
    </row>
    <row r="179" spans="1:31" ht="13.2" outlineLevel="2">
      <c r="A179" s="73" t="s">
        <v>955</v>
      </c>
      <c r="B179" s="74"/>
      <c r="C179" s="360" t="s">
        <v>956</v>
      </c>
      <c r="D179" s="351"/>
      <c r="E179" s="133" t="s">
        <v>2455</v>
      </c>
      <c r="F179" s="140" t="s">
        <v>2421</v>
      </c>
      <c r="G179" s="141" t="s">
        <v>2417</v>
      </c>
      <c r="H179" s="141" t="s">
        <v>2417</v>
      </c>
      <c r="I179" s="134" t="s">
        <v>2418</v>
      </c>
      <c r="J179" s="141" t="s">
        <v>2417</v>
      </c>
      <c r="K179" s="141" t="s">
        <v>2417</v>
      </c>
      <c r="L179" s="141" t="s">
        <v>2417</v>
      </c>
      <c r="M179" s="133" t="s">
        <v>2417</v>
      </c>
      <c r="N179" s="133" t="s">
        <v>2417</v>
      </c>
      <c r="O179" s="133" t="s">
        <v>2417</v>
      </c>
      <c r="P179" s="141" t="s">
        <v>2417</v>
      </c>
      <c r="Q179" s="141" t="s">
        <v>2417</v>
      </c>
      <c r="R179" s="133" t="s">
        <v>2417</v>
      </c>
      <c r="S179" s="141" t="s">
        <v>2417</v>
      </c>
      <c r="T179" s="141" t="s">
        <v>2417</v>
      </c>
      <c r="U179" s="141" t="s">
        <v>2417</v>
      </c>
      <c r="V179" s="141" t="s">
        <v>2417</v>
      </c>
      <c r="W179" s="141" t="s">
        <v>2417</v>
      </c>
      <c r="X179" s="141" t="s">
        <v>2417</v>
      </c>
      <c r="Y179" s="141" t="s">
        <v>2417</v>
      </c>
      <c r="Z179" s="141" t="s">
        <v>2417</v>
      </c>
      <c r="AA179" s="133" t="s">
        <v>2417</v>
      </c>
      <c r="AB179" s="133" t="s">
        <v>2417</v>
      </c>
      <c r="AC179" s="133" t="s">
        <v>2417</v>
      </c>
      <c r="AD179" s="133" t="s">
        <v>2417</v>
      </c>
      <c r="AE179" s="140"/>
    </row>
    <row r="180" spans="1:31" ht="13.2" outlineLevel="1">
      <c r="A180" s="385" t="s">
        <v>957</v>
      </c>
      <c r="B180" s="350"/>
      <c r="C180" s="350"/>
      <c r="D180" s="351"/>
      <c r="E180" s="133" t="s">
        <v>2455</v>
      </c>
      <c r="F180" s="140" t="s">
        <v>2421</v>
      </c>
      <c r="G180" s="141" t="s">
        <v>2417</v>
      </c>
      <c r="H180" s="141" t="s">
        <v>2417</v>
      </c>
      <c r="I180" s="134" t="s">
        <v>2418</v>
      </c>
      <c r="J180" s="141" t="s">
        <v>2417</v>
      </c>
      <c r="K180" s="141" t="s">
        <v>2417</v>
      </c>
      <c r="L180" s="141" t="s">
        <v>2417</v>
      </c>
      <c r="M180" s="133" t="s">
        <v>2417</v>
      </c>
      <c r="N180" s="133" t="s">
        <v>2417</v>
      </c>
      <c r="O180" s="133" t="s">
        <v>2417</v>
      </c>
      <c r="P180" s="141" t="s">
        <v>2417</v>
      </c>
      <c r="Q180" s="141" t="s">
        <v>2417</v>
      </c>
      <c r="R180" s="133" t="s">
        <v>2417</v>
      </c>
      <c r="S180" s="141" t="s">
        <v>2417</v>
      </c>
      <c r="T180" s="141" t="s">
        <v>2417</v>
      </c>
      <c r="U180" s="141" t="s">
        <v>2417</v>
      </c>
      <c r="V180" s="141" t="s">
        <v>2417</v>
      </c>
      <c r="W180" s="141" t="s">
        <v>2417</v>
      </c>
      <c r="X180" s="141" t="s">
        <v>2417</v>
      </c>
      <c r="Y180" s="141" t="s">
        <v>2417</v>
      </c>
      <c r="Z180" s="141" t="s">
        <v>2417</v>
      </c>
      <c r="AA180" s="133" t="s">
        <v>2417</v>
      </c>
      <c r="AB180" s="133" t="s">
        <v>2417</v>
      </c>
      <c r="AC180" s="133" t="s">
        <v>2417</v>
      </c>
      <c r="AD180" s="133" t="s">
        <v>2417</v>
      </c>
      <c r="AE180" s="143"/>
    </row>
    <row r="181" spans="1:31" ht="13.2" outlineLevel="2">
      <c r="A181" s="73" t="s">
        <v>958</v>
      </c>
      <c r="B181" s="74"/>
      <c r="C181" s="360" t="s">
        <v>959</v>
      </c>
      <c r="D181" s="351"/>
      <c r="E181" s="133" t="s">
        <v>2455</v>
      </c>
      <c r="F181" s="140" t="s">
        <v>2421</v>
      </c>
      <c r="G181" s="141" t="s">
        <v>2417</v>
      </c>
      <c r="H181" s="141" t="s">
        <v>2417</v>
      </c>
      <c r="I181" s="134" t="s">
        <v>2418</v>
      </c>
      <c r="J181" s="141" t="s">
        <v>2417</v>
      </c>
      <c r="K181" s="141" t="s">
        <v>2417</v>
      </c>
      <c r="L181" s="141" t="s">
        <v>2417</v>
      </c>
      <c r="M181" s="133" t="s">
        <v>2417</v>
      </c>
      <c r="N181" s="133" t="s">
        <v>2417</v>
      </c>
      <c r="O181" s="133" t="s">
        <v>2417</v>
      </c>
      <c r="P181" s="141" t="s">
        <v>2417</v>
      </c>
      <c r="Q181" s="141" t="s">
        <v>2417</v>
      </c>
      <c r="R181" s="133" t="s">
        <v>2417</v>
      </c>
      <c r="S181" s="141" t="s">
        <v>2417</v>
      </c>
      <c r="T181" s="141" t="s">
        <v>2417</v>
      </c>
      <c r="U181" s="141" t="s">
        <v>2417</v>
      </c>
      <c r="V181" s="141" t="s">
        <v>2417</v>
      </c>
      <c r="W181" s="141" t="s">
        <v>2417</v>
      </c>
      <c r="X181" s="141" t="s">
        <v>2417</v>
      </c>
      <c r="Y181" s="141" t="s">
        <v>2417</v>
      </c>
      <c r="Z181" s="141" t="s">
        <v>2417</v>
      </c>
      <c r="AA181" s="133" t="s">
        <v>2417</v>
      </c>
      <c r="AB181" s="133" t="s">
        <v>2417</v>
      </c>
      <c r="AC181" s="133" t="s">
        <v>2417</v>
      </c>
      <c r="AD181" s="133" t="s">
        <v>2417</v>
      </c>
      <c r="AE181" s="140"/>
    </row>
    <row r="182" spans="1:31" ht="13.2" outlineLevel="1">
      <c r="A182" s="385" t="s">
        <v>960</v>
      </c>
      <c r="B182" s="350"/>
      <c r="C182" s="350"/>
      <c r="D182" s="351"/>
      <c r="E182" s="133" t="s">
        <v>2455</v>
      </c>
      <c r="F182" s="140" t="s">
        <v>2421</v>
      </c>
      <c r="G182" s="141" t="s">
        <v>2417</v>
      </c>
      <c r="H182" s="141" t="s">
        <v>2417</v>
      </c>
      <c r="I182" s="134" t="s">
        <v>2418</v>
      </c>
      <c r="J182" s="141" t="s">
        <v>2417</v>
      </c>
      <c r="K182" s="141" t="s">
        <v>2417</v>
      </c>
      <c r="L182" s="141" t="s">
        <v>2417</v>
      </c>
      <c r="M182" s="133" t="s">
        <v>2417</v>
      </c>
      <c r="N182" s="133" t="s">
        <v>2417</v>
      </c>
      <c r="O182" s="133" t="s">
        <v>2417</v>
      </c>
      <c r="P182" s="141" t="s">
        <v>2417</v>
      </c>
      <c r="Q182" s="133" t="s">
        <v>2417</v>
      </c>
      <c r="R182" s="133" t="s">
        <v>2417</v>
      </c>
      <c r="S182" s="141" t="s">
        <v>2417</v>
      </c>
      <c r="T182" s="141" t="s">
        <v>2417</v>
      </c>
      <c r="U182" s="141" t="s">
        <v>2417</v>
      </c>
      <c r="V182" s="141" t="s">
        <v>2417</v>
      </c>
      <c r="W182" s="141" t="s">
        <v>2417</v>
      </c>
      <c r="X182" s="141" t="s">
        <v>2417</v>
      </c>
      <c r="Y182" s="141" t="s">
        <v>2417</v>
      </c>
      <c r="Z182" s="141" t="s">
        <v>2417</v>
      </c>
      <c r="AA182" s="133" t="s">
        <v>2417</v>
      </c>
      <c r="AB182" s="133" t="s">
        <v>2417</v>
      </c>
      <c r="AC182" s="133" t="s">
        <v>2417</v>
      </c>
      <c r="AD182" s="133" t="s">
        <v>2417</v>
      </c>
      <c r="AE182" s="143"/>
    </row>
    <row r="183" spans="1:31" ht="13.2" outlineLevel="2">
      <c r="A183" s="73" t="s">
        <v>961</v>
      </c>
      <c r="B183" s="74"/>
      <c r="C183" s="360" t="s">
        <v>962</v>
      </c>
      <c r="D183" s="351"/>
      <c r="E183" s="133" t="s">
        <v>2455</v>
      </c>
      <c r="F183" s="140" t="s">
        <v>2421</v>
      </c>
      <c r="G183" s="141" t="s">
        <v>2417</v>
      </c>
      <c r="H183" s="141" t="s">
        <v>2417</v>
      </c>
      <c r="I183" s="134" t="s">
        <v>2418</v>
      </c>
      <c r="J183" s="141" t="s">
        <v>2417</v>
      </c>
      <c r="K183" s="141" t="s">
        <v>2417</v>
      </c>
      <c r="L183" s="141" t="s">
        <v>2417</v>
      </c>
      <c r="M183" s="133" t="s">
        <v>2417</v>
      </c>
      <c r="N183" s="133" t="s">
        <v>2417</v>
      </c>
      <c r="O183" s="133" t="s">
        <v>2417</v>
      </c>
      <c r="P183" s="141" t="s">
        <v>2417</v>
      </c>
      <c r="Q183" s="133" t="s">
        <v>2417</v>
      </c>
      <c r="R183" s="133" t="s">
        <v>2417</v>
      </c>
      <c r="S183" s="141" t="s">
        <v>2417</v>
      </c>
      <c r="T183" s="141" t="s">
        <v>2417</v>
      </c>
      <c r="U183" s="141" t="s">
        <v>2417</v>
      </c>
      <c r="V183" s="141" t="s">
        <v>2417</v>
      </c>
      <c r="W183" s="141" t="s">
        <v>2417</v>
      </c>
      <c r="X183" s="141" t="s">
        <v>2417</v>
      </c>
      <c r="Y183" s="141" t="s">
        <v>2417</v>
      </c>
      <c r="Z183" s="141" t="s">
        <v>2417</v>
      </c>
      <c r="AA183" s="133" t="s">
        <v>2417</v>
      </c>
      <c r="AB183" s="133" t="s">
        <v>2417</v>
      </c>
      <c r="AC183" s="133" t="s">
        <v>2417</v>
      </c>
      <c r="AD183" s="133" t="s">
        <v>2417</v>
      </c>
      <c r="AE183" s="140"/>
    </row>
    <row r="184" spans="1:31" ht="13.2" hidden="1" outlineLevel="1">
      <c r="A184" s="385" t="s">
        <v>2456</v>
      </c>
      <c r="B184" s="350"/>
      <c r="C184" s="350"/>
      <c r="D184" s="351"/>
      <c r="E184" s="133" t="s">
        <v>2455</v>
      </c>
      <c r="F184" s="140" t="s">
        <v>2421</v>
      </c>
      <c r="G184" s="140" t="s">
        <v>2457</v>
      </c>
      <c r="H184" s="141" t="s">
        <v>2417</v>
      </c>
      <c r="I184" s="134" t="s">
        <v>2418</v>
      </c>
      <c r="J184" s="141" t="s">
        <v>2417</v>
      </c>
      <c r="K184" s="141" t="s">
        <v>2417</v>
      </c>
      <c r="L184" s="141" t="s">
        <v>2417</v>
      </c>
      <c r="M184" s="133" t="s">
        <v>2417</v>
      </c>
      <c r="N184" s="133" t="s">
        <v>2417</v>
      </c>
      <c r="O184" s="133" t="s">
        <v>2417</v>
      </c>
      <c r="P184" s="141" t="s">
        <v>2417</v>
      </c>
      <c r="Q184" s="133" t="s">
        <v>2417</v>
      </c>
      <c r="R184" s="133" t="s">
        <v>2417</v>
      </c>
      <c r="S184" s="141" t="s">
        <v>2417</v>
      </c>
      <c r="T184" s="141" t="s">
        <v>2417</v>
      </c>
      <c r="U184" s="141" t="s">
        <v>2417</v>
      </c>
      <c r="V184" s="141" t="s">
        <v>2417</v>
      </c>
      <c r="W184" s="141" t="s">
        <v>2417</v>
      </c>
      <c r="X184" s="141" t="s">
        <v>2417</v>
      </c>
      <c r="Y184" s="141" t="s">
        <v>2417</v>
      </c>
      <c r="Z184" s="141" t="s">
        <v>2417</v>
      </c>
      <c r="AA184" s="133" t="s">
        <v>2417</v>
      </c>
      <c r="AB184" s="133" t="s">
        <v>2417</v>
      </c>
      <c r="AC184" s="133" t="s">
        <v>2417</v>
      </c>
      <c r="AD184" s="133" t="s">
        <v>2417</v>
      </c>
      <c r="AE184" s="143"/>
    </row>
    <row r="185" spans="1:31" ht="13.2" hidden="1" outlineLevel="2">
      <c r="A185" s="73" t="s">
        <v>2458</v>
      </c>
      <c r="B185" s="74"/>
      <c r="C185" s="360" t="s">
        <v>2459</v>
      </c>
      <c r="D185" s="351"/>
      <c r="E185" s="133" t="s">
        <v>2455</v>
      </c>
      <c r="F185" s="140" t="s">
        <v>2421</v>
      </c>
      <c r="G185" s="140" t="s">
        <v>2457</v>
      </c>
      <c r="H185" s="141" t="s">
        <v>2417</v>
      </c>
      <c r="I185" s="134" t="s">
        <v>2418</v>
      </c>
      <c r="J185" s="141" t="s">
        <v>2417</v>
      </c>
      <c r="K185" s="141" t="s">
        <v>2417</v>
      </c>
      <c r="L185" s="141" t="s">
        <v>2417</v>
      </c>
      <c r="M185" s="133" t="s">
        <v>2417</v>
      </c>
      <c r="N185" s="133" t="s">
        <v>2417</v>
      </c>
      <c r="O185" s="133" t="s">
        <v>2417</v>
      </c>
      <c r="P185" s="141" t="s">
        <v>2417</v>
      </c>
      <c r="Q185" s="133" t="s">
        <v>2417</v>
      </c>
      <c r="R185" s="133" t="s">
        <v>2417</v>
      </c>
      <c r="S185" s="141" t="s">
        <v>2417</v>
      </c>
      <c r="T185" s="141" t="s">
        <v>2417</v>
      </c>
      <c r="U185" s="141" t="s">
        <v>2417</v>
      </c>
      <c r="V185" s="141" t="s">
        <v>2417</v>
      </c>
      <c r="W185" s="141" t="s">
        <v>2417</v>
      </c>
      <c r="X185" s="141" t="s">
        <v>2417</v>
      </c>
      <c r="Y185" s="141" t="s">
        <v>2417</v>
      </c>
      <c r="Z185" s="141" t="s">
        <v>2417</v>
      </c>
      <c r="AA185" s="133" t="s">
        <v>2417</v>
      </c>
      <c r="AB185" s="133" t="s">
        <v>2417</v>
      </c>
      <c r="AC185" s="133" t="s">
        <v>2417</v>
      </c>
      <c r="AD185" s="133" t="s">
        <v>2417</v>
      </c>
      <c r="AE185" s="140"/>
    </row>
    <row r="186" spans="1:31" ht="13.2" outlineLevel="1">
      <c r="A186" s="385" t="s">
        <v>963</v>
      </c>
      <c r="B186" s="350"/>
      <c r="C186" s="350"/>
      <c r="D186" s="351"/>
      <c r="E186" s="141" t="s">
        <v>2417</v>
      </c>
      <c r="F186" s="140" t="s">
        <v>2421</v>
      </c>
      <c r="G186" s="141" t="s">
        <v>2417</v>
      </c>
      <c r="H186" s="141" t="s">
        <v>2417</v>
      </c>
      <c r="I186" s="134" t="s">
        <v>2418</v>
      </c>
      <c r="J186" s="141" t="s">
        <v>2417</v>
      </c>
      <c r="K186" s="141" t="s">
        <v>2417</v>
      </c>
      <c r="L186" s="141" t="s">
        <v>2417</v>
      </c>
      <c r="M186" s="133" t="s">
        <v>2417</v>
      </c>
      <c r="N186" s="133" t="s">
        <v>2417</v>
      </c>
      <c r="O186" s="133" t="s">
        <v>2417</v>
      </c>
      <c r="P186" s="141" t="s">
        <v>2417</v>
      </c>
      <c r="Q186" s="141" t="s">
        <v>2417</v>
      </c>
      <c r="R186" s="133" t="s">
        <v>2417</v>
      </c>
      <c r="S186" s="141" t="s">
        <v>2417</v>
      </c>
      <c r="T186" s="141" t="s">
        <v>2417</v>
      </c>
      <c r="U186" s="141" t="s">
        <v>2417</v>
      </c>
      <c r="V186" s="141" t="s">
        <v>2417</v>
      </c>
      <c r="W186" s="141" t="s">
        <v>2417</v>
      </c>
      <c r="X186" s="141" t="s">
        <v>2417</v>
      </c>
      <c r="Y186" s="141" t="s">
        <v>2417</v>
      </c>
      <c r="Z186" s="141" t="s">
        <v>2417</v>
      </c>
      <c r="AA186" s="133" t="s">
        <v>2417</v>
      </c>
      <c r="AB186" s="133" t="s">
        <v>2417</v>
      </c>
      <c r="AC186" s="133" t="s">
        <v>2417</v>
      </c>
      <c r="AD186" s="133" t="s">
        <v>2417</v>
      </c>
      <c r="AE186" s="143"/>
    </row>
    <row r="187" spans="1:31" ht="13.2" outlineLevel="2">
      <c r="A187" s="73" t="s">
        <v>964</v>
      </c>
      <c r="B187" s="75"/>
      <c r="C187" s="387" t="s">
        <v>2460</v>
      </c>
      <c r="D187" s="351"/>
      <c r="E187" s="141" t="s">
        <v>2417</v>
      </c>
      <c r="F187" s="140" t="s">
        <v>2421</v>
      </c>
      <c r="G187" s="141" t="s">
        <v>2417</v>
      </c>
      <c r="H187" s="141" t="s">
        <v>2417</v>
      </c>
      <c r="I187" s="134" t="s">
        <v>2418</v>
      </c>
      <c r="J187" s="141" t="s">
        <v>2417</v>
      </c>
      <c r="K187" s="141" t="s">
        <v>2417</v>
      </c>
      <c r="L187" s="141" t="s">
        <v>2417</v>
      </c>
      <c r="M187" s="133" t="s">
        <v>2417</v>
      </c>
      <c r="N187" s="133" t="s">
        <v>2417</v>
      </c>
      <c r="O187" s="133" t="s">
        <v>2417</v>
      </c>
      <c r="P187" s="141" t="s">
        <v>2417</v>
      </c>
      <c r="Q187" s="141" t="s">
        <v>2417</v>
      </c>
      <c r="R187" s="133" t="s">
        <v>2417</v>
      </c>
      <c r="S187" s="141" t="s">
        <v>2417</v>
      </c>
      <c r="T187" s="141" t="s">
        <v>2417</v>
      </c>
      <c r="U187" s="141" t="s">
        <v>2417</v>
      </c>
      <c r="V187" s="141" t="s">
        <v>2417</v>
      </c>
      <c r="W187" s="141" t="s">
        <v>2417</v>
      </c>
      <c r="X187" s="141" t="s">
        <v>2417</v>
      </c>
      <c r="Y187" s="141" t="s">
        <v>2417</v>
      </c>
      <c r="Z187" s="141" t="s">
        <v>2417</v>
      </c>
      <c r="AA187" s="133" t="s">
        <v>2417</v>
      </c>
      <c r="AB187" s="133" t="s">
        <v>2417</v>
      </c>
      <c r="AC187" s="133" t="s">
        <v>2417</v>
      </c>
      <c r="AD187" s="133" t="s">
        <v>2417</v>
      </c>
      <c r="AE187" s="145"/>
    </row>
    <row r="188" spans="1:31" ht="13.2" outlineLevel="2">
      <c r="A188" s="76" t="s">
        <v>966</v>
      </c>
      <c r="B188" s="63" t="s">
        <v>967</v>
      </c>
      <c r="C188" s="387" t="s">
        <v>968</v>
      </c>
      <c r="D188" s="351"/>
      <c r="E188" s="141" t="s">
        <v>2417</v>
      </c>
      <c r="F188" s="140" t="s">
        <v>2421</v>
      </c>
      <c r="G188" s="141" t="s">
        <v>2417</v>
      </c>
      <c r="H188" s="141" t="s">
        <v>2417</v>
      </c>
      <c r="I188" s="134" t="s">
        <v>2418</v>
      </c>
      <c r="J188" s="141" t="s">
        <v>2417</v>
      </c>
      <c r="K188" s="141" t="s">
        <v>2417</v>
      </c>
      <c r="L188" s="141" t="s">
        <v>2417</v>
      </c>
      <c r="M188" s="133" t="s">
        <v>2417</v>
      </c>
      <c r="N188" s="133" t="s">
        <v>2417</v>
      </c>
      <c r="O188" s="133" t="s">
        <v>2417</v>
      </c>
      <c r="P188" s="141" t="s">
        <v>2417</v>
      </c>
      <c r="Q188" s="133" t="s">
        <v>2417</v>
      </c>
      <c r="R188" s="133" t="s">
        <v>2417</v>
      </c>
      <c r="S188" s="133" t="s">
        <v>2417</v>
      </c>
      <c r="T188" s="133" t="s">
        <v>2417</v>
      </c>
      <c r="U188" s="133" t="s">
        <v>2417</v>
      </c>
      <c r="V188" s="133" t="s">
        <v>2417</v>
      </c>
      <c r="W188" s="133" t="s">
        <v>2417</v>
      </c>
      <c r="X188" s="133" t="s">
        <v>2417</v>
      </c>
      <c r="Y188" s="133" t="s">
        <v>2417</v>
      </c>
      <c r="Z188" s="133" t="s">
        <v>2417</v>
      </c>
      <c r="AA188" s="133" t="s">
        <v>2417</v>
      </c>
      <c r="AB188" s="133" t="s">
        <v>2417</v>
      </c>
      <c r="AC188" s="133" t="s">
        <v>2417</v>
      </c>
      <c r="AD188" s="133" t="s">
        <v>2417</v>
      </c>
      <c r="AE188" s="145"/>
    </row>
    <row r="189" spans="1:31" ht="20.399999999999999" outlineLevel="1">
      <c r="A189" s="385" t="s">
        <v>969</v>
      </c>
      <c r="B189" s="350"/>
      <c r="C189" s="350"/>
      <c r="D189" s="351"/>
      <c r="E189" s="141" t="s">
        <v>2417</v>
      </c>
      <c r="F189" s="140" t="s">
        <v>592</v>
      </c>
      <c r="G189" s="141" t="s">
        <v>2417</v>
      </c>
      <c r="H189" s="141" t="s">
        <v>2417</v>
      </c>
      <c r="I189" s="134" t="s">
        <v>2418</v>
      </c>
      <c r="J189" s="141" t="s">
        <v>2417</v>
      </c>
      <c r="K189" s="141" t="s">
        <v>2417</v>
      </c>
      <c r="L189" s="141" t="s">
        <v>2417</v>
      </c>
      <c r="M189" s="133" t="s">
        <v>2417</v>
      </c>
      <c r="N189" s="133" t="s">
        <v>2417</v>
      </c>
      <c r="O189" s="133" t="s">
        <v>2417</v>
      </c>
      <c r="P189" s="141" t="s">
        <v>2417</v>
      </c>
      <c r="Q189" s="141" t="s">
        <v>2417</v>
      </c>
      <c r="R189" s="133" t="s">
        <v>2417</v>
      </c>
      <c r="S189" s="141" t="s">
        <v>2417</v>
      </c>
      <c r="T189" s="141" t="s">
        <v>2417</v>
      </c>
      <c r="U189" s="141" t="s">
        <v>2417</v>
      </c>
      <c r="V189" s="141" t="s">
        <v>2417</v>
      </c>
      <c r="W189" s="141" t="s">
        <v>2417</v>
      </c>
      <c r="X189" s="141" t="s">
        <v>2417</v>
      </c>
      <c r="Y189" s="141" t="s">
        <v>2417</v>
      </c>
      <c r="Z189" s="141" t="s">
        <v>2417</v>
      </c>
      <c r="AA189" s="133" t="s">
        <v>2417</v>
      </c>
      <c r="AB189" s="133" t="s">
        <v>2417</v>
      </c>
      <c r="AC189" s="133" t="s">
        <v>2417</v>
      </c>
      <c r="AD189" s="133" t="s">
        <v>2417</v>
      </c>
      <c r="AE189" s="143"/>
    </row>
    <row r="190" spans="1:31" ht="20.399999999999999" outlineLevel="2">
      <c r="A190" s="73" t="s">
        <v>970</v>
      </c>
      <c r="B190" s="74"/>
      <c r="C190" s="360" t="s">
        <v>971</v>
      </c>
      <c r="D190" s="351"/>
      <c r="E190" s="141" t="s">
        <v>2417</v>
      </c>
      <c r="F190" s="140" t="s">
        <v>592</v>
      </c>
      <c r="G190" s="141" t="s">
        <v>2417</v>
      </c>
      <c r="H190" s="141" t="s">
        <v>2417</v>
      </c>
      <c r="I190" s="134" t="s">
        <v>2418</v>
      </c>
      <c r="J190" s="141" t="s">
        <v>2417</v>
      </c>
      <c r="K190" s="141" t="s">
        <v>2417</v>
      </c>
      <c r="L190" s="141" t="s">
        <v>2417</v>
      </c>
      <c r="M190" s="133" t="s">
        <v>2417</v>
      </c>
      <c r="N190" s="133" t="s">
        <v>2417</v>
      </c>
      <c r="O190" s="133" t="s">
        <v>2417</v>
      </c>
      <c r="P190" s="141" t="s">
        <v>2417</v>
      </c>
      <c r="Q190" s="141" t="s">
        <v>2417</v>
      </c>
      <c r="R190" s="133" t="s">
        <v>2417</v>
      </c>
      <c r="S190" s="141" t="s">
        <v>2417</v>
      </c>
      <c r="T190" s="141" t="s">
        <v>2417</v>
      </c>
      <c r="U190" s="141" t="s">
        <v>2417</v>
      </c>
      <c r="V190" s="141" t="s">
        <v>2417</v>
      </c>
      <c r="W190" s="141" t="s">
        <v>2417</v>
      </c>
      <c r="X190" s="141" t="s">
        <v>2417</v>
      </c>
      <c r="Y190" s="141" t="s">
        <v>2417</v>
      </c>
      <c r="Z190" s="141" t="s">
        <v>2417</v>
      </c>
      <c r="AA190" s="133" t="s">
        <v>2417</v>
      </c>
      <c r="AB190" s="133" t="s">
        <v>2417</v>
      </c>
      <c r="AC190" s="133" t="s">
        <v>2417</v>
      </c>
      <c r="AD190" s="133" t="s">
        <v>2417</v>
      </c>
      <c r="AE190" s="140"/>
    </row>
    <row r="191" spans="1:31" ht="20.399999999999999" outlineLevel="1">
      <c r="A191" s="385" t="s">
        <v>972</v>
      </c>
      <c r="B191" s="350"/>
      <c r="C191" s="350"/>
      <c r="D191" s="351"/>
      <c r="E191" s="141" t="s">
        <v>2417</v>
      </c>
      <c r="F191" s="140" t="s">
        <v>592</v>
      </c>
      <c r="G191" s="141" t="s">
        <v>2417</v>
      </c>
      <c r="H191" s="141" t="s">
        <v>2417</v>
      </c>
      <c r="I191" s="134" t="s">
        <v>2418</v>
      </c>
      <c r="J191" s="141" t="s">
        <v>2417</v>
      </c>
      <c r="K191" s="141" t="s">
        <v>2417</v>
      </c>
      <c r="L191" s="141" t="s">
        <v>2417</v>
      </c>
      <c r="M191" s="133" t="s">
        <v>2417</v>
      </c>
      <c r="N191" s="133" t="s">
        <v>2417</v>
      </c>
      <c r="O191" s="133" t="s">
        <v>2417</v>
      </c>
      <c r="P191" s="141" t="s">
        <v>2417</v>
      </c>
      <c r="Q191" s="141" t="s">
        <v>2417</v>
      </c>
      <c r="R191" s="133" t="s">
        <v>2417</v>
      </c>
      <c r="S191" s="141" t="s">
        <v>2417</v>
      </c>
      <c r="T191" s="141" t="s">
        <v>2417</v>
      </c>
      <c r="U191" s="141" t="s">
        <v>2417</v>
      </c>
      <c r="V191" s="141" t="s">
        <v>2417</v>
      </c>
      <c r="W191" s="141" t="s">
        <v>2417</v>
      </c>
      <c r="X191" s="141" t="s">
        <v>2417</v>
      </c>
      <c r="Y191" s="141" t="s">
        <v>2417</v>
      </c>
      <c r="Z191" s="141" t="s">
        <v>2417</v>
      </c>
      <c r="AA191" s="133" t="s">
        <v>2417</v>
      </c>
      <c r="AB191" s="133" t="s">
        <v>2417</v>
      </c>
      <c r="AC191" s="133" t="s">
        <v>2417</v>
      </c>
      <c r="AD191" s="133" t="s">
        <v>2417</v>
      </c>
      <c r="AE191" s="143"/>
    </row>
    <row r="192" spans="1:31" ht="20.399999999999999" outlineLevel="2">
      <c r="A192" s="61" t="s">
        <v>973</v>
      </c>
      <c r="B192" s="77"/>
      <c r="C192" s="360" t="s">
        <v>974</v>
      </c>
      <c r="D192" s="351"/>
      <c r="E192" s="141" t="s">
        <v>2417</v>
      </c>
      <c r="F192" s="140" t="s">
        <v>592</v>
      </c>
      <c r="G192" s="141" t="s">
        <v>2417</v>
      </c>
      <c r="H192" s="141" t="s">
        <v>2417</v>
      </c>
      <c r="I192" s="134" t="s">
        <v>2418</v>
      </c>
      <c r="J192" s="141" t="s">
        <v>2417</v>
      </c>
      <c r="K192" s="141" t="s">
        <v>2417</v>
      </c>
      <c r="L192" s="141" t="s">
        <v>2417</v>
      </c>
      <c r="M192" s="133" t="s">
        <v>2417</v>
      </c>
      <c r="N192" s="133" t="s">
        <v>2417</v>
      </c>
      <c r="O192" s="133" t="s">
        <v>2417</v>
      </c>
      <c r="P192" s="141" t="s">
        <v>2417</v>
      </c>
      <c r="Q192" s="141" t="s">
        <v>2417</v>
      </c>
      <c r="R192" s="133" t="s">
        <v>2417</v>
      </c>
      <c r="S192" s="141" t="s">
        <v>2417</v>
      </c>
      <c r="T192" s="141" t="s">
        <v>2417</v>
      </c>
      <c r="U192" s="141" t="s">
        <v>2417</v>
      </c>
      <c r="V192" s="141" t="s">
        <v>2417</v>
      </c>
      <c r="W192" s="141" t="s">
        <v>2417</v>
      </c>
      <c r="X192" s="141" t="s">
        <v>2417</v>
      </c>
      <c r="Y192" s="141" t="s">
        <v>2417</v>
      </c>
      <c r="Z192" s="141" t="s">
        <v>2417</v>
      </c>
      <c r="AA192" s="133" t="s">
        <v>2417</v>
      </c>
      <c r="AB192" s="133" t="s">
        <v>2417</v>
      </c>
      <c r="AC192" s="133" t="s">
        <v>2417</v>
      </c>
      <c r="AD192" s="133" t="s">
        <v>2417</v>
      </c>
      <c r="AE192" s="137"/>
    </row>
    <row r="193" spans="1:31" ht="13.2" outlineLevel="1">
      <c r="A193" s="425" t="s">
        <v>975</v>
      </c>
      <c r="B193" s="350"/>
      <c r="C193" s="350"/>
      <c r="D193" s="351"/>
      <c r="E193" s="133" t="s">
        <v>2455</v>
      </c>
      <c r="F193" s="140" t="s">
        <v>2396</v>
      </c>
      <c r="G193" s="141" t="s">
        <v>2417</v>
      </c>
      <c r="H193" s="141" t="s">
        <v>2417</v>
      </c>
      <c r="I193" s="134" t="s">
        <v>2418</v>
      </c>
      <c r="J193" s="141" t="s">
        <v>2417</v>
      </c>
      <c r="K193" s="137" t="s">
        <v>2422</v>
      </c>
      <c r="L193" s="141" t="s">
        <v>2417</v>
      </c>
      <c r="M193" s="133" t="s">
        <v>2417</v>
      </c>
      <c r="N193" s="133" t="s">
        <v>2417</v>
      </c>
      <c r="O193" s="133" t="s">
        <v>2417</v>
      </c>
      <c r="P193" s="141" t="s">
        <v>2417</v>
      </c>
      <c r="Q193" s="133" t="s">
        <v>2417</v>
      </c>
      <c r="R193" s="133" t="s">
        <v>2417</v>
      </c>
      <c r="S193" s="141" t="s">
        <v>2417</v>
      </c>
      <c r="T193" s="141" t="s">
        <v>2417</v>
      </c>
      <c r="U193" s="141" t="s">
        <v>2417</v>
      </c>
      <c r="V193" s="141" t="s">
        <v>2417</v>
      </c>
      <c r="W193" s="141" t="s">
        <v>2417</v>
      </c>
      <c r="X193" s="141" t="s">
        <v>2417</v>
      </c>
      <c r="Y193" s="141" t="s">
        <v>2417</v>
      </c>
      <c r="Z193" s="141" t="s">
        <v>2417</v>
      </c>
      <c r="AA193" s="133" t="s">
        <v>2417</v>
      </c>
      <c r="AB193" s="133" t="s">
        <v>2417</v>
      </c>
      <c r="AC193" s="133" t="s">
        <v>2417</v>
      </c>
      <c r="AD193" s="133" t="s">
        <v>2417</v>
      </c>
      <c r="AE193" s="143"/>
    </row>
    <row r="194" spans="1:31" ht="13.2" outlineLevel="2">
      <c r="A194" s="73" t="s">
        <v>976</v>
      </c>
      <c r="B194" s="74"/>
      <c r="C194" s="360" t="s">
        <v>977</v>
      </c>
      <c r="D194" s="351"/>
      <c r="E194" s="133" t="s">
        <v>2455</v>
      </c>
      <c r="F194" s="140" t="s">
        <v>2396</v>
      </c>
      <c r="G194" s="141" t="s">
        <v>2417</v>
      </c>
      <c r="H194" s="141" t="s">
        <v>2417</v>
      </c>
      <c r="I194" s="134" t="s">
        <v>2418</v>
      </c>
      <c r="J194" s="141" t="s">
        <v>2417</v>
      </c>
      <c r="K194" s="137" t="s">
        <v>2422</v>
      </c>
      <c r="L194" s="141" t="s">
        <v>2417</v>
      </c>
      <c r="M194" s="133" t="s">
        <v>2417</v>
      </c>
      <c r="N194" s="133" t="s">
        <v>2417</v>
      </c>
      <c r="O194" s="133" t="s">
        <v>2417</v>
      </c>
      <c r="P194" s="141" t="s">
        <v>2417</v>
      </c>
      <c r="Q194" s="133" t="s">
        <v>2417</v>
      </c>
      <c r="R194" s="133" t="s">
        <v>2417</v>
      </c>
      <c r="S194" s="141" t="s">
        <v>2417</v>
      </c>
      <c r="T194" s="141" t="s">
        <v>2417</v>
      </c>
      <c r="U194" s="141" t="s">
        <v>2417</v>
      </c>
      <c r="V194" s="141" t="s">
        <v>2417</v>
      </c>
      <c r="W194" s="141" t="s">
        <v>2417</v>
      </c>
      <c r="X194" s="141" t="s">
        <v>2417</v>
      </c>
      <c r="Y194" s="141" t="s">
        <v>2417</v>
      </c>
      <c r="Z194" s="141" t="s">
        <v>2417</v>
      </c>
      <c r="AA194" s="133" t="s">
        <v>2417</v>
      </c>
      <c r="AB194" s="133" t="s">
        <v>2417</v>
      </c>
      <c r="AC194" s="133" t="s">
        <v>2417</v>
      </c>
      <c r="AD194" s="133" t="s">
        <v>2417</v>
      </c>
      <c r="AE194" s="140"/>
    </row>
    <row r="195" spans="1:31" ht="13.2" outlineLevel="1">
      <c r="A195" s="385" t="s">
        <v>978</v>
      </c>
      <c r="B195" s="350"/>
      <c r="C195" s="350"/>
      <c r="D195" s="351"/>
      <c r="E195" s="133" t="s">
        <v>2455</v>
      </c>
      <c r="F195" s="141" t="s">
        <v>2417</v>
      </c>
      <c r="G195" s="141" t="s">
        <v>2417</v>
      </c>
      <c r="H195" s="141" t="s">
        <v>2417</v>
      </c>
      <c r="I195" s="134" t="s">
        <v>2418</v>
      </c>
      <c r="J195" s="141" t="s">
        <v>2417</v>
      </c>
      <c r="K195" s="141" t="s">
        <v>2417</v>
      </c>
      <c r="L195" s="141" t="s">
        <v>2417</v>
      </c>
      <c r="M195" s="133" t="s">
        <v>2417</v>
      </c>
      <c r="N195" s="133" t="s">
        <v>2417</v>
      </c>
      <c r="O195" s="133" t="s">
        <v>2417</v>
      </c>
      <c r="P195" s="141" t="s">
        <v>2417</v>
      </c>
      <c r="Q195" s="141" t="s">
        <v>2417</v>
      </c>
      <c r="R195" s="133" t="s">
        <v>2417</v>
      </c>
      <c r="S195" s="141" t="s">
        <v>2417</v>
      </c>
      <c r="T195" s="141" t="s">
        <v>2417</v>
      </c>
      <c r="U195" s="141" t="s">
        <v>2417</v>
      </c>
      <c r="V195" s="141" t="s">
        <v>2417</v>
      </c>
      <c r="W195" s="141" t="s">
        <v>2417</v>
      </c>
      <c r="X195" s="141" t="s">
        <v>2417</v>
      </c>
      <c r="Y195" s="141" t="s">
        <v>2417</v>
      </c>
      <c r="Z195" s="141" t="s">
        <v>2417</v>
      </c>
      <c r="AA195" s="133" t="s">
        <v>2417</v>
      </c>
      <c r="AB195" s="133" t="s">
        <v>2417</v>
      </c>
      <c r="AC195" s="133" t="s">
        <v>2417</v>
      </c>
      <c r="AD195" s="133" t="s">
        <v>2417</v>
      </c>
      <c r="AE195" s="143"/>
    </row>
    <row r="196" spans="1:31" ht="13.2" outlineLevel="2">
      <c r="A196" s="61" t="s">
        <v>979</v>
      </c>
      <c r="B196" s="77"/>
      <c r="C196" s="360" t="s">
        <v>980</v>
      </c>
      <c r="D196" s="351"/>
      <c r="E196" s="141" t="s">
        <v>2417</v>
      </c>
      <c r="F196" s="141" t="s">
        <v>2417</v>
      </c>
      <c r="G196" s="141" t="s">
        <v>2417</v>
      </c>
      <c r="H196" s="141" t="s">
        <v>2417</v>
      </c>
      <c r="I196" s="134" t="s">
        <v>2418</v>
      </c>
      <c r="J196" s="141" t="s">
        <v>2417</v>
      </c>
      <c r="K196" s="141" t="s">
        <v>2417</v>
      </c>
      <c r="L196" s="141" t="s">
        <v>2417</v>
      </c>
      <c r="M196" s="133" t="s">
        <v>2417</v>
      </c>
      <c r="N196" s="133" t="s">
        <v>2417</v>
      </c>
      <c r="O196" s="133" t="s">
        <v>2417</v>
      </c>
      <c r="P196" s="141" t="s">
        <v>2417</v>
      </c>
      <c r="Q196" s="141" t="s">
        <v>2417</v>
      </c>
      <c r="R196" s="133" t="s">
        <v>2417</v>
      </c>
      <c r="S196" s="141" t="s">
        <v>2417</v>
      </c>
      <c r="T196" s="141" t="s">
        <v>2417</v>
      </c>
      <c r="U196" s="141" t="s">
        <v>2417</v>
      </c>
      <c r="V196" s="141" t="s">
        <v>2417</v>
      </c>
      <c r="W196" s="141" t="s">
        <v>2417</v>
      </c>
      <c r="X196" s="141" t="s">
        <v>2417</v>
      </c>
      <c r="Y196" s="141" t="s">
        <v>2417</v>
      </c>
      <c r="Z196" s="141" t="s">
        <v>2417</v>
      </c>
      <c r="AA196" s="133" t="s">
        <v>2417</v>
      </c>
      <c r="AB196" s="133" t="s">
        <v>2417</v>
      </c>
      <c r="AC196" s="133" t="s">
        <v>2417</v>
      </c>
      <c r="AD196" s="133" t="s">
        <v>2417</v>
      </c>
      <c r="AE196" s="123"/>
    </row>
    <row r="197" spans="1:31" ht="13.2" hidden="1" outlineLevel="1">
      <c r="A197" s="385" t="s">
        <v>2461</v>
      </c>
      <c r="B197" s="350"/>
      <c r="C197" s="350"/>
      <c r="D197" s="351"/>
      <c r="E197" s="133" t="s">
        <v>2455</v>
      </c>
      <c r="F197" s="141" t="s">
        <v>2417</v>
      </c>
      <c r="G197" s="141" t="s">
        <v>2417</v>
      </c>
      <c r="H197" s="137" t="s">
        <v>2462</v>
      </c>
      <c r="I197" s="134" t="s">
        <v>2418</v>
      </c>
      <c r="J197" s="141" t="s">
        <v>2417</v>
      </c>
      <c r="K197" s="141" t="s">
        <v>2417</v>
      </c>
      <c r="L197" s="141" t="s">
        <v>2417</v>
      </c>
      <c r="M197" s="133" t="s">
        <v>2417</v>
      </c>
      <c r="N197" s="133" t="s">
        <v>2417</v>
      </c>
      <c r="O197" s="133" t="s">
        <v>2417</v>
      </c>
      <c r="P197" s="141" t="s">
        <v>2417</v>
      </c>
      <c r="Q197" s="141" t="s">
        <v>2417</v>
      </c>
      <c r="R197" s="133" t="s">
        <v>2417</v>
      </c>
      <c r="S197" s="141" t="s">
        <v>2417</v>
      </c>
      <c r="T197" s="141" t="s">
        <v>2417</v>
      </c>
      <c r="U197" s="141" t="s">
        <v>2417</v>
      </c>
      <c r="V197" s="141" t="s">
        <v>2417</v>
      </c>
      <c r="W197" s="141" t="s">
        <v>2417</v>
      </c>
      <c r="X197" s="141" t="s">
        <v>2417</v>
      </c>
      <c r="Y197" s="141" t="s">
        <v>2417</v>
      </c>
      <c r="Z197" s="141" t="s">
        <v>2417</v>
      </c>
      <c r="AA197" s="133" t="s">
        <v>2417</v>
      </c>
      <c r="AB197" s="133" t="s">
        <v>2417</v>
      </c>
      <c r="AC197" s="133" t="s">
        <v>2417</v>
      </c>
      <c r="AD197" s="133" t="s">
        <v>2417</v>
      </c>
      <c r="AE197" s="143"/>
    </row>
    <row r="198" spans="1:31" ht="13.2" hidden="1" outlineLevel="2">
      <c r="A198" s="61" t="s">
        <v>2463</v>
      </c>
      <c r="B198" s="77"/>
      <c r="C198" s="360" t="s">
        <v>2464</v>
      </c>
      <c r="D198" s="351"/>
      <c r="E198" s="133" t="s">
        <v>2455</v>
      </c>
      <c r="F198" s="141" t="s">
        <v>2417</v>
      </c>
      <c r="G198" s="141" t="s">
        <v>2417</v>
      </c>
      <c r="H198" s="137" t="s">
        <v>2462</v>
      </c>
      <c r="I198" s="134" t="s">
        <v>2418</v>
      </c>
      <c r="J198" s="141" t="s">
        <v>2417</v>
      </c>
      <c r="K198" s="141" t="s">
        <v>2417</v>
      </c>
      <c r="L198" s="141" t="s">
        <v>2417</v>
      </c>
      <c r="M198" s="133" t="s">
        <v>2417</v>
      </c>
      <c r="N198" s="133" t="s">
        <v>2417</v>
      </c>
      <c r="O198" s="133" t="s">
        <v>2417</v>
      </c>
      <c r="P198" s="141" t="s">
        <v>2417</v>
      </c>
      <c r="Q198" s="141" t="s">
        <v>2417</v>
      </c>
      <c r="R198" s="133" t="s">
        <v>2417</v>
      </c>
      <c r="S198" s="141" t="s">
        <v>2417</v>
      </c>
      <c r="T198" s="141" t="s">
        <v>2417</v>
      </c>
      <c r="U198" s="141" t="s">
        <v>2417</v>
      </c>
      <c r="V198" s="141" t="s">
        <v>2417</v>
      </c>
      <c r="W198" s="141" t="s">
        <v>2417</v>
      </c>
      <c r="X198" s="141" t="s">
        <v>2417</v>
      </c>
      <c r="Y198" s="141" t="s">
        <v>2417</v>
      </c>
      <c r="Z198" s="141" t="s">
        <v>2417</v>
      </c>
      <c r="AA198" s="133" t="s">
        <v>2417</v>
      </c>
      <c r="AB198" s="133" t="s">
        <v>2417</v>
      </c>
      <c r="AC198" s="133" t="s">
        <v>2417</v>
      </c>
      <c r="AD198" s="133" t="s">
        <v>2417</v>
      </c>
      <c r="AE198" s="137"/>
    </row>
    <row r="199" spans="1:31" ht="13.2" hidden="1" outlineLevel="1">
      <c r="A199" s="382" t="s">
        <v>2465</v>
      </c>
      <c r="B199" s="350"/>
      <c r="C199" s="350"/>
      <c r="D199" s="351"/>
      <c r="E199" s="133" t="s">
        <v>2455</v>
      </c>
      <c r="F199" s="140" t="s">
        <v>2396</v>
      </c>
      <c r="G199" s="141" t="s">
        <v>2417</v>
      </c>
      <c r="H199" s="146" t="s">
        <v>2462</v>
      </c>
      <c r="I199" s="134" t="s">
        <v>2418</v>
      </c>
      <c r="J199" s="141" t="s">
        <v>2417</v>
      </c>
      <c r="K199" s="137" t="s">
        <v>2422</v>
      </c>
      <c r="L199" s="141" t="s">
        <v>2417</v>
      </c>
      <c r="M199" s="133" t="s">
        <v>2417</v>
      </c>
      <c r="N199" s="133" t="s">
        <v>2417</v>
      </c>
      <c r="O199" s="133" t="s">
        <v>2417</v>
      </c>
      <c r="P199" s="141" t="s">
        <v>2417</v>
      </c>
      <c r="Q199" s="133" t="s">
        <v>2417</v>
      </c>
      <c r="R199" s="133" t="s">
        <v>2417</v>
      </c>
      <c r="S199" s="141" t="s">
        <v>2417</v>
      </c>
      <c r="T199" s="141" t="s">
        <v>2417</v>
      </c>
      <c r="U199" s="141" t="s">
        <v>2417</v>
      </c>
      <c r="V199" s="141" t="s">
        <v>2417</v>
      </c>
      <c r="W199" s="141" t="s">
        <v>2417</v>
      </c>
      <c r="X199" s="141" t="s">
        <v>2417</v>
      </c>
      <c r="Y199" s="141" t="s">
        <v>2417</v>
      </c>
      <c r="Z199" s="141" t="s">
        <v>2417</v>
      </c>
      <c r="AA199" s="133" t="s">
        <v>2417</v>
      </c>
      <c r="AB199" s="133" t="s">
        <v>2417</v>
      </c>
      <c r="AC199" s="133" t="s">
        <v>2417</v>
      </c>
      <c r="AD199" s="133" t="s">
        <v>2417</v>
      </c>
      <c r="AE199" s="143"/>
    </row>
    <row r="200" spans="1:31" ht="13.2" hidden="1" outlineLevel="2">
      <c r="A200" s="61" t="s">
        <v>2466</v>
      </c>
      <c r="B200" s="77"/>
      <c r="C200" s="360" t="s">
        <v>2467</v>
      </c>
      <c r="D200" s="351"/>
      <c r="E200" s="133" t="s">
        <v>2455</v>
      </c>
      <c r="F200" s="140" t="s">
        <v>2396</v>
      </c>
      <c r="G200" s="141" t="s">
        <v>2417</v>
      </c>
      <c r="H200" s="146" t="s">
        <v>2462</v>
      </c>
      <c r="I200" s="134" t="s">
        <v>2418</v>
      </c>
      <c r="J200" s="141" t="s">
        <v>2417</v>
      </c>
      <c r="K200" s="137" t="s">
        <v>2422</v>
      </c>
      <c r="L200" s="141" t="s">
        <v>2417</v>
      </c>
      <c r="M200" s="133" t="s">
        <v>2417</v>
      </c>
      <c r="N200" s="133" t="s">
        <v>2417</v>
      </c>
      <c r="O200" s="133" t="s">
        <v>2417</v>
      </c>
      <c r="P200" s="141" t="s">
        <v>2417</v>
      </c>
      <c r="Q200" s="133" t="s">
        <v>2417</v>
      </c>
      <c r="R200" s="133" t="s">
        <v>2417</v>
      </c>
      <c r="S200" s="141" t="s">
        <v>2417</v>
      </c>
      <c r="T200" s="141" t="s">
        <v>2417</v>
      </c>
      <c r="U200" s="141" t="s">
        <v>2417</v>
      </c>
      <c r="V200" s="141" t="s">
        <v>2417</v>
      </c>
      <c r="W200" s="141" t="s">
        <v>2417</v>
      </c>
      <c r="X200" s="141" t="s">
        <v>2417</v>
      </c>
      <c r="Y200" s="141" t="s">
        <v>2417</v>
      </c>
      <c r="Z200" s="141" t="s">
        <v>2417</v>
      </c>
      <c r="AA200" s="133" t="s">
        <v>2417</v>
      </c>
      <c r="AB200" s="133" t="s">
        <v>2417</v>
      </c>
      <c r="AC200" s="133" t="s">
        <v>2417</v>
      </c>
      <c r="AD200" s="133" t="s">
        <v>2417</v>
      </c>
      <c r="AE200" s="137"/>
    </row>
    <row r="201" spans="1:31" ht="20.399999999999999" hidden="1" outlineLevel="1">
      <c r="A201" s="383" t="s">
        <v>2468</v>
      </c>
      <c r="B201" s="350"/>
      <c r="C201" s="350"/>
      <c r="D201" s="351"/>
      <c r="E201" s="133" t="s">
        <v>2454</v>
      </c>
      <c r="F201" s="140" t="s">
        <v>2396</v>
      </c>
      <c r="G201" s="141" t="s">
        <v>2417</v>
      </c>
      <c r="H201" s="137" t="s">
        <v>2469</v>
      </c>
      <c r="I201" s="134" t="s">
        <v>2418</v>
      </c>
      <c r="J201" s="141" t="s">
        <v>2417</v>
      </c>
      <c r="K201" s="137" t="s">
        <v>2424</v>
      </c>
      <c r="L201" s="141" t="s">
        <v>2417</v>
      </c>
      <c r="M201" s="133" t="s">
        <v>2417</v>
      </c>
      <c r="N201" s="133" t="s">
        <v>2417</v>
      </c>
      <c r="O201" s="133" t="s">
        <v>2417</v>
      </c>
      <c r="P201" s="141" t="s">
        <v>2417</v>
      </c>
      <c r="Q201" s="133" t="s">
        <v>2417</v>
      </c>
      <c r="R201" s="133" t="s">
        <v>2417</v>
      </c>
      <c r="S201" s="141" t="s">
        <v>2417</v>
      </c>
      <c r="T201" s="141" t="s">
        <v>2417</v>
      </c>
      <c r="U201" s="141" t="s">
        <v>2417</v>
      </c>
      <c r="V201" s="141" t="s">
        <v>2417</v>
      </c>
      <c r="W201" s="141" t="s">
        <v>2417</v>
      </c>
      <c r="X201" s="141" t="s">
        <v>2417</v>
      </c>
      <c r="Y201" s="141" t="s">
        <v>2417</v>
      </c>
      <c r="Z201" s="141" t="s">
        <v>2417</v>
      </c>
      <c r="AA201" s="133" t="s">
        <v>2417</v>
      </c>
      <c r="AB201" s="133" t="s">
        <v>2417</v>
      </c>
      <c r="AC201" s="133" t="s">
        <v>2417</v>
      </c>
      <c r="AD201" s="133" t="s">
        <v>2417</v>
      </c>
      <c r="AE201" s="143"/>
    </row>
    <row r="202" spans="1:31" ht="20.399999999999999" hidden="1" outlineLevel="2">
      <c r="A202" s="61" t="s">
        <v>2470</v>
      </c>
      <c r="B202" s="67"/>
      <c r="C202" s="360" t="s">
        <v>2471</v>
      </c>
      <c r="D202" s="351"/>
      <c r="E202" s="133" t="s">
        <v>2454</v>
      </c>
      <c r="F202" s="140" t="s">
        <v>2396</v>
      </c>
      <c r="G202" s="141" t="s">
        <v>2417</v>
      </c>
      <c r="H202" s="137" t="s">
        <v>2469</v>
      </c>
      <c r="I202" s="134" t="s">
        <v>2418</v>
      </c>
      <c r="J202" s="141" t="s">
        <v>2417</v>
      </c>
      <c r="K202" s="137" t="s">
        <v>2424</v>
      </c>
      <c r="L202" s="141" t="s">
        <v>2417</v>
      </c>
      <c r="M202" s="133" t="s">
        <v>2417</v>
      </c>
      <c r="N202" s="133" t="s">
        <v>2417</v>
      </c>
      <c r="O202" s="133" t="s">
        <v>2417</v>
      </c>
      <c r="P202" s="141" t="s">
        <v>2417</v>
      </c>
      <c r="Q202" s="133" t="s">
        <v>2417</v>
      </c>
      <c r="R202" s="133" t="s">
        <v>2417</v>
      </c>
      <c r="S202" s="141" t="s">
        <v>2417</v>
      </c>
      <c r="T202" s="141" t="s">
        <v>2417</v>
      </c>
      <c r="U202" s="141" t="s">
        <v>2417</v>
      </c>
      <c r="V202" s="141" t="s">
        <v>2417</v>
      </c>
      <c r="W202" s="141" t="s">
        <v>2417</v>
      </c>
      <c r="X202" s="141" t="s">
        <v>2417</v>
      </c>
      <c r="Y202" s="141" t="s">
        <v>2417</v>
      </c>
      <c r="Z202" s="141" t="s">
        <v>2417</v>
      </c>
      <c r="AA202" s="133" t="s">
        <v>2417</v>
      </c>
      <c r="AB202" s="133" t="s">
        <v>2417</v>
      </c>
      <c r="AC202" s="133" t="s">
        <v>2417</v>
      </c>
      <c r="AD202" s="133" t="s">
        <v>2417</v>
      </c>
      <c r="AE202" s="137"/>
    </row>
    <row r="203" spans="1:31" ht="20.399999999999999" hidden="1" outlineLevel="1">
      <c r="A203" s="382" t="s">
        <v>2472</v>
      </c>
      <c r="B203" s="350"/>
      <c r="C203" s="350"/>
      <c r="D203" s="351"/>
      <c r="E203" s="133" t="s">
        <v>2454</v>
      </c>
      <c r="F203" s="140" t="s">
        <v>2396</v>
      </c>
      <c r="G203" s="141" t="s">
        <v>2417</v>
      </c>
      <c r="H203" s="137" t="s">
        <v>2473</v>
      </c>
      <c r="I203" s="134" t="s">
        <v>2418</v>
      </c>
      <c r="J203" s="141" t="s">
        <v>2417</v>
      </c>
      <c r="K203" s="137" t="s">
        <v>2424</v>
      </c>
      <c r="L203" s="141" t="s">
        <v>2417</v>
      </c>
      <c r="M203" s="133" t="s">
        <v>2417</v>
      </c>
      <c r="N203" s="133" t="s">
        <v>2417</v>
      </c>
      <c r="O203" s="133" t="s">
        <v>2417</v>
      </c>
      <c r="P203" s="141" t="s">
        <v>2417</v>
      </c>
      <c r="Q203" s="133" t="s">
        <v>2417</v>
      </c>
      <c r="R203" s="133" t="s">
        <v>2417</v>
      </c>
      <c r="S203" s="141" t="s">
        <v>2417</v>
      </c>
      <c r="T203" s="141" t="s">
        <v>2417</v>
      </c>
      <c r="U203" s="141" t="s">
        <v>2417</v>
      </c>
      <c r="V203" s="141" t="s">
        <v>2417</v>
      </c>
      <c r="W203" s="141" t="s">
        <v>2417</v>
      </c>
      <c r="X203" s="141" t="s">
        <v>2417</v>
      </c>
      <c r="Y203" s="141" t="s">
        <v>2417</v>
      </c>
      <c r="Z203" s="141" t="s">
        <v>2417</v>
      </c>
      <c r="AA203" s="133" t="s">
        <v>2417</v>
      </c>
      <c r="AB203" s="133" t="s">
        <v>2417</v>
      </c>
      <c r="AC203" s="133" t="s">
        <v>2417</v>
      </c>
      <c r="AD203" s="133" t="s">
        <v>2417</v>
      </c>
      <c r="AE203" s="143"/>
    </row>
    <row r="204" spans="1:31" ht="20.399999999999999" hidden="1" outlineLevel="2">
      <c r="A204" s="61" t="s">
        <v>2474</v>
      </c>
      <c r="B204" s="67"/>
      <c r="C204" s="360" t="s">
        <v>2475</v>
      </c>
      <c r="D204" s="351"/>
      <c r="E204" s="133" t="s">
        <v>2454</v>
      </c>
      <c r="F204" s="140" t="s">
        <v>2396</v>
      </c>
      <c r="G204" s="141" t="s">
        <v>2417</v>
      </c>
      <c r="H204" s="137" t="s">
        <v>2473</v>
      </c>
      <c r="I204" s="134" t="s">
        <v>2418</v>
      </c>
      <c r="J204" s="141" t="s">
        <v>2417</v>
      </c>
      <c r="K204" s="137" t="s">
        <v>2424</v>
      </c>
      <c r="L204" s="141" t="s">
        <v>2417</v>
      </c>
      <c r="M204" s="133" t="s">
        <v>2417</v>
      </c>
      <c r="N204" s="133" t="s">
        <v>2417</v>
      </c>
      <c r="O204" s="133" t="s">
        <v>2417</v>
      </c>
      <c r="P204" s="141" t="s">
        <v>2417</v>
      </c>
      <c r="Q204" s="133" t="s">
        <v>2417</v>
      </c>
      <c r="R204" s="133" t="s">
        <v>2417</v>
      </c>
      <c r="S204" s="141" t="s">
        <v>2417</v>
      </c>
      <c r="T204" s="141" t="s">
        <v>2417</v>
      </c>
      <c r="U204" s="141" t="s">
        <v>2417</v>
      </c>
      <c r="V204" s="141" t="s">
        <v>2417</v>
      </c>
      <c r="W204" s="141" t="s">
        <v>2417</v>
      </c>
      <c r="X204" s="141" t="s">
        <v>2417</v>
      </c>
      <c r="Y204" s="141" t="s">
        <v>2417</v>
      </c>
      <c r="Z204" s="141" t="s">
        <v>2417</v>
      </c>
      <c r="AA204" s="133" t="s">
        <v>2417</v>
      </c>
      <c r="AB204" s="133" t="s">
        <v>2417</v>
      </c>
      <c r="AC204" s="133" t="s">
        <v>2417</v>
      </c>
      <c r="AD204" s="133" t="s">
        <v>2417</v>
      </c>
      <c r="AE204" s="137"/>
    </row>
    <row r="205" spans="1:31" ht="13.2" outlineLevel="1">
      <c r="A205" s="382" t="s">
        <v>981</v>
      </c>
      <c r="B205" s="350"/>
      <c r="C205" s="350"/>
      <c r="D205" s="351"/>
      <c r="E205" s="142" t="s">
        <v>2417</v>
      </c>
      <c r="F205" s="141" t="s">
        <v>2417</v>
      </c>
      <c r="G205" s="141" t="s">
        <v>2417</v>
      </c>
      <c r="H205" s="137" t="s">
        <v>2476</v>
      </c>
      <c r="I205" s="134" t="s">
        <v>2418</v>
      </c>
      <c r="J205" s="141" t="s">
        <v>2417</v>
      </c>
      <c r="K205" s="141" t="s">
        <v>2417</v>
      </c>
      <c r="L205" s="141" t="s">
        <v>2417</v>
      </c>
      <c r="M205" s="133" t="s">
        <v>2417</v>
      </c>
      <c r="N205" s="133" t="s">
        <v>2417</v>
      </c>
      <c r="O205" s="133" t="s">
        <v>2417</v>
      </c>
      <c r="P205" s="141" t="s">
        <v>2417</v>
      </c>
      <c r="Q205" s="141" t="s">
        <v>2417</v>
      </c>
      <c r="R205" s="133" t="s">
        <v>2417</v>
      </c>
      <c r="S205" s="141" t="s">
        <v>2417</v>
      </c>
      <c r="T205" s="141" t="s">
        <v>2417</v>
      </c>
      <c r="U205" s="141" t="s">
        <v>2417</v>
      </c>
      <c r="V205" s="141" t="s">
        <v>2417</v>
      </c>
      <c r="W205" s="141" t="s">
        <v>2417</v>
      </c>
      <c r="X205" s="141" t="s">
        <v>2417</v>
      </c>
      <c r="Y205" s="141" t="s">
        <v>2417</v>
      </c>
      <c r="Z205" s="141" t="s">
        <v>2417</v>
      </c>
      <c r="AA205" s="133" t="s">
        <v>2417</v>
      </c>
      <c r="AB205" s="133" t="s">
        <v>2417</v>
      </c>
      <c r="AC205" s="133" t="s">
        <v>2417</v>
      </c>
      <c r="AD205" s="133" t="s">
        <v>2417</v>
      </c>
      <c r="AE205" s="143"/>
    </row>
    <row r="206" spans="1:31" ht="13.2" outlineLevel="2">
      <c r="A206" s="61" t="s">
        <v>982</v>
      </c>
      <c r="B206" s="67"/>
      <c r="C206" s="360" t="s">
        <v>983</v>
      </c>
      <c r="D206" s="351"/>
      <c r="E206" s="142" t="s">
        <v>2417</v>
      </c>
      <c r="F206" s="141" t="s">
        <v>2417</v>
      </c>
      <c r="G206" s="141" t="s">
        <v>2417</v>
      </c>
      <c r="H206" s="137" t="s">
        <v>2476</v>
      </c>
      <c r="I206" s="134" t="s">
        <v>2418</v>
      </c>
      <c r="J206" s="141" t="s">
        <v>2417</v>
      </c>
      <c r="K206" s="141" t="s">
        <v>2417</v>
      </c>
      <c r="L206" s="141" t="s">
        <v>2417</v>
      </c>
      <c r="M206" s="133" t="s">
        <v>2417</v>
      </c>
      <c r="N206" s="133" t="s">
        <v>2417</v>
      </c>
      <c r="O206" s="133" t="s">
        <v>2417</v>
      </c>
      <c r="P206" s="141" t="s">
        <v>2417</v>
      </c>
      <c r="Q206" s="141" t="s">
        <v>2417</v>
      </c>
      <c r="R206" s="133" t="s">
        <v>2417</v>
      </c>
      <c r="S206" s="141" t="s">
        <v>2417</v>
      </c>
      <c r="T206" s="141" t="s">
        <v>2417</v>
      </c>
      <c r="U206" s="141" t="s">
        <v>2417</v>
      </c>
      <c r="V206" s="141" t="s">
        <v>2417</v>
      </c>
      <c r="W206" s="141" t="s">
        <v>2417</v>
      </c>
      <c r="X206" s="141" t="s">
        <v>2417</v>
      </c>
      <c r="Y206" s="141" t="s">
        <v>2417</v>
      </c>
      <c r="Z206" s="141" t="s">
        <v>2417</v>
      </c>
      <c r="AA206" s="133" t="s">
        <v>2417</v>
      </c>
      <c r="AB206" s="133" t="s">
        <v>2417</v>
      </c>
      <c r="AC206" s="133" t="s">
        <v>2417</v>
      </c>
      <c r="AD206" s="133" t="s">
        <v>2417</v>
      </c>
      <c r="AE206" s="137"/>
    </row>
    <row r="207" spans="1:31" ht="13.2" outlineLevel="1">
      <c r="A207" s="383" t="s">
        <v>984</v>
      </c>
      <c r="B207" s="350"/>
      <c r="C207" s="350"/>
      <c r="D207" s="351"/>
      <c r="E207" s="135" t="s">
        <v>2417</v>
      </c>
      <c r="F207" s="132" t="s">
        <v>2417</v>
      </c>
      <c r="G207" s="132" t="s">
        <v>2417</v>
      </c>
      <c r="H207" s="132" t="s">
        <v>2417</v>
      </c>
      <c r="I207" s="134" t="s">
        <v>2418</v>
      </c>
      <c r="J207" s="132" t="s">
        <v>2417</v>
      </c>
      <c r="K207" s="132" t="s">
        <v>2417</v>
      </c>
      <c r="L207" s="132" t="s">
        <v>2417</v>
      </c>
      <c r="M207" s="133" t="s">
        <v>2417</v>
      </c>
      <c r="N207" s="133" t="s">
        <v>2417</v>
      </c>
      <c r="O207" s="133" t="s">
        <v>2417</v>
      </c>
      <c r="P207" s="132" t="s">
        <v>2417</v>
      </c>
      <c r="Q207" s="132" t="s">
        <v>2417</v>
      </c>
      <c r="R207" s="133" t="s">
        <v>2417</v>
      </c>
      <c r="S207" s="132" t="s">
        <v>2417</v>
      </c>
      <c r="T207" s="132" t="s">
        <v>2417</v>
      </c>
      <c r="U207" s="132" t="s">
        <v>2417</v>
      </c>
      <c r="V207" s="132" t="s">
        <v>2417</v>
      </c>
      <c r="W207" s="132" t="s">
        <v>2417</v>
      </c>
      <c r="X207" s="132" t="s">
        <v>2417</v>
      </c>
      <c r="Y207" s="132" t="s">
        <v>2417</v>
      </c>
      <c r="Z207" s="132" t="s">
        <v>2417</v>
      </c>
      <c r="AA207" s="133" t="s">
        <v>2417</v>
      </c>
      <c r="AB207" s="133" t="s">
        <v>2417</v>
      </c>
      <c r="AC207" s="133" t="s">
        <v>2417</v>
      </c>
      <c r="AD207" s="133" t="s">
        <v>2417</v>
      </c>
      <c r="AE207" s="143"/>
    </row>
    <row r="208" spans="1:31" ht="13.2" outlineLevel="2">
      <c r="A208" s="61" t="s">
        <v>985</v>
      </c>
      <c r="B208" s="67"/>
      <c r="C208" s="360" t="s">
        <v>986</v>
      </c>
      <c r="D208" s="351"/>
      <c r="E208" s="135" t="s">
        <v>2417</v>
      </c>
      <c r="F208" s="132" t="s">
        <v>2417</v>
      </c>
      <c r="G208" s="132" t="s">
        <v>2417</v>
      </c>
      <c r="H208" s="132" t="s">
        <v>2417</v>
      </c>
      <c r="I208" s="134" t="s">
        <v>2418</v>
      </c>
      <c r="J208" s="132" t="s">
        <v>2417</v>
      </c>
      <c r="K208" s="132" t="s">
        <v>2417</v>
      </c>
      <c r="L208" s="132" t="s">
        <v>2417</v>
      </c>
      <c r="M208" s="133" t="s">
        <v>2417</v>
      </c>
      <c r="N208" s="133" t="s">
        <v>2417</v>
      </c>
      <c r="O208" s="133" t="s">
        <v>2417</v>
      </c>
      <c r="P208" s="132" t="s">
        <v>2417</v>
      </c>
      <c r="Q208" s="132" t="s">
        <v>2417</v>
      </c>
      <c r="R208" s="133" t="s">
        <v>2417</v>
      </c>
      <c r="S208" s="132" t="s">
        <v>2417</v>
      </c>
      <c r="T208" s="132" t="s">
        <v>2417</v>
      </c>
      <c r="U208" s="132" t="s">
        <v>2417</v>
      </c>
      <c r="V208" s="132" t="s">
        <v>2417</v>
      </c>
      <c r="W208" s="132" t="s">
        <v>2417</v>
      </c>
      <c r="X208" s="132" t="s">
        <v>2417</v>
      </c>
      <c r="Y208" s="132" t="s">
        <v>2417</v>
      </c>
      <c r="Z208" s="132" t="s">
        <v>2417</v>
      </c>
      <c r="AA208" s="133" t="s">
        <v>2417</v>
      </c>
      <c r="AB208" s="133" t="s">
        <v>2417</v>
      </c>
      <c r="AC208" s="133" t="s">
        <v>2417</v>
      </c>
      <c r="AD208" s="133" t="s">
        <v>2417</v>
      </c>
      <c r="AE208" s="137"/>
    </row>
    <row r="209" spans="1:31" ht="13.2" outlineLevel="1">
      <c r="A209" s="383" t="s">
        <v>987</v>
      </c>
      <c r="B209" s="350"/>
      <c r="C209" s="350"/>
      <c r="D209" s="351"/>
      <c r="E209" s="135" t="s">
        <v>2417</v>
      </c>
      <c r="F209" s="132" t="s">
        <v>2417</v>
      </c>
      <c r="G209" s="132" t="s">
        <v>2417</v>
      </c>
      <c r="H209" s="132" t="s">
        <v>2417</v>
      </c>
      <c r="I209" s="134" t="s">
        <v>2418</v>
      </c>
      <c r="J209" s="132" t="s">
        <v>2417</v>
      </c>
      <c r="K209" s="132" t="s">
        <v>2417</v>
      </c>
      <c r="L209" s="132" t="s">
        <v>2417</v>
      </c>
      <c r="M209" s="133" t="s">
        <v>2417</v>
      </c>
      <c r="N209" s="133" t="s">
        <v>2417</v>
      </c>
      <c r="O209" s="133" t="s">
        <v>2417</v>
      </c>
      <c r="P209" s="132" t="s">
        <v>2417</v>
      </c>
      <c r="Q209" s="132" t="s">
        <v>2417</v>
      </c>
      <c r="R209" s="133" t="s">
        <v>2417</v>
      </c>
      <c r="S209" s="132" t="s">
        <v>2417</v>
      </c>
      <c r="T209" s="132" t="s">
        <v>2417</v>
      </c>
      <c r="U209" s="132" t="s">
        <v>2417</v>
      </c>
      <c r="V209" s="132" t="s">
        <v>2417</v>
      </c>
      <c r="W209" s="132" t="s">
        <v>2417</v>
      </c>
      <c r="X209" s="132" t="s">
        <v>2417</v>
      </c>
      <c r="Y209" s="132" t="s">
        <v>2417</v>
      </c>
      <c r="Z209" s="132" t="s">
        <v>2417</v>
      </c>
      <c r="AA209" s="133" t="s">
        <v>2417</v>
      </c>
      <c r="AB209" s="133" t="s">
        <v>2417</v>
      </c>
      <c r="AC209" s="133" t="s">
        <v>2417</v>
      </c>
      <c r="AD209" s="133" t="s">
        <v>2417</v>
      </c>
      <c r="AE209" s="143"/>
    </row>
    <row r="210" spans="1:31" ht="13.2" outlineLevel="2">
      <c r="A210" s="61" t="s">
        <v>988</v>
      </c>
      <c r="B210" s="67"/>
      <c r="C210" s="360" t="s">
        <v>989</v>
      </c>
      <c r="D210" s="351"/>
      <c r="E210" s="135" t="s">
        <v>2417</v>
      </c>
      <c r="F210" s="132" t="s">
        <v>2417</v>
      </c>
      <c r="G210" s="132" t="s">
        <v>2417</v>
      </c>
      <c r="H210" s="132" t="s">
        <v>2417</v>
      </c>
      <c r="I210" s="134" t="s">
        <v>2418</v>
      </c>
      <c r="J210" s="132" t="s">
        <v>2417</v>
      </c>
      <c r="K210" s="132" t="s">
        <v>2417</v>
      </c>
      <c r="L210" s="132" t="s">
        <v>2417</v>
      </c>
      <c r="M210" s="133" t="s">
        <v>2417</v>
      </c>
      <c r="N210" s="133" t="s">
        <v>2417</v>
      </c>
      <c r="O210" s="133" t="s">
        <v>2417</v>
      </c>
      <c r="P210" s="132" t="s">
        <v>2417</v>
      </c>
      <c r="Q210" s="132" t="s">
        <v>2417</v>
      </c>
      <c r="R210" s="133" t="s">
        <v>2417</v>
      </c>
      <c r="S210" s="132" t="s">
        <v>2417</v>
      </c>
      <c r="T210" s="132" t="s">
        <v>2417</v>
      </c>
      <c r="U210" s="132" t="s">
        <v>2417</v>
      </c>
      <c r="V210" s="132" t="s">
        <v>2417</v>
      </c>
      <c r="W210" s="132" t="s">
        <v>2417</v>
      </c>
      <c r="X210" s="132" t="s">
        <v>2417</v>
      </c>
      <c r="Y210" s="132" t="s">
        <v>2417</v>
      </c>
      <c r="Z210" s="132" t="s">
        <v>2417</v>
      </c>
      <c r="AA210" s="133" t="s">
        <v>2417</v>
      </c>
      <c r="AB210" s="133" t="s">
        <v>2417</v>
      </c>
      <c r="AC210" s="133" t="s">
        <v>2417</v>
      </c>
      <c r="AD210" s="133" t="s">
        <v>2417</v>
      </c>
      <c r="AE210" s="137"/>
    </row>
    <row r="211" spans="1:31" ht="13.2" outlineLevel="1">
      <c r="A211" s="383" t="s">
        <v>990</v>
      </c>
      <c r="B211" s="350"/>
      <c r="C211" s="350"/>
      <c r="D211" s="351"/>
      <c r="E211" s="135" t="s">
        <v>2417</v>
      </c>
      <c r="F211" s="132" t="s">
        <v>2417</v>
      </c>
      <c r="G211" s="132" t="s">
        <v>2417</v>
      </c>
      <c r="H211" s="132" t="s">
        <v>2417</v>
      </c>
      <c r="I211" s="134" t="s">
        <v>2418</v>
      </c>
      <c r="J211" s="132" t="s">
        <v>2417</v>
      </c>
      <c r="K211" s="132" t="s">
        <v>2417</v>
      </c>
      <c r="L211" s="132" t="s">
        <v>2417</v>
      </c>
      <c r="M211" s="133" t="s">
        <v>2417</v>
      </c>
      <c r="N211" s="133" t="s">
        <v>2417</v>
      </c>
      <c r="O211" s="133" t="s">
        <v>2417</v>
      </c>
      <c r="P211" s="132" t="s">
        <v>2417</v>
      </c>
      <c r="Q211" s="132" t="s">
        <v>2417</v>
      </c>
      <c r="R211" s="133" t="s">
        <v>2417</v>
      </c>
      <c r="S211" s="132" t="s">
        <v>2417</v>
      </c>
      <c r="T211" s="132" t="s">
        <v>2417</v>
      </c>
      <c r="U211" s="132" t="s">
        <v>2417</v>
      </c>
      <c r="V211" s="132" t="s">
        <v>2417</v>
      </c>
      <c r="W211" s="132" t="s">
        <v>2417</v>
      </c>
      <c r="X211" s="132" t="s">
        <v>2417</v>
      </c>
      <c r="Y211" s="132" t="s">
        <v>2417</v>
      </c>
      <c r="Z211" s="132" t="s">
        <v>2417</v>
      </c>
      <c r="AA211" s="133" t="s">
        <v>2417</v>
      </c>
      <c r="AB211" s="133" t="s">
        <v>2417</v>
      </c>
      <c r="AC211" s="133" t="s">
        <v>2417</v>
      </c>
      <c r="AD211" s="133" t="s">
        <v>2417</v>
      </c>
      <c r="AE211" s="143"/>
    </row>
    <row r="212" spans="1:31" ht="13.2" outlineLevel="2">
      <c r="A212" s="61" t="s">
        <v>991</v>
      </c>
      <c r="B212" s="67"/>
      <c r="C212" s="360" t="s">
        <v>992</v>
      </c>
      <c r="D212" s="351"/>
      <c r="E212" s="135" t="s">
        <v>2417</v>
      </c>
      <c r="F212" s="132" t="s">
        <v>2417</v>
      </c>
      <c r="G212" s="132" t="s">
        <v>2417</v>
      </c>
      <c r="H212" s="132" t="s">
        <v>2417</v>
      </c>
      <c r="I212" s="134" t="s">
        <v>2418</v>
      </c>
      <c r="J212" s="132" t="s">
        <v>2417</v>
      </c>
      <c r="K212" s="132" t="s">
        <v>2417</v>
      </c>
      <c r="L212" s="132" t="s">
        <v>2417</v>
      </c>
      <c r="M212" s="133" t="s">
        <v>2417</v>
      </c>
      <c r="N212" s="133" t="s">
        <v>2417</v>
      </c>
      <c r="O212" s="133" t="s">
        <v>2417</v>
      </c>
      <c r="P212" s="132" t="s">
        <v>2417</v>
      </c>
      <c r="Q212" s="132" t="s">
        <v>2417</v>
      </c>
      <c r="R212" s="133" t="s">
        <v>2417</v>
      </c>
      <c r="S212" s="132" t="s">
        <v>2417</v>
      </c>
      <c r="T212" s="132" t="s">
        <v>2417</v>
      </c>
      <c r="U212" s="132" t="s">
        <v>2417</v>
      </c>
      <c r="V212" s="132" t="s">
        <v>2417</v>
      </c>
      <c r="W212" s="132" t="s">
        <v>2417</v>
      </c>
      <c r="X212" s="132" t="s">
        <v>2417</v>
      </c>
      <c r="Y212" s="132" t="s">
        <v>2417</v>
      </c>
      <c r="Z212" s="132" t="s">
        <v>2417</v>
      </c>
      <c r="AA212" s="133" t="s">
        <v>2417</v>
      </c>
      <c r="AB212" s="133" t="s">
        <v>2417</v>
      </c>
      <c r="AC212" s="133" t="s">
        <v>2417</v>
      </c>
      <c r="AD212" s="133" t="s">
        <v>2417</v>
      </c>
      <c r="AE212" s="137"/>
    </row>
    <row r="213" spans="1:31" ht="13.2" outlineLevel="1">
      <c r="A213" s="383" t="s">
        <v>993</v>
      </c>
      <c r="B213" s="350"/>
      <c r="C213" s="350"/>
      <c r="D213" s="351"/>
      <c r="E213" s="135" t="s">
        <v>2417</v>
      </c>
      <c r="F213" s="132" t="s">
        <v>2417</v>
      </c>
      <c r="G213" s="132" t="s">
        <v>2417</v>
      </c>
      <c r="H213" s="132" t="s">
        <v>2417</v>
      </c>
      <c r="I213" s="134" t="s">
        <v>2418</v>
      </c>
      <c r="J213" s="132" t="s">
        <v>2417</v>
      </c>
      <c r="K213" s="132" t="s">
        <v>2417</v>
      </c>
      <c r="L213" s="132" t="s">
        <v>2417</v>
      </c>
      <c r="M213" s="133" t="s">
        <v>2417</v>
      </c>
      <c r="N213" s="133" t="s">
        <v>2417</v>
      </c>
      <c r="O213" s="133" t="s">
        <v>2417</v>
      </c>
      <c r="P213" s="137" t="s">
        <v>2477</v>
      </c>
      <c r="Q213" s="133" t="s">
        <v>2417</v>
      </c>
      <c r="R213" s="133" t="s">
        <v>2417</v>
      </c>
      <c r="S213" s="132" t="s">
        <v>2417</v>
      </c>
      <c r="T213" s="132" t="s">
        <v>2417</v>
      </c>
      <c r="U213" s="132" t="s">
        <v>2417</v>
      </c>
      <c r="V213" s="132" t="s">
        <v>2417</v>
      </c>
      <c r="W213" s="132" t="s">
        <v>2417</v>
      </c>
      <c r="X213" s="132" t="s">
        <v>2417</v>
      </c>
      <c r="Y213" s="132" t="s">
        <v>2417</v>
      </c>
      <c r="Z213" s="132" t="s">
        <v>2417</v>
      </c>
      <c r="AA213" s="133" t="s">
        <v>2417</v>
      </c>
      <c r="AB213" s="133" t="s">
        <v>2417</v>
      </c>
      <c r="AC213" s="133" t="s">
        <v>2417</v>
      </c>
      <c r="AD213" s="133" t="s">
        <v>2417</v>
      </c>
      <c r="AE213" s="143"/>
    </row>
    <row r="214" spans="1:31" ht="13.2" outlineLevel="2">
      <c r="A214" s="61" t="s">
        <v>994</v>
      </c>
      <c r="B214" s="67"/>
      <c r="C214" s="360" t="s">
        <v>995</v>
      </c>
      <c r="D214" s="351"/>
      <c r="E214" s="135" t="s">
        <v>2417</v>
      </c>
      <c r="F214" s="132" t="s">
        <v>2417</v>
      </c>
      <c r="G214" s="132" t="s">
        <v>2417</v>
      </c>
      <c r="H214" s="132" t="s">
        <v>2417</v>
      </c>
      <c r="I214" s="134" t="s">
        <v>2418</v>
      </c>
      <c r="J214" s="132" t="s">
        <v>2417</v>
      </c>
      <c r="K214" s="132" t="s">
        <v>2417</v>
      </c>
      <c r="L214" s="132" t="s">
        <v>2417</v>
      </c>
      <c r="M214" s="133" t="s">
        <v>2417</v>
      </c>
      <c r="N214" s="133" t="s">
        <v>2417</v>
      </c>
      <c r="O214" s="133" t="s">
        <v>2417</v>
      </c>
      <c r="P214" s="137" t="s">
        <v>2477</v>
      </c>
      <c r="Q214" s="133" t="s">
        <v>2417</v>
      </c>
      <c r="R214" s="133" t="s">
        <v>2417</v>
      </c>
      <c r="S214" s="132" t="s">
        <v>2417</v>
      </c>
      <c r="T214" s="132" t="s">
        <v>2417</v>
      </c>
      <c r="U214" s="132" t="s">
        <v>2417</v>
      </c>
      <c r="V214" s="132" t="s">
        <v>2417</v>
      </c>
      <c r="W214" s="132" t="s">
        <v>2417</v>
      </c>
      <c r="X214" s="132" t="s">
        <v>2417</v>
      </c>
      <c r="Y214" s="132" t="s">
        <v>2417</v>
      </c>
      <c r="Z214" s="132" t="s">
        <v>2417</v>
      </c>
      <c r="AA214" s="133" t="s">
        <v>2417</v>
      </c>
      <c r="AB214" s="133" t="s">
        <v>2417</v>
      </c>
      <c r="AC214" s="133" t="s">
        <v>2417</v>
      </c>
      <c r="AD214" s="133" t="s">
        <v>2417</v>
      </c>
      <c r="AE214" s="137"/>
    </row>
    <row r="215" spans="1:31" ht="13.2" outlineLevel="1">
      <c r="A215" s="383" t="s">
        <v>996</v>
      </c>
      <c r="B215" s="350"/>
      <c r="C215" s="350"/>
      <c r="D215" s="351"/>
      <c r="E215" s="135" t="s">
        <v>2417</v>
      </c>
      <c r="F215" s="132" t="s">
        <v>2417</v>
      </c>
      <c r="G215" s="132" t="s">
        <v>2417</v>
      </c>
      <c r="H215" s="132" t="s">
        <v>2417</v>
      </c>
      <c r="I215" s="134" t="s">
        <v>2418</v>
      </c>
      <c r="J215" s="132" t="s">
        <v>2417</v>
      </c>
      <c r="K215" s="132" t="s">
        <v>2417</v>
      </c>
      <c r="L215" s="132" t="s">
        <v>2417</v>
      </c>
      <c r="M215" s="133" t="s">
        <v>2417</v>
      </c>
      <c r="N215" s="133" t="s">
        <v>2417</v>
      </c>
      <c r="O215" s="133" t="s">
        <v>2417</v>
      </c>
      <c r="P215" s="137" t="s">
        <v>2478</v>
      </c>
      <c r="Q215" s="133" t="s">
        <v>2417</v>
      </c>
      <c r="R215" s="133" t="s">
        <v>2417</v>
      </c>
      <c r="S215" s="132" t="s">
        <v>2417</v>
      </c>
      <c r="T215" s="132" t="s">
        <v>2417</v>
      </c>
      <c r="U215" s="132" t="s">
        <v>2417</v>
      </c>
      <c r="V215" s="132" t="s">
        <v>2417</v>
      </c>
      <c r="W215" s="132" t="s">
        <v>2417</v>
      </c>
      <c r="X215" s="132" t="s">
        <v>2417</v>
      </c>
      <c r="Y215" s="132" t="s">
        <v>2417</v>
      </c>
      <c r="Z215" s="132" t="s">
        <v>2417</v>
      </c>
      <c r="AA215" s="133" t="s">
        <v>2417</v>
      </c>
      <c r="AB215" s="133" t="s">
        <v>2417</v>
      </c>
      <c r="AC215" s="133" t="s">
        <v>2417</v>
      </c>
      <c r="AD215" s="133" t="s">
        <v>2417</v>
      </c>
      <c r="AE215" s="143"/>
    </row>
    <row r="216" spans="1:31" ht="13.2" outlineLevel="2">
      <c r="A216" s="61" t="s">
        <v>997</v>
      </c>
      <c r="B216" s="67"/>
      <c r="C216" s="360" t="s">
        <v>998</v>
      </c>
      <c r="D216" s="351"/>
      <c r="E216" s="135" t="s">
        <v>2417</v>
      </c>
      <c r="F216" s="132" t="s">
        <v>2417</v>
      </c>
      <c r="G216" s="132" t="s">
        <v>2417</v>
      </c>
      <c r="H216" s="132" t="s">
        <v>2417</v>
      </c>
      <c r="I216" s="134" t="s">
        <v>2418</v>
      </c>
      <c r="J216" s="132" t="s">
        <v>2417</v>
      </c>
      <c r="K216" s="132" t="s">
        <v>2417</v>
      </c>
      <c r="L216" s="132" t="s">
        <v>2417</v>
      </c>
      <c r="M216" s="133" t="s">
        <v>2417</v>
      </c>
      <c r="N216" s="133" t="s">
        <v>2417</v>
      </c>
      <c r="O216" s="133" t="s">
        <v>2417</v>
      </c>
      <c r="P216" s="137" t="s">
        <v>2478</v>
      </c>
      <c r="Q216" s="133" t="s">
        <v>2417</v>
      </c>
      <c r="R216" s="133" t="s">
        <v>2417</v>
      </c>
      <c r="S216" s="132" t="s">
        <v>2417</v>
      </c>
      <c r="T216" s="132" t="s">
        <v>2417</v>
      </c>
      <c r="U216" s="132" t="s">
        <v>2417</v>
      </c>
      <c r="V216" s="132" t="s">
        <v>2417</v>
      </c>
      <c r="W216" s="132" t="s">
        <v>2417</v>
      </c>
      <c r="X216" s="132" t="s">
        <v>2417</v>
      </c>
      <c r="Y216" s="132" t="s">
        <v>2417</v>
      </c>
      <c r="Z216" s="132" t="s">
        <v>2417</v>
      </c>
      <c r="AA216" s="133" t="s">
        <v>2417</v>
      </c>
      <c r="AB216" s="133" t="s">
        <v>2417</v>
      </c>
      <c r="AC216" s="133" t="s">
        <v>2417</v>
      </c>
      <c r="AD216" s="133" t="s">
        <v>2417</v>
      </c>
      <c r="AE216" s="137"/>
    </row>
    <row r="217" spans="1:31" ht="13.2" outlineLevel="1">
      <c r="A217" s="383" t="s">
        <v>999</v>
      </c>
      <c r="B217" s="350"/>
      <c r="C217" s="350"/>
      <c r="D217" s="351"/>
      <c r="E217" s="135" t="s">
        <v>2417</v>
      </c>
      <c r="F217" s="132" t="s">
        <v>2417</v>
      </c>
      <c r="G217" s="132" t="s">
        <v>2417</v>
      </c>
      <c r="H217" s="132" t="s">
        <v>2417</v>
      </c>
      <c r="I217" s="134" t="s">
        <v>2418</v>
      </c>
      <c r="J217" s="132" t="s">
        <v>2417</v>
      </c>
      <c r="K217" s="132" t="s">
        <v>2417</v>
      </c>
      <c r="L217" s="132" t="s">
        <v>2417</v>
      </c>
      <c r="M217" s="133" t="s">
        <v>2417</v>
      </c>
      <c r="N217" s="133" t="s">
        <v>2417</v>
      </c>
      <c r="O217" s="133" t="s">
        <v>2417</v>
      </c>
      <c r="P217" s="137" t="s">
        <v>2478</v>
      </c>
      <c r="Q217" s="133" t="s">
        <v>2417</v>
      </c>
      <c r="R217" s="133" t="s">
        <v>2417</v>
      </c>
      <c r="S217" s="132" t="s">
        <v>2417</v>
      </c>
      <c r="T217" s="132" t="s">
        <v>2417</v>
      </c>
      <c r="U217" s="132" t="s">
        <v>2417</v>
      </c>
      <c r="V217" s="132" t="s">
        <v>2417</v>
      </c>
      <c r="W217" s="132" t="s">
        <v>2417</v>
      </c>
      <c r="X217" s="132" t="s">
        <v>2417</v>
      </c>
      <c r="Y217" s="132" t="s">
        <v>2417</v>
      </c>
      <c r="Z217" s="132" t="s">
        <v>2417</v>
      </c>
      <c r="AA217" s="133" t="s">
        <v>2417</v>
      </c>
      <c r="AB217" s="133" t="s">
        <v>2417</v>
      </c>
      <c r="AC217" s="133" t="s">
        <v>2417</v>
      </c>
      <c r="AD217" s="133" t="s">
        <v>2417</v>
      </c>
      <c r="AE217" s="143"/>
    </row>
    <row r="218" spans="1:31" ht="13.2" outlineLevel="2">
      <c r="A218" s="61" t="s">
        <v>1000</v>
      </c>
      <c r="B218" s="67"/>
      <c r="C218" s="360" t="s">
        <v>998</v>
      </c>
      <c r="D218" s="351"/>
      <c r="E218" s="135" t="s">
        <v>2417</v>
      </c>
      <c r="F218" s="132" t="s">
        <v>2417</v>
      </c>
      <c r="G218" s="132" t="s">
        <v>2417</v>
      </c>
      <c r="H218" s="132" t="s">
        <v>2417</v>
      </c>
      <c r="I218" s="134" t="s">
        <v>2418</v>
      </c>
      <c r="J218" s="132" t="s">
        <v>2417</v>
      </c>
      <c r="K218" s="132" t="s">
        <v>2417</v>
      </c>
      <c r="L218" s="132" t="s">
        <v>2417</v>
      </c>
      <c r="M218" s="133" t="s">
        <v>2417</v>
      </c>
      <c r="N218" s="133" t="s">
        <v>2417</v>
      </c>
      <c r="O218" s="133" t="s">
        <v>2417</v>
      </c>
      <c r="P218" s="137" t="s">
        <v>2478</v>
      </c>
      <c r="Q218" s="133" t="s">
        <v>2417</v>
      </c>
      <c r="R218" s="133" t="s">
        <v>2417</v>
      </c>
      <c r="S218" s="132" t="s">
        <v>2417</v>
      </c>
      <c r="T218" s="132" t="s">
        <v>2417</v>
      </c>
      <c r="U218" s="132" t="s">
        <v>2417</v>
      </c>
      <c r="V218" s="132" t="s">
        <v>2417</v>
      </c>
      <c r="W218" s="132" t="s">
        <v>2417</v>
      </c>
      <c r="X218" s="132" t="s">
        <v>2417</v>
      </c>
      <c r="Y218" s="132" t="s">
        <v>2417</v>
      </c>
      <c r="Z218" s="132" t="s">
        <v>2417</v>
      </c>
      <c r="AA218" s="133" t="s">
        <v>2417</v>
      </c>
      <c r="AB218" s="133" t="s">
        <v>2417</v>
      </c>
      <c r="AC218" s="133" t="s">
        <v>2417</v>
      </c>
      <c r="AD218" s="133" t="s">
        <v>2417</v>
      </c>
      <c r="AE218" s="137"/>
    </row>
    <row r="219" spans="1:31" ht="13.2" outlineLevel="1">
      <c r="A219" s="382" t="s">
        <v>1001</v>
      </c>
      <c r="B219" s="350"/>
      <c r="C219" s="350"/>
      <c r="D219" s="351"/>
      <c r="E219" s="135" t="s">
        <v>2417</v>
      </c>
      <c r="F219" s="132" t="s">
        <v>2417</v>
      </c>
      <c r="G219" s="132" t="s">
        <v>2417</v>
      </c>
      <c r="H219" s="132" t="s">
        <v>2445</v>
      </c>
      <c r="I219" s="134" t="s">
        <v>2418</v>
      </c>
      <c r="J219" s="132" t="s">
        <v>2417</v>
      </c>
      <c r="K219" s="132" t="s">
        <v>2417</v>
      </c>
      <c r="L219" s="132" t="s">
        <v>2417</v>
      </c>
      <c r="M219" s="133" t="s">
        <v>2417</v>
      </c>
      <c r="N219" s="133" t="s">
        <v>2417</v>
      </c>
      <c r="O219" s="133" t="s">
        <v>2417</v>
      </c>
      <c r="P219" s="132" t="s">
        <v>2417</v>
      </c>
      <c r="Q219" s="132" t="s">
        <v>2417</v>
      </c>
      <c r="R219" s="133" t="s">
        <v>2417</v>
      </c>
      <c r="S219" s="132" t="s">
        <v>2417</v>
      </c>
      <c r="T219" s="132" t="s">
        <v>2417</v>
      </c>
      <c r="U219" s="132" t="s">
        <v>2417</v>
      </c>
      <c r="V219" s="132" t="s">
        <v>2417</v>
      </c>
      <c r="W219" s="132" t="s">
        <v>2417</v>
      </c>
      <c r="X219" s="132" t="s">
        <v>2417</v>
      </c>
      <c r="Y219" s="132" t="s">
        <v>2417</v>
      </c>
      <c r="Z219" s="132" t="s">
        <v>2417</v>
      </c>
      <c r="AA219" s="133" t="s">
        <v>2417</v>
      </c>
      <c r="AB219" s="133" t="s">
        <v>2417</v>
      </c>
      <c r="AC219" s="133" t="s">
        <v>2417</v>
      </c>
      <c r="AD219" s="133" t="s">
        <v>2417</v>
      </c>
      <c r="AE219" s="143"/>
    </row>
    <row r="220" spans="1:31" ht="13.2" outlineLevel="2">
      <c r="A220" s="61" t="s">
        <v>1002</v>
      </c>
      <c r="B220" s="67"/>
      <c r="C220" s="360" t="s">
        <v>1003</v>
      </c>
      <c r="D220" s="351"/>
      <c r="E220" s="135" t="s">
        <v>2417</v>
      </c>
      <c r="F220" s="132" t="s">
        <v>2417</v>
      </c>
      <c r="G220" s="132" t="s">
        <v>2417</v>
      </c>
      <c r="H220" s="132" t="s">
        <v>2445</v>
      </c>
      <c r="I220" s="134" t="s">
        <v>2418</v>
      </c>
      <c r="J220" s="132" t="s">
        <v>2417</v>
      </c>
      <c r="K220" s="132" t="s">
        <v>2417</v>
      </c>
      <c r="L220" s="132" t="s">
        <v>2417</v>
      </c>
      <c r="M220" s="133" t="s">
        <v>2417</v>
      </c>
      <c r="N220" s="133" t="s">
        <v>2417</v>
      </c>
      <c r="O220" s="133" t="s">
        <v>2417</v>
      </c>
      <c r="P220" s="132" t="s">
        <v>2417</v>
      </c>
      <c r="Q220" s="132" t="s">
        <v>2417</v>
      </c>
      <c r="R220" s="133" t="s">
        <v>2417</v>
      </c>
      <c r="S220" s="132" t="s">
        <v>2417</v>
      </c>
      <c r="T220" s="132" t="s">
        <v>2417</v>
      </c>
      <c r="U220" s="132" t="s">
        <v>2417</v>
      </c>
      <c r="V220" s="132" t="s">
        <v>2417</v>
      </c>
      <c r="W220" s="132" t="s">
        <v>2417</v>
      </c>
      <c r="X220" s="132" t="s">
        <v>2417</v>
      </c>
      <c r="Y220" s="132" t="s">
        <v>2417</v>
      </c>
      <c r="Z220" s="132" t="s">
        <v>2417</v>
      </c>
      <c r="AA220" s="133" t="s">
        <v>2417</v>
      </c>
      <c r="AB220" s="133" t="s">
        <v>2417</v>
      </c>
      <c r="AC220" s="133" t="s">
        <v>2417</v>
      </c>
      <c r="AD220" s="133" t="s">
        <v>2417</v>
      </c>
      <c r="AE220" s="137"/>
    </row>
    <row r="221" spans="1:31" ht="13.2" outlineLevel="1">
      <c r="A221" s="384" t="s">
        <v>1004</v>
      </c>
      <c r="B221" s="350"/>
      <c r="C221" s="350"/>
      <c r="D221" s="351"/>
      <c r="E221" s="132" t="s">
        <v>2417</v>
      </c>
      <c r="F221" s="132" t="s">
        <v>2417</v>
      </c>
      <c r="G221" s="132" t="s">
        <v>2417</v>
      </c>
      <c r="H221" s="132" t="s">
        <v>2417</v>
      </c>
      <c r="I221" s="134" t="s">
        <v>2418</v>
      </c>
      <c r="J221" s="132" t="s">
        <v>2417</v>
      </c>
      <c r="K221" s="132" t="s">
        <v>2417</v>
      </c>
      <c r="L221" s="132" t="s">
        <v>2417</v>
      </c>
      <c r="M221" s="133" t="s">
        <v>2417</v>
      </c>
      <c r="N221" s="133" t="s">
        <v>2417</v>
      </c>
      <c r="O221" s="133" t="s">
        <v>2417</v>
      </c>
      <c r="P221" s="132" t="s">
        <v>2417</v>
      </c>
      <c r="Q221" s="132" t="s">
        <v>2417</v>
      </c>
      <c r="R221" s="133" t="s">
        <v>2417</v>
      </c>
      <c r="S221" s="132" t="s">
        <v>2417</v>
      </c>
      <c r="T221" s="132" t="s">
        <v>2417</v>
      </c>
      <c r="U221" s="132" t="s">
        <v>2417</v>
      </c>
      <c r="V221" s="132" t="s">
        <v>2417</v>
      </c>
      <c r="W221" s="132" t="s">
        <v>2417</v>
      </c>
      <c r="X221" s="132" t="s">
        <v>2417</v>
      </c>
      <c r="Y221" s="132" t="s">
        <v>2417</v>
      </c>
      <c r="Z221" s="132" t="s">
        <v>2417</v>
      </c>
      <c r="AA221" s="133" t="s">
        <v>2417</v>
      </c>
      <c r="AB221" s="133" t="s">
        <v>2417</v>
      </c>
      <c r="AC221" s="133" t="s">
        <v>2417</v>
      </c>
      <c r="AD221" s="133" t="s">
        <v>2417</v>
      </c>
      <c r="AE221" s="147"/>
    </row>
    <row r="222" spans="1:31" ht="13.2" outlineLevel="1">
      <c r="A222" s="385" t="s">
        <v>1005</v>
      </c>
      <c r="B222" s="350"/>
      <c r="C222" s="350"/>
      <c r="D222" s="351"/>
      <c r="E222" s="132" t="s">
        <v>2417</v>
      </c>
      <c r="F222" s="140" t="s">
        <v>2421</v>
      </c>
      <c r="G222" s="132" t="s">
        <v>2417</v>
      </c>
      <c r="H222" s="132" t="s">
        <v>2417</v>
      </c>
      <c r="I222" s="134" t="s">
        <v>2418</v>
      </c>
      <c r="J222" s="132" t="s">
        <v>2417</v>
      </c>
      <c r="K222" s="132" t="s">
        <v>2417</v>
      </c>
      <c r="L222" s="132" t="s">
        <v>2417</v>
      </c>
      <c r="M222" s="133" t="s">
        <v>2417</v>
      </c>
      <c r="N222" s="133" t="s">
        <v>2417</v>
      </c>
      <c r="O222" s="133" t="s">
        <v>2417</v>
      </c>
      <c r="P222" s="132" t="s">
        <v>2417</v>
      </c>
      <c r="Q222" s="132" t="s">
        <v>2417</v>
      </c>
      <c r="R222" s="133" t="s">
        <v>2417</v>
      </c>
      <c r="S222" s="132" t="s">
        <v>2417</v>
      </c>
      <c r="T222" s="132" t="s">
        <v>2417</v>
      </c>
      <c r="U222" s="132" t="s">
        <v>2417</v>
      </c>
      <c r="V222" s="132" t="s">
        <v>2417</v>
      </c>
      <c r="W222" s="132" t="s">
        <v>2417</v>
      </c>
      <c r="X222" s="132" t="s">
        <v>2417</v>
      </c>
      <c r="Y222" s="132" t="s">
        <v>2417</v>
      </c>
      <c r="Z222" s="132" t="s">
        <v>2417</v>
      </c>
      <c r="AA222" s="133" t="s">
        <v>2417</v>
      </c>
      <c r="AB222" s="133" t="s">
        <v>2417</v>
      </c>
      <c r="AC222" s="133" t="s">
        <v>2417</v>
      </c>
      <c r="AD222" s="133" t="s">
        <v>2417</v>
      </c>
      <c r="AE222" s="143"/>
    </row>
    <row r="223" spans="1:31" ht="13.2" outlineLevel="2">
      <c r="A223" s="61" t="s">
        <v>1006</v>
      </c>
      <c r="B223" s="64"/>
      <c r="C223" s="360" t="s">
        <v>2479</v>
      </c>
      <c r="D223" s="351"/>
      <c r="E223" s="132" t="s">
        <v>2417</v>
      </c>
      <c r="F223" s="140" t="s">
        <v>2421</v>
      </c>
      <c r="G223" s="132" t="s">
        <v>2417</v>
      </c>
      <c r="H223" s="132" t="s">
        <v>2417</v>
      </c>
      <c r="I223" s="134" t="s">
        <v>2418</v>
      </c>
      <c r="J223" s="132" t="s">
        <v>2417</v>
      </c>
      <c r="K223" s="132" t="s">
        <v>2417</v>
      </c>
      <c r="L223" s="132" t="s">
        <v>2417</v>
      </c>
      <c r="M223" s="133" t="s">
        <v>2417</v>
      </c>
      <c r="N223" s="133" t="s">
        <v>2417</v>
      </c>
      <c r="O223" s="133" t="s">
        <v>2417</v>
      </c>
      <c r="P223" s="132" t="s">
        <v>2417</v>
      </c>
      <c r="Q223" s="132" t="s">
        <v>2417</v>
      </c>
      <c r="R223" s="133" t="s">
        <v>2417</v>
      </c>
      <c r="S223" s="132" t="s">
        <v>2417</v>
      </c>
      <c r="T223" s="132" t="s">
        <v>2417</v>
      </c>
      <c r="U223" s="132" t="s">
        <v>2417</v>
      </c>
      <c r="V223" s="132" t="s">
        <v>2417</v>
      </c>
      <c r="W223" s="132" t="s">
        <v>2417</v>
      </c>
      <c r="X223" s="132" t="s">
        <v>2417</v>
      </c>
      <c r="Y223" s="132" t="s">
        <v>2417</v>
      </c>
      <c r="Z223" s="132" t="s">
        <v>2417</v>
      </c>
      <c r="AA223" s="133" t="s">
        <v>2417</v>
      </c>
      <c r="AB223" s="133" t="s">
        <v>2417</v>
      </c>
      <c r="AC223" s="133" t="s">
        <v>2417</v>
      </c>
      <c r="AD223" s="133" t="s">
        <v>2417</v>
      </c>
      <c r="AE223" s="148"/>
    </row>
    <row r="224" spans="1:31" ht="13.2" outlineLevel="1">
      <c r="A224" s="385" t="s">
        <v>2480</v>
      </c>
      <c r="B224" s="350"/>
      <c r="C224" s="350"/>
      <c r="D224" s="351"/>
      <c r="E224" s="132" t="s">
        <v>2417</v>
      </c>
      <c r="F224" s="140" t="s">
        <v>2421</v>
      </c>
      <c r="G224" s="132" t="s">
        <v>2417</v>
      </c>
      <c r="H224" s="132" t="s">
        <v>2417</v>
      </c>
      <c r="I224" s="134" t="s">
        <v>2418</v>
      </c>
      <c r="J224" s="132" t="s">
        <v>2417</v>
      </c>
      <c r="K224" s="132" t="s">
        <v>2417</v>
      </c>
      <c r="L224" s="132" t="s">
        <v>2417</v>
      </c>
      <c r="M224" s="133" t="s">
        <v>2417</v>
      </c>
      <c r="N224" s="133" t="s">
        <v>2417</v>
      </c>
      <c r="O224" s="133" t="s">
        <v>2417</v>
      </c>
      <c r="P224" s="132" t="s">
        <v>2417</v>
      </c>
      <c r="Q224" s="132" t="s">
        <v>2417</v>
      </c>
      <c r="R224" s="133" t="s">
        <v>2417</v>
      </c>
      <c r="S224" s="132" t="s">
        <v>2417</v>
      </c>
      <c r="T224" s="132" t="s">
        <v>2417</v>
      </c>
      <c r="U224" s="132" t="s">
        <v>2417</v>
      </c>
      <c r="V224" s="132" t="s">
        <v>2417</v>
      </c>
      <c r="W224" s="132" t="s">
        <v>2417</v>
      </c>
      <c r="X224" s="132" t="s">
        <v>2417</v>
      </c>
      <c r="Y224" s="132" t="s">
        <v>2417</v>
      </c>
      <c r="Z224" s="132" t="s">
        <v>2417</v>
      </c>
      <c r="AA224" s="133" t="s">
        <v>2417</v>
      </c>
      <c r="AB224" s="133" t="s">
        <v>2417</v>
      </c>
      <c r="AC224" s="133" t="s">
        <v>2417</v>
      </c>
      <c r="AD224" s="133" t="s">
        <v>2417</v>
      </c>
      <c r="AE224" s="143"/>
    </row>
    <row r="225" spans="1:31" ht="13.2" outlineLevel="2">
      <c r="A225" s="61" t="s">
        <v>1009</v>
      </c>
      <c r="B225" s="61"/>
      <c r="C225" s="360" t="s">
        <v>1010</v>
      </c>
      <c r="D225" s="351"/>
      <c r="E225" s="132" t="s">
        <v>2417</v>
      </c>
      <c r="F225" s="140" t="s">
        <v>2421</v>
      </c>
      <c r="G225" s="132" t="s">
        <v>2417</v>
      </c>
      <c r="H225" s="132" t="s">
        <v>2417</v>
      </c>
      <c r="I225" s="134" t="s">
        <v>2418</v>
      </c>
      <c r="J225" s="132" t="s">
        <v>2417</v>
      </c>
      <c r="K225" s="132" t="s">
        <v>2417</v>
      </c>
      <c r="L225" s="132" t="s">
        <v>2417</v>
      </c>
      <c r="M225" s="133" t="s">
        <v>2417</v>
      </c>
      <c r="N225" s="133" t="s">
        <v>2417</v>
      </c>
      <c r="O225" s="133" t="s">
        <v>2417</v>
      </c>
      <c r="P225" s="132" t="s">
        <v>2417</v>
      </c>
      <c r="Q225" s="132" t="s">
        <v>2417</v>
      </c>
      <c r="R225" s="133" t="s">
        <v>2417</v>
      </c>
      <c r="S225" s="132" t="s">
        <v>2417</v>
      </c>
      <c r="T225" s="132" t="s">
        <v>2417</v>
      </c>
      <c r="U225" s="132" t="s">
        <v>2417</v>
      </c>
      <c r="V225" s="132" t="s">
        <v>2417</v>
      </c>
      <c r="W225" s="132" t="s">
        <v>2417</v>
      </c>
      <c r="X225" s="132" t="s">
        <v>2417</v>
      </c>
      <c r="Y225" s="132" t="s">
        <v>2417</v>
      </c>
      <c r="Z225" s="132" t="s">
        <v>2417</v>
      </c>
      <c r="AA225" s="133" t="s">
        <v>2417</v>
      </c>
      <c r="AB225" s="133" t="s">
        <v>2417</v>
      </c>
      <c r="AC225" s="133" t="s">
        <v>2417</v>
      </c>
      <c r="AD225" s="133" t="s">
        <v>2417</v>
      </c>
      <c r="AE225" s="149"/>
    </row>
    <row r="226" spans="1:31" ht="13.2" outlineLevel="1">
      <c r="A226" s="386" t="s">
        <v>1011</v>
      </c>
      <c r="B226" s="350"/>
      <c r="C226" s="350"/>
      <c r="D226" s="351"/>
      <c r="E226" s="132" t="s">
        <v>2417</v>
      </c>
      <c r="F226" s="132" t="s">
        <v>2417</v>
      </c>
      <c r="G226" s="132" t="s">
        <v>2417</v>
      </c>
      <c r="H226" s="132" t="s">
        <v>2417</v>
      </c>
      <c r="I226" s="134" t="s">
        <v>2418</v>
      </c>
      <c r="J226" s="132" t="s">
        <v>2417</v>
      </c>
      <c r="K226" s="132" t="s">
        <v>2417</v>
      </c>
      <c r="L226" s="132" t="s">
        <v>2417</v>
      </c>
      <c r="M226" s="133" t="s">
        <v>2417</v>
      </c>
      <c r="N226" s="133" t="s">
        <v>2417</v>
      </c>
      <c r="O226" s="133" t="s">
        <v>2417</v>
      </c>
      <c r="P226" s="132" t="s">
        <v>2417</v>
      </c>
      <c r="Q226" s="132" t="s">
        <v>2417</v>
      </c>
      <c r="R226" s="133" t="s">
        <v>2417</v>
      </c>
      <c r="S226" s="132" t="s">
        <v>2417</v>
      </c>
      <c r="T226" s="132" t="s">
        <v>2417</v>
      </c>
      <c r="U226" s="132" t="s">
        <v>2417</v>
      </c>
      <c r="V226" s="132" t="s">
        <v>2417</v>
      </c>
      <c r="W226" s="132" t="s">
        <v>2417</v>
      </c>
      <c r="X226" s="132" t="s">
        <v>2417</v>
      </c>
      <c r="Y226" s="132" t="s">
        <v>2417</v>
      </c>
      <c r="Z226" s="132" t="s">
        <v>2417</v>
      </c>
      <c r="AA226" s="133" t="s">
        <v>2417</v>
      </c>
      <c r="AB226" s="133" t="s">
        <v>2417</v>
      </c>
      <c r="AC226" s="133" t="s">
        <v>2417</v>
      </c>
      <c r="AD226" s="133" t="s">
        <v>2417</v>
      </c>
      <c r="AE226" s="150"/>
    </row>
    <row r="227" spans="1:31" ht="13.2" outlineLevel="2">
      <c r="A227" s="68" t="s">
        <v>45</v>
      </c>
      <c r="B227" s="78"/>
      <c r="C227" s="360" t="s">
        <v>2481</v>
      </c>
      <c r="D227" s="351"/>
      <c r="E227" s="132" t="s">
        <v>2417</v>
      </c>
      <c r="F227" s="132" t="s">
        <v>2417</v>
      </c>
      <c r="G227" s="132" t="s">
        <v>2417</v>
      </c>
      <c r="H227" s="132" t="s">
        <v>2417</v>
      </c>
      <c r="I227" s="134" t="s">
        <v>2418</v>
      </c>
      <c r="J227" s="132" t="s">
        <v>2417</v>
      </c>
      <c r="K227" s="132" t="s">
        <v>2417</v>
      </c>
      <c r="L227" s="132" t="s">
        <v>2417</v>
      </c>
      <c r="M227" s="133" t="s">
        <v>2417</v>
      </c>
      <c r="N227" s="133" t="s">
        <v>2417</v>
      </c>
      <c r="O227" s="133" t="s">
        <v>2417</v>
      </c>
      <c r="P227" s="132" t="s">
        <v>2417</v>
      </c>
      <c r="Q227" s="132" t="s">
        <v>2417</v>
      </c>
      <c r="R227" s="133" t="s">
        <v>2417</v>
      </c>
      <c r="S227" s="132" t="s">
        <v>2417</v>
      </c>
      <c r="T227" s="132" t="s">
        <v>2417</v>
      </c>
      <c r="U227" s="132" t="s">
        <v>2417</v>
      </c>
      <c r="V227" s="132" t="s">
        <v>2417</v>
      </c>
      <c r="W227" s="132" t="s">
        <v>2417</v>
      </c>
      <c r="X227" s="132" t="s">
        <v>2417</v>
      </c>
      <c r="Y227" s="132" t="s">
        <v>2417</v>
      </c>
      <c r="Z227" s="132" t="s">
        <v>2417</v>
      </c>
      <c r="AA227" s="133" t="s">
        <v>2417</v>
      </c>
      <c r="AB227" s="133" t="s">
        <v>2417</v>
      </c>
      <c r="AC227" s="133" t="s">
        <v>2417</v>
      </c>
      <c r="AD227" s="133" t="s">
        <v>2417</v>
      </c>
      <c r="AE227" s="137"/>
    </row>
    <row r="228" spans="1:31" ht="20.399999999999999" outlineLevel="2">
      <c r="A228" s="68" t="s">
        <v>1013</v>
      </c>
      <c r="B228" s="62" t="s">
        <v>1014</v>
      </c>
      <c r="C228" s="387" t="s">
        <v>1015</v>
      </c>
      <c r="D228" s="351"/>
      <c r="E228" s="132" t="s">
        <v>2417</v>
      </c>
      <c r="F228" s="132" t="s">
        <v>2417</v>
      </c>
      <c r="G228" s="132" t="s">
        <v>2417</v>
      </c>
      <c r="H228" s="132" t="s">
        <v>2417</v>
      </c>
      <c r="I228" s="134" t="s">
        <v>2418</v>
      </c>
      <c r="J228" s="132" t="s">
        <v>2417</v>
      </c>
      <c r="K228" s="132" t="s">
        <v>2417</v>
      </c>
      <c r="L228" s="132" t="s">
        <v>2417</v>
      </c>
      <c r="M228" s="133" t="s">
        <v>2417</v>
      </c>
      <c r="N228" s="133" t="s">
        <v>2417</v>
      </c>
      <c r="O228" s="133" t="s">
        <v>2417</v>
      </c>
      <c r="P228" s="132" t="s">
        <v>2417</v>
      </c>
      <c r="Q228" s="132" t="s">
        <v>2417</v>
      </c>
      <c r="R228" s="133" t="s">
        <v>2417</v>
      </c>
      <c r="S228" s="132" t="s">
        <v>2417</v>
      </c>
      <c r="T228" s="132" t="s">
        <v>2417</v>
      </c>
      <c r="U228" s="132" t="s">
        <v>2417</v>
      </c>
      <c r="V228" s="132" t="s">
        <v>2417</v>
      </c>
      <c r="W228" s="132" t="s">
        <v>2417</v>
      </c>
      <c r="X228" s="132" t="s">
        <v>2417</v>
      </c>
      <c r="Y228" s="132" t="s">
        <v>2417</v>
      </c>
      <c r="Z228" s="132" t="s">
        <v>2417</v>
      </c>
      <c r="AA228" s="133" t="s">
        <v>2417</v>
      </c>
      <c r="AB228" s="133" t="s">
        <v>2417</v>
      </c>
      <c r="AC228" s="133" t="s">
        <v>2417</v>
      </c>
      <c r="AD228" s="133" t="s">
        <v>2417</v>
      </c>
      <c r="AE228" s="144"/>
    </row>
    <row r="229" spans="1:31" ht="20.399999999999999" outlineLevel="2">
      <c r="A229" s="68" t="s">
        <v>1016</v>
      </c>
      <c r="B229" s="62" t="s">
        <v>1017</v>
      </c>
      <c r="C229" s="387" t="s">
        <v>1018</v>
      </c>
      <c r="D229" s="351"/>
      <c r="E229" s="132" t="s">
        <v>2417</v>
      </c>
      <c r="F229" s="132" t="s">
        <v>2417</v>
      </c>
      <c r="G229" s="132" t="s">
        <v>2417</v>
      </c>
      <c r="H229" s="132" t="s">
        <v>2417</v>
      </c>
      <c r="I229" s="134" t="s">
        <v>2418</v>
      </c>
      <c r="J229" s="132" t="s">
        <v>2417</v>
      </c>
      <c r="K229" s="132" t="s">
        <v>2417</v>
      </c>
      <c r="L229" s="132" t="s">
        <v>2417</v>
      </c>
      <c r="M229" s="133" t="s">
        <v>2417</v>
      </c>
      <c r="N229" s="133" t="s">
        <v>2417</v>
      </c>
      <c r="O229" s="133" t="s">
        <v>2417</v>
      </c>
      <c r="P229" s="132" t="s">
        <v>2417</v>
      </c>
      <c r="Q229" s="132" t="s">
        <v>2417</v>
      </c>
      <c r="R229" s="133" t="s">
        <v>2417</v>
      </c>
      <c r="S229" s="132" t="s">
        <v>2417</v>
      </c>
      <c r="T229" s="132" t="s">
        <v>2417</v>
      </c>
      <c r="U229" s="132" t="s">
        <v>2417</v>
      </c>
      <c r="V229" s="132" t="s">
        <v>2417</v>
      </c>
      <c r="W229" s="132" t="s">
        <v>2417</v>
      </c>
      <c r="X229" s="132" t="s">
        <v>2417</v>
      </c>
      <c r="Y229" s="132" t="s">
        <v>2417</v>
      </c>
      <c r="Z229" s="132" t="s">
        <v>2417</v>
      </c>
      <c r="AA229" s="133" t="s">
        <v>2417</v>
      </c>
      <c r="AB229" s="133" t="s">
        <v>2417</v>
      </c>
      <c r="AC229" s="133" t="s">
        <v>2417</v>
      </c>
      <c r="AD229" s="133" t="s">
        <v>2417</v>
      </c>
      <c r="AE229" s="144"/>
    </row>
    <row r="230" spans="1:31" ht="20.399999999999999" outlineLevel="2">
      <c r="A230" s="68" t="s">
        <v>1019</v>
      </c>
      <c r="B230" s="62" t="s">
        <v>1020</v>
      </c>
      <c r="C230" s="387" t="s">
        <v>1021</v>
      </c>
      <c r="D230" s="351"/>
      <c r="E230" s="132" t="s">
        <v>2417</v>
      </c>
      <c r="F230" s="132" t="s">
        <v>2417</v>
      </c>
      <c r="G230" s="132" t="s">
        <v>2417</v>
      </c>
      <c r="H230" s="132" t="s">
        <v>2417</v>
      </c>
      <c r="I230" s="134" t="s">
        <v>2418</v>
      </c>
      <c r="J230" s="132" t="s">
        <v>2417</v>
      </c>
      <c r="K230" s="132" t="s">
        <v>2417</v>
      </c>
      <c r="L230" s="132" t="s">
        <v>2417</v>
      </c>
      <c r="M230" s="133" t="s">
        <v>2417</v>
      </c>
      <c r="N230" s="133" t="s">
        <v>2417</v>
      </c>
      <c r="O230" s="133" t="s">
        <v>2417</v>
      </c>
      <c r="P230" s="132" t="s">
        <v>2417</v>
      </c>
      <c r="Q230" s="132" t="s">
        <v>2417</v>
      </c>
      <c r="R230" s="133" t="s">
        <v>2417</v>
      </c>
      <c r="S230" s="132" t="s">
        <v>2417</v>
      </c>
      <c r="T230" s="132" t="s">
        <v>2417</v>
      </c>
      <c r="U230" s="132" t="s">
        <v>2417</v>
      </c>
      <c r="V230" s="132" t="s">
        <v>2417</v>
      </c>
      <c r="W230" s="132" t="s">
        <v>2417</v>
      </c>
      <c r="X230" s="132" t="s">
        <v>2417</v>
      </c>
      <c r="Y230" s="132" t="s">
        <v>2417</v>
      </c>
      <c r="Z230" s="132" t="s">
        <v>2417</v>
      </c>
      <c r="AA230" s="133" t="s">
        <v>2417</v>
      </c>
      <c r="AB230" s="133" t="s">
        <v>2417</v>
      </c>
      <c r="AC230" s="133" t="s">
        <v>2417</v>
      </c>
      <c r="AD230" s="133" t="s">
        <v>2417</v>
      </c>
      <c r="AE230" s="144"/>
    </row>
    <row r="231" spans="1:31" ht="40.799999999999997" outlineLevel="2">
      <c r="A231" s="68" t="s">
        <v>1022</v>
      </c>
      <c r="B231" s="62" t="s">
        <v>1023</v>
      </c>
      <c r="C231" s="387" t="s">
        <v>1024</v>
      </c>
      <c r="D231" s="351"/>
      <c r="E231" s="132" t="s">
        <v>2417</v>
      </c>
      <c r="F231" s="132" t="s">
        <v>2417</v>
      </c>
      <c r="G231" s="132" t="s">
        <v>2417</v>
      </c>
      <c r="H231" s="132" t="s">
        <v>2417</v>
      </c>
      <c r="I231" s="134" t="s">
        <v>2418</v>
      </c>
      <c r="J231" s="132" t="s">
        <v>2417</v>
      </c>
      <c r="K231" s="132" t="s">
        <v>2417</v>
      </c>
      <c r="L231" s="132" t="s">
        <v>2417</v>
      </c>
      <c r="M231" s="133" t="s">
        <v>2417</v>
      </c>
      <c r="N231" s="133" t="s">
        <v>2417</v>
      </c>
      <c r="O231" s="133" t="s">
        <v>2417</v>
      </c>
      <c r="P231" s="132" t="s">
        <v>2417</v>
      </c>
      <c r="Q231" s="132" t="s">
        <v>2417</v>
      </c>
      <c r="R231" s="133" t="s">
        <v>2417</v>
      </c>
      <c r="S231" s="132" t="s">
        <v>2417</v>
      </c>
      <c r="T231" s="132" t="s">
        <v>2417</v>
      </c>
      <c r="U231" s="132" t="s">
        <v>2417</v>
      </c>
      <c r="V231" s="132" t="s">
        <v>2417</v>
      </c>
      <c r="W231" s="132" t="s">
        <v>2417</v>
      </c>
      <c r="X231" s="132" t="s">
        <v>2417</v>
      </c>
      <c r="Y231" s="132" t="s">
        <v>2417</v>
      </c>
      <c r="Z231" s="132" t="s">
        <v>2417</v>
      </c>
      <c r="AA231" s="133" t="s">
        <v>2417</v>
      </c>
      <c r="AB231" s="133" t="s">
        <v>2417</v>
      </c>
      <c r="AC231" s="133" t="s">
        <v>2417</v>
      </c>
      <c r="AD231" s="133" t="s">
        <v>2417</v>
      </c>
      <c r="AE231" s="144"/>
    </row>
    <row r="232" spans="1:31" ht="40.799999999999997" outlineLevel="2">
      <c r="A232" s="68" t="s">
        <v>1025</v>
      </c>
      <c r="B232" s="79" t="s">
        <v>1026</v>
      </c>
      <c r="C232" s="360" t="s">
        <v>1027</v>
      </c>
      <c r="D232" s="351"/>
      <c r="E232" s="132" t="s">
        <v>2417</v>
      </c>
      <c r="F232" s="132" t="s">
        <v>2417</v>
      </c>
      <c r="G232" s="132" t="s">
        <v>2417</v>
      </c>
      <c r="H232" s="132" t="s">
        <v>2417</v>
      </c>
      <c r="I232" s="134" t="s">
        <v>2418</v>
      </c>
      <c r="J232" s="132" t="s">
        <v>2417</v>
      </c>
      <c r="K232" s="132" t="s">
        <v>2417</v>
      </c>
      <c r="L232" s="132" t="s">
        <v>2417</v>
      </c>
      <c r="M232" s="133" t="s">
        <v>2417</v>
      </c>
      <c r="N232" s="133" t="s">
        <v>2417</v>
      </c>
      <c r="O232" s="133" t="s">
        <v>2417</v>
      </c>
      <c r="P232" s="132" t="s">
        <v>2417</v>
      </c>
      <c r="Q232" s="132" t="s">
        <v>2417</v>
      </c>
      <c r="R232" s="133" t="s">
        <v>2417</v>
      </c>
      <c r="S232" s="132" t="s">
        <v>2417</v>
      </c>
      <c r="T232" s="132" t="s">
        <v>2417</v>
      </c>
      <c r="U232" s="132" t="s">
        <v>2417</v>
      </c>
      <c r="V232" s="132" t="s">
        <v>2417</v>
      </c>
      <c r="W232" s="132" t="s">
        <v>2417</v>
      </c>
      <c r="X232" s="132" t="s">
        <v>2417</v>
      </c>
      <c r="Y232" s="132" t="s">
        <v>2417</v>
      </c>
      <c r="Z232" s="132" t="s">
        <v>2417</v>
      </c>
      <c r="AA232" s="133" t="s">
        <v>2417</v>
      </c>
      <c r="AB232" s="133" t="s">
        <v>2417</v>
      </c>
      <c r="AC232" s="133" t="s">
        <v>2417</v>
      </c>
      <c r="AD232" s="133" t="s">
        <v>2417</v>
      </c>
      <c r="AE232" s="137"/>
    </row>
    <row r="233" spans="1:31" ht="13.2" outlineLevel="2">
      <c r="A233" s="68" t="s">
        <v>1028</v>
      </c>
      <c r="B233" s="62" t="s">
        <v>1029</v>
      </c>
      <c r="C233" s="387" t="s">
        <v>1030</v>
      </c>
      <c r="D233" s="351"/>
      <c r="E233" s="132" t="s">
        <v>2417</v>
      </c>
      <c r="F233" s="132" t="s">
        <v>2417</v>
      </c>
      <c r="G233" s="144" t="s">
        <v>2482</v>
      </c>
      <c r="H233" s="132" t="s">
        <v>2417</v>
      </c>
      <c r="I233" s="134" t="s">
        <v>2418</v>
      </c>
      <c r="J233" s="132" t="s">
        <v>2417</v>
      </c>
      <c r="K233" s="132" t="s">
        <v>2417</v>
      </c>
      <c r="L233" s="132" t="s">
        <v>2417</v>
      </c>
      <c r="M233" s="133" t="s">
        <v>2417</v>
      </c>
      <c r="N233" s="133" t="s">
        <v>2417</v>
      </c>
      <c r="O233" s="133" t="s">
        <v>2417</v>
      </c>
      <c r="P233" s="132" t="s">
        <v>2417</v>
      </c>
      <c r="Q233" s="132" t="s">
        <v>2417</v>
      </c>
      <c r="R233" s="133" t="s">
        <v>2417</v>
      </c>
      <c r="S233" s="132" t="s">
        <v>2417</v>
      </c>
      <c r="T233" s="132" t="s">
        <v>2417</v>
      </c>
      <c r="U233" s="132" t="s">
        <v>2417</v>
      </c>
      <c r="V233" s="132" t="s">
        <v>2417</v>
      </c>
      <c r="W233" s="132" t="s">
        <v>2417</v>
      </c>
      <c r="X233" s="132" t="s">
        <v>2417</v>
      </c>
      <c r="Y233" s="132" t="s">
        <v>2417</v>
      </c>
      <c r="Z233" s="132" t="s">
        <v>2417</v>
      </c>
      <c r="AA233" s="133" t="s">
        <v>2417</v>
      </c>
      <c r="AB233" s="133" t="s">
        <v>2417</v>
      </c>
      <c r="AC233" s="133" t="s">
        <v>2417</v>
      </c>
      <c r="AD233" s="133" t="s">
        <v>2417</v>
      </c>
      <c r="AE233" s="151"/>
    </row>
    <row r="234" spans="1:31" ht="13.2" hidden="1" outlineLevel="2">
      <c r="A234" s="68" t="s">
        <v>1028</v>
      </c>
      <c r="B234" s="62" t="s">
        <v>2483</v>
      </c>
      <c r="C234" s="355" t="s">
        <v>2484</v>
      </c>
      <c r="D234" s="351"/>
      <c r="E234" s="133" t="s">
        <v>2417</v>
      </c>
      <c r="F234" s="133" t="s">
        <v>2417</v>
      </c>
      <c r="G234" s="144" t="s">
        <v>2457</v>
      </c>
      <c r="H234" s="133" t="s">
        <v>2417</v>
      </c>
      <c r="I234" s="133" t="s">
        <v>2417</v>
      </c>
      <c r="J234" s="133" t="s">
        <v>2417</v>
      </c>
      <c r="K234" s="133" t="s">
        <v>2417</v>
      </c>
      <c r="L234" s="133" t="s">
        <v>2417</v>
      </c>
      <c r="M234" s="133" t="s">
        <v>2417</v>
      </c>
      <c r="N234" s="133" t="s">
        <v>2417</v>
      </c>
      <c r="O234" s="133" t="s">
        <v>2417</v>
      </c>
      <c r="P234" s="133" t="s">
        <v>2417</v>
      </c>
      <c r="Q234" s="133" t="s">
        <v>2417</v>
      </c>
      <c r="R234" s="133" t="s">
        <v>2417</v>
      </c>
      <c r="S234" s="133" t="s">
        <v>2417</v>
      </c>
      <c r="T234" s="133" t="s">
        <v>2417</v>
      </c>
      <c r="U234" s="133" t="s">
        <v>2417</v>
      </c>
      <c r="V234" s="133" t="s">
        <v>2417</v>
      </c>
      <c r="W234" s="133" t="s">
        <v>2417</v>
      </c>
      <c r="X234" s="133" t="s">
        <v>2417</v>
      </c>
      <c r="Y234" s="133" t="s">
        <v>2417</v>
      </c>
      <c r="Z234" s="133" t="s">
        <v>2417</v>
      </c>
      <c r="AA234" s="133" t="s">
        <v>2417</v>
      </c>
      <c r="AB234" s="133" t="s">
        <v>2417</v>
      </c>
      <c r="AC234" s="133" t="s">
        <v>2417</v>
      </c>
      <c r="AD234" s="133" t="s">
        <v>2417</v>
      </c>
      <c r="AE234" s="151"/>
    </row>
    <row r="235" spans="1:31" ht="20.399999999999999" outlineLevel="2">
      <c r="A235" s="68" t="s">
        <v>1031</v>
      </c>
      <c r="B235" s="64" t="s">
        <v>1032</v>
      </c>
      <c r="C235" s="387" t="s">
        <v>1033</v>
      </c>
      <c r="D235" s="351"/>
      <c r="E235" s="132" t="s">
        <v>2417</v>
      </c>
      <c r="F235" s="132" t="s">
        <v>2417</v>
      </c>
      <c r="G235" s="132" t="s">
        <v>2417</v>
      </c>
      <c r="H235" s="132" t="s">
        <v>2417</v>
      </c>
      <c r="I235" s="134" t="s">
        <v>2418</v>
      </c>
      <c r="J235" s="132" t="s">
        <v>2417</v>
      </c>
      <c r="K235" s="132" t="s">
        <v>2417</v>
      </c>
      <c r="L235" s="132" t="s">
        <v>2417</v>
      </c>
      <c r="M235" s="133" t="s">
        <v>2417</v>
      </c>
      <c r="N235" s="133" t="s">
        <v>2417</v>
      </c>
      <c r="O235" s="133" t="s">
        <v>2417</v>
      </c>
      <c r="P235" s="132" t="s">
        <v>2417</v>
      </c>
      <c r="Q235" s="132" t="s">
        <v>2417</v>
      </c>
      <c r="R235" s="133" t="s">
        <v>2417</v>
      </c>
      <c r="S235" s="132" t="s">
        <v>2417</v>
      </c>
      <c r="T235" s="132" t="s">
        <v>2417</v>
      </c>
      <c r="U235" s="132" t="s">
        <v>2417</v>
      </c>
      <c r="V235" s="132" t="s">
        <v>2417</v>
      </c>
      <c r="W235" s="132" t="s">
        <v>2417</v>
      </c>
      <c r="X235" s="132" t="s">
        <v>2417</v>
      </c>
      <c r="Y235" s="132" t="s">
        <v>2417</v>
      </c>
      <c r="Z235" s="132" t="s">
        <v>2417</v>
      </c>
      <c r="AA235" s="133" t="s">
        <v>2417</v>
      </c>
      <c r="AB235" s="133" t="s">
        <v>2417</v>
      </c>
      <c r="AC235" s="133" t="s">
        <v>2417</v>
      </c>
      <c r="AD235" s="133" t="s">
        <v>2417</v>
      </c>
      <c r="AE235" s="151"/>
    </row>
    <row r="236" spans="1:31" ht="13.2" outlineLevel="2">
      <c r="A236" s="68" t="s">
        <v>1034</v>
      </c>
      <c r="B236" s="62" t="s">
        <v>1035</v>
      </c>
      <c r="C236" s="387" t="s">
        <v>1036</v>
      </c>
      <c r="D236" s="351"/>
      <c r="E236" s="132" t="s">
        <v>2417</v>
      </c>
      <c r="F236" s="132" t="s">
        <v>2417</v>
      </c>
      <c r="G236" s="132" t="s">
        <v>2417</v>
      </c>
      <c r="H236" s="132" t="s">
        <v>2417</v>
      </c>
      <c r="I236" s="134" t="s">
        <v>2418</v>
      </c>
      <c r="J236" s="132" t="s">
        <v>2417</v>
      </c>
      <c r="K236" s="132" t="s">
        <v>2417</v>
      </c>
      <c r="L236" s="132" t="s">
        <v>2417</v>
      </c>
      <c r="M236" s="133" t="s">
        <v>2417</v>
      </c>
      <c r="N236" s="133" t="s">
        <v>2417</v>
      </c>
      <c r="O236" s="133" t="s">
        <v>2417</v>
      </c>
      <c r="P236" s="132" t="s">
        <v>2417</v>
      </c>
      <c r="Q236" s="132" t="s">
        <v>2417</v>
      </c>
      <c r="R236" s="133" t="s">
        <v>2417</v>
      </c>
      <c r="S236" s="132" t="s">
        <v>2417</v>
      </c>
      <c r="T236" s="132" t="s">
        <v>2417</v>
      </c>
      <c r="U236" s="132" t="s">
        <v>2417</v>
      </c>
      <c r="V236" s="132" t="s">
        <v>2417</v>
      </c>
      <c r="W236" s="132" t="s">
        <v>2417</v>
      </c>
      <c r="X236" s="132" t="s">
        <v>2417</v>
      </c>
      <c r="Y236" s="132" t="s">
        <v>2417</v>
      </c>
      <c r="Z236" s="132" t="s">
        <v>2417</v>
      </c>
      <c r="AA236" s="133" t="s">
        <v>2417</v>
      </c>
      <c r="AB236" s="133" t="s">
        <v>2417</v>
      </c>
      <c r="AC236" s="133" t="s">
        <v>2417</v>
      </c>
      <c r="AD236" s="133" t="s">
        <v>2417</v>
      </c>
      <c r="AE236" s="151"/>
    </row>
    <row r="237" spans="1:31" ht="13.2" outlineLevel="2">
      <c r="A237" s="68" t="s">
        <v>1037</v>
      </c>
      <c r="B237" s="64" t="s">
        <v>1038</v>
      </c>
      <c r="C237" s="387" t="s">
        <v>1039</v>
      </c>
      <c r="D237" s="351"/>
      <c r="E237" s="132" t="s">
        <v>2417</v>
      </c>
      <c r="F237" s="132" t="s">
        <v>2417</v>
      </c>
      <c r="G237" s="132" t="s">
        <v>2417</v>
      </c>
      <c r="H237" s="132" t="s">
        <v>2417</v>
      </c>
      <c r="I237" s="134" t="s">
        <v>2418</v>
      </c>
      <c r="J237" s="132" t="s">
        <v>2417</v>
      </c>
      <c r="K237" s="132" t="s">
        <v>2417</v>
      </c>
      <c r="L237" s="132" t="s">
        <v>2417</v>
      </c>
      <c r="M237" s="133" t="s">
        <v>2417</v>
      </c>
      <c r="N237" s="133" t="s">
        <v>2417</v>
      </c>
      <c r="O237" s="133" t="s">
        <v>2417</v>
      </c>
      <c r="P237" s="132" t="s">
        <v>2417</v>
      </c>
      <c r="Q237" s="132" t="s">
        <v>2417</v>
      </c>
      <c r="R237" s="133" t="s">
        <v>2417</v>
      </c>
      <c r="S237" s="132" t="s">
        <v>2417</v>
      </c>
      <c r="T237" s="132" t="s">
        <v>2417</v>
      </c>
      <c r="U237" s="132" t="s">
        <v>2417</v>
      </c>
      <c r="V237" s="132" t="s">
        <v>2417</v>
      </c>
      <c r="W237" s="132" t="s">
        <v>2417</v>
      </c>
      <c r="X237" s="132" t="s">
        <v>2417</v>
      </c>
      <c r="Y237" s="132" t="s">
        <v>2417</v>
      </c>
      <c r="Z237" s="132" t="s">
        <v>2417</v>
      </c>
      <c r="AA237" s="133" t="s">
        <v>2417</v>
      </c>
      <c r="AB237" s="133" t="s">
        <v>2417</v>
      </c>
      <c r="AC237" s="133" t="s">
        <v>2417</v>
      </c>
      <c r="AD237" s="133" t="s">
        <v>2417</v>
      </c>
      <c r="AE237" s="144"/>
    </row>
    <row r="238" spans="1:31" ht="13.2" outlineLevel="2">
      <c r="A238" s="68" t="s">
        <v>1040</v>
      </c>
      <c r="B238" s="62" t="s">
        <v>1041</v>
      </c>
      <c r="C238" s="387" t="s">
        <v>1042</v>
      </c>
      <c r="D238" s="351"/>
      <c r="E238" s="132" t="s">
        <v>2417</v>
      </c>
      <c r="F238" s="132" t="s">
        <v>2417</v>
      </c>
      <c r="G238" s="132" t="s">
        <v>2417</v>
      </c>
      <c r="H238" s="132" t="s">
        <v>2417</v>
      </c>
      <c r="I238" s="134" t="s">
        <v>2418</v>
      </c>
      <c r="J238" s="132" t="s">
        <v>2417</v>
      </c>
      <c r="K238" s="132" t="s">
        <v>2417</v>
      </c>
      <c r="L238" s="132" t="s">
        <v>2417</v>
      </c>
      <c r="M238" s="133" t="s">
        <v>2417</v>
      </c>
      <c r="N238" s="133" t="s">
        <v>2417</v>
      </c>
      <c r="O238" s="133" t="s">
        <v>2417</v>
      </c>
      <c r="P238" s="132" t="s">
        <v>2417</v>
      </c>
      <c r="Q238" s="132" t="s">
        <v>2417</v>
      </c>
      <c r="R238" s="133" t="s">
        <v>2417</v>
      </c>
      <c r="S238" s="132" t="s">
        <v>2417</v>
      </c>
      <c r="T238" s="132" t="s">
        <v>2417</v>
      </c>
      <c r="U238" s="132" t="s">
        <v>2417</v>
      </c>
      <c r="V238" s="132" t="s">
        <v>2417</v>
      </c>
      <c r="W238" s="132" t="s">
        <v>2417</v>
      </c>
      <c r="X238" s="132" t="s">
        <v>2417</v>
      </c>
      <c r="Y238" s="132" t="s">
        <v>2417</v>
      </c>
      <c r="Z238" s="132" t="s">
        <v>2417</v>
      </c>
      <c r="AA238" s="133" t="s">
        <v>2417</v>
      </c>
      <c r="AB238" s="133" t="s">
        <v>2417</v>
      </c>
      <c r="AC238" s="133" t="s">
        <v>2417</v>
      </c>
      <c r="AD238" s="133" t="s">
        <v>2417</v>
      </c>
      <c r="AE238" s="144"/>
    </row>
    <row r="239" spans="1:31" ht="13.2" outlineLevel="2">
      <c r="A239" s="68" t="s">
        <v>1043</v>
      </c>
      <c r="B239" s="62" t="s">
        <v>1044</v>
      </c>
      <c r="C239" s="387" t="s">
        <v>1045</v>
      </c>
      <c r="D239" s="351"/>
      <c r="E239" s="132" t="s">
        <v>2417</v>
      </c>
      <c r="F239" s="132" t="s">
        <v>2417</v>
      </c>
      <c r="G239" s="132" t="s">
        <v>2417</v>
      </c>
      <c r="H239" s="132" t="s">
        <v>2417</v>
      </c>
      <c r="I239" s="134" t="s">
        <v>2418</v>
      </c>
      <c r="J239" s="132" t="s">
        <v>2417</v>
      </c>
      <c r="K239" s="132" t="s">
        <v>2417</v>
      </c>
      <c r="L239" s="132" t="s">
        <v>2417</v>
      </c>
      <c r="M239" s="133" t="s">
        <v>2417</v>
      </c>
      <c r="N239" s="133" t="s">
        <v>2417</v>
      </c>
      <c r="O239" s="133" t="s">
        <v>2417</v>
      </c>
      <c r="P239" s="132" t="s">
        <v>2417</v>
      </c>
      <c r="Q239" s="132" t="s">
        <v>2417</v>
      </c>
      <c r="R239" s="133" t="s">
        <v>2417</v>
      </c>
      <c r="S239" s="132" t="s">
        <v>2417</v>
      </c>
      <c r="T239" s="132" t="s">
        <v>2417</v>
      </c>
      <c r="U239" s="132" t="s">
        <v>2417</v>
      </c>
      <c r="V239" s="132" t="s">
        <v>2417</v>
      </c>
      <c r="W239" s="132" t="s">
        <v>2417</v>
      </c>
      <c r="X239" s="132" t="s">
        <v>2417</v>
      </c>
      <c r="Y239" s="132" t="s">
        <v>2417</v>
      </c>
      <c r="Z239" s="132" t="s">
        <v>2417</v>
      </c>
      <c r="AA239" s="133" t="s">
        <v>2417</v>
      </c>
      <c r="AB239" s="133" t="s">
        <v>2417</v>
      </c>
      <c r="AC239" s="133" t="s">
        <v>2417</v>
      </c>
      <c r="AD239" s="133" t="s">
        <v>2417</v>
      </c>
      <c r="AE239" s="144"/>
    </row>
    <row r="240" spans="1:31" ht="13.2" outlineLevel="2">
      <c r="A240" s="68" t="s">
        <v>1046</v>
      </c>
      <c r="B240" s="62" t="s">
        <v>1047</v>
      </c>
      <c r="C240" s="387" t="s">
        <v>1048</v>
      </c>
      <c r="D240" s="351"/>
      <c r="E240" s="132" t="s">
        <v>2417</v>
      </c>
      <c r="F240" s="132" t="s">
        <v>2417</v>
      </c>
      <c r="G240" s="132" t="s">
        <v>2417</v>
      </c>
      <c r="H240" s="132" t="s">
        <v>2417</v>
      </c>
      <c r="I240" s="134" t="s">
        <v>2418</v>
      </c>
      <c r="J240" s="132" t="s">
        <v>2417</v>
      </c>
      <c r="K240" s="132" t="s">
        <v>2417</v>
      </c>
      <c r="L240" s="132" t="s">
        <v>2417</v>
      </c>
      <c r="M240" s="133" t="s">
        <v>2417</v>
      </c>
      <c r="N240" s="133" t="s">
        <v>2417</v>
      </c>
      <c r="O240" s="133" t="s">
        <v>2417</v>
      </c>
      <c r="P240" s="132" t="s">
        <v>2417</v>
      </c>
      <c r="Q240" s="132" t="s">
        <v>2417</v>
      </c>
      <c r="R240" s="133" t="s">
        <v>2417</v>
      </c>
      <c r="S240" s="132" t="s">
        <v>2417</v>
      </c>
      <c r="T240" s="132" t="s">
        <v>2417</v>
      </c>
      <c r="U240" s="132" t="s">
        <v>2417</v>
      </c>
      <c r="V240" s="132" t="s">
        <v>2417</v>
      </c>
      <c r="W240" s="132" t="s">
        <v>2417</v>
      </c>
      <c r="X240" s="132" t="s">
        <v>2417</v>
      </c>
      <c r="Y240" s="132" t="s">
        <v>2417</v>
      </c>
      <c r="Z240" s="132" t="s">
        <v>2417</v>
      </c>
      <c r="AA240" s="133" t="s">
        <v>2417</v>
      </c>
      <c r="AB240" s="133" t="s">
        <v>2417</v>
      </c>
      <c r="AC240" s="133" t="s">
        <v>2417</v>
      </c>
      <c r="AD240" s="133" t="s">
        <v>2417</v>
      </c>
      <c r="AE240" s="151"/>
    </row>
    <row r="241" spans="1:31" ht="13.2" outlineLevel="2">
      <c r="A241" s="68" t="s">
        <v>1049</v>
      </c>
      <c r="B241" s="64" t="s">
        <v>1050</v>
      </c>
      <c r="C241" s="387" t="s">
        <v>1051</v>
      </c>
      <c r="D241" s="351"/>
      <c r="E241" s="132" t="s">
        <v>2417</v>
      </c>
      <c r="F241" s="132" t="s">
        <v>2417</v>
      </c>
      <c r="G241" s="132" t="s">
        <v>2417</v>
      </c>
      <c r="H241" s="132" t="s">
        <v>2417</v>
      </c>
      <c r="I241" s="134" t="s">
        <v>2418</v>
      </c>
      <c r="J241" s="132" t="s">
        <v>2417</v>
      </c>
      <c r="K241" s="132" t="s">
        <v>2417</v>
      </c>
      <c r="L241" s="132" t="s">
        <v>2417</v>
      </c>
      <c r="M241" s="133" t="s">
        <v>2417</v>
      </c>
      <c r="N241" s="133" t="s">
        <v>2417</v>
      </c>
      <c r="O241" s="133" t="s">
        <v>2417</v>
      </c>
      <c r="P241" s="132" t="s">
        <v>2417</v>
      </c>
      <c r="Q241" s="132" t="s">
        <v>2417</v>
      </c>
      <c r="R241" s="133" t="s">
        <v>2417</v>
      </c>
      <c r="S241" s="132" t="s">
        <v>2417</v>
      </c>
      <c r="T241" s="132" t="s">
        <v>2417</v>
      </c>
      <c r="U241" s="132" t="s">
        <v>2417</v>
      </c>
      <c r="V241" s="132" t="s">
        <v>2417</v>
      </c>
      <c r="W241" s="132" t="s">
        <v>2417</v>
      </c>
      <c r="X241" s="132" t="s">
        <v>2417</v>
      </c>
      <c r="Y241" s="132" t="s">
        <v>2417</v>
      </c>
      <c r="Z241" s="132" t="s">
        <v>2417</v>
      </c>
      <c r="AA241" s="133" t="s">
        <v>2417</v>
      </c>
      <c r="AB241" s="133" t="s">
        <v>2417</v>
      </c>
      <c r="AC241" s="133" t="s">
        <v>2417</v>
      </c>
      <c r="AD241" s="133" t="s">
        <v>2417</v>
      </c>
      <c r="AE241" s="144"/>
    </row>
    <row r="242" spans="1:31" ht="13.2" outlineLevel="2">
      <c r="A242" s="68" t="s">
        <v>1052</v>
      </c>
      <c r="B242" s="64" t="s">
        <v>1053</v>
      </c>
      <c r="C242" s="387" t="s">
        <v>1054</v>
      </c>
      <c r="D242" s="351"/>
      <c r="E242" s="132" t="s">
        <v>2417</v>
      </c>
      <c r="F242" s="132" t="s">
        <v>2417</v>
      </c>
      <c r="G242" s="132" t="s">
        <v>2417</v>
      </c>
      <c r="H242" s="132" t="s">
        <v>2417</v>
      </c>
      <c r="I242" s="134" t="s">
        <v>2418</v>
      </c>
      <c r="J242" s="132" t="s">
        <v>2417</v>
      </c>
      <c r="K242" s="132" t="s">
        <v>2417</v>
      </c>
      <c r="L242" s="132" t="s">
        <v>2417</v>
      </c>
      <c r="M242" s="133" t="s">
        <v>2417</v>
      </c>
      <c r="N242" s="133" t="s">
        <v>2417</v>
      </c>
      <c r="O242" s="133" t="s">
        <v>2417</v>
      </c>
      <c r="P242" s="132" t="s">
        <v>2417</v>
      </c>
      <c r="Q242" s="132" t="s">
        <v>2417</v>
      </c>
      <c r="R242" s="133" t="s">
        <v>2417</v>
      </c>
      <c r="S242" s="132" t="s">
        <v>2417</v>
      </c>
      <c r="T242" s="132" t="s">
        <v>2417</v>
      </c>
      <c r="U242" s="132" t="s">
        <v>2417</v>
      </c>
      <c r="V242" s="132" t="s">
        <v>2417</v>
      </c>
      <c r="W242" s="132" t="s">
        <v>2417</v>
      </c>
      <c r="X242" s="132" t="s">
        <v>2417</v>
      </c>
      <c r="Y242" s="132" t="s">
        <v>2417</v>
      </c>
      <c r="Z242" s="132" t="s">
        <v>2417</v>
      </c>
      <c r="AA242" s="133" t="s">
        <v>2417</v>
      </c>
      <c r="AB242" s="133" t="s">
        <v>2417</v>
      </c>
      <c r="AC242" s="133" t="s">
        <v>2417</v>
      </c>
      <c r="AD242" s="133" t="s">
        <v>2417</v>
      </c>
      <c r="AE242" s="151"/>
    </row>
    <row r="243" spans="1:31" ht="13.2" outlineLevel="2">
      <c r="A243" s="68" t="s">
        <v>1055</v>
      </c>
      <c r="B243" s="64" t="s">
        <v>1056</v>
      </c>
      <c r="C243" s="387" t="s">
        <v>1057</v>
      </c>
      <c r="D243" s="351"/>
      <c r="E243" s="132" t="s">
        <v>2417</v>
      </c>
      <c r="F243" s="132" t="s">
        <v>2417</v>
      </c>
      <c r="G243" s="132" t="s">
        <v>2417</v>
      </c>
      <c r="H243" s="132" t="s">
        <v>2417</v>
      </c>
      <c r="I243" s="134" t="s">
        <v>2418</v>
      </c>
      <c r="J243" s="132" t="s">
        <v>2417</v>
      </c>
      <c r="K243" s="132" t="s">
        <v>2417</v>
      </c>
      <c r="L243" s="132" t="s">
        <v>2417</v>
      </c>
      <c r="M243" s="133" t="s">
        <v>2417</v>
      </c>
      <c r="N243" s="133" t="s">
        <v>2417</v>
      </c>
      <c r="O243" s="133" t="s">
        <v>2417</v>
      </c>
      <c r="P243" s="132" t="s">
        <v>2417</v>
      </c>
      <c r="Q243" s="132" t="s">
        <v>2417</v>
      </c>
      <c r="R243" s="133" t="s">
        <v>2417</v>
      </c>
      <c r="S243" s="132" t="s">
        <v>2417</v>
      </c>
      <c r="T243" s="132" t="s">
        <v>2417</v>
      </c>
      <c r="U243" s="132" t="s">
        <v>2417</v>
      </c>
      <c r="V243" s="132" t="s">
        <v>2417</v>
      </c>
      <c r="W243" s="132" t="s">
        <v>2417</v>
      </c>
      <c r="X243" s="132" t="s">
        <v>2417</v>
      </c>
      <c r="Y243" s="132" t="s">
        <v>2417</v>
      </c>
      <c r="Z243" s="132" t="s">
        <v>2417</v>
      </c>
      <c r="AA243" s="133" t="s">
        <v>2417</v>
      </c>
      <c r="AB243" s="133" t="s">
        <v>2417</v>
      </c>
      <c r="AC243" s="133" t="s">
        <v>2417</v>
      </c>
      <c r="AD243" s="133" t="s">
        <v>2417</v>
      </c>
      <c r="AE243" s="144"/>
    </row>
    <row r="244" spans="1:31" ht="13.2" outlineLevel="2">
      <c r="A244" s="68" t="s">
        <v>1058</v>
      </c>
      <c r="B244" s="64" t="s">
        <v>1059</v>
      </c>
      <c r="C244" s="387" t="s">
        <v>1060</v>
      </c>
      <c r="D244" s="351"/>
      <c r="E244" s="132" t="s">
        <v>2417</v>
      </c>
      <c r="F244" s="132" t="s">
        <v>2417</v>
      </c>
      <c r="G244" s="132" t="s">
        <v>2417</v>
      </c>
      <c r="H244" s="132" t="s">
        <v>2417</v>
      </c>
      <c r="I244" s="134" t="s">
        <v>2418</v>
      </c>
      <c r="J244" s="132" t="s">
        <v>2417</v>
      </c>
      <c r="K244" s="132" t="s">
        <v>2417</v>
      </c>
      <c r="L244" s="132" t="s">
        <v>2417</v>
      </c>
      <c r="M244" s="133" t="s">
        <v>2417</v>
      </c>
      <c r="N244" s="133" t="s">
        <v>2417</v>
      </c>
      <c r="O244" s="133" t="s">
        <v>2417</v>
      </c>
      <c r="P244" s="132" t="s">
        <v>2417</v>
      </c>
      <c r="Q244" s="132" t="s">
        <v>2417</v>
      </c>
      <c r="R244" s="133" t="s">
        <v>2417</v>
      </c>
      <c r="S244" s="132" t="s">
        <v>2417</v>
      </c>
      <c r="T244" s="132" t="s">
        <v>2417</v>
      </c>
      <c r="U244" s="132" t="s">
        <v>2417</v>
      </c>
      <c r="V244" s="132" t="s">
        <v>2417</v>
      </c>
      <c r="W244" s="132" t="s">
        <v>2417</v>
      </c>
      <c r="X244" s="132" t="s">
        <v>2417</v>
      </c>
      <c r="Y244" s="132" t="s">
        <v>2417</v>
      </c>
      <c r="Z244" s="132" t="s">
        <v>2417</v>
      </c>
      <c r="AA244" s="133" t="s">
        <v>2417</v>
      </c>
      <c r="AB244" s="133" t="s">
        <v>2417</v>
      </c>
      <c r="AC244" s="133" t="s">
        <v>2417</v>
      </c>
      <c r="AD244" s="133" t="s">
        <v>2417</v>
      </c>
      <c r="AE244" s="144"/>
    </row>
    <row r="245" spans="1:31" ht="13.2" outlineLevel="2">
      <c r="A245" s="68" t="s">
        <v>1061</v>
      </c>
      <c r="B245" s="64" t="s">
        <v>1062</v>
      </c>
      <c r="C245" s="387" t="s">
        <v>1063</v>
      </c>
      <c r="D245" s="351"/>
      <c r="E245" s="132" t="s">
        <v>2417</v>
      </c>
      <c r="F245" s="132" t="s">
        <v>2417</v>
      </c>
      <c r="G245" s="132" t="s">
        <v>2417</v>
      </c>
      <c r="H245" s="132" t="s">
        <v>2417</v>
      </c>
      <c r="I245" s="134" t="s">
        <v>2418</v>
      </c>
      <c r="J245" s="132" t="s">
        <v>2417</v>
      </c>
      <c r="K245" s="132" t="s">
        <v>2417</v>
      </c>
      <c r="L245" s="132" t="s">
        <v>2417</v>
      </c>
      <c r="M245" s="133" t="s">
        <v>2417</v>
      </c>
      <c r="N245" s="133" t="s">
        <v>2417</v>
      </c>
      <c r="O245" s="133" t="s">
        <v>2417</v>
      </c>
      <c r="P245" s="132" t="s">
        <v>2417</v>
      </c>
      <c r="Q245" s="132" t="s">
        <v>2417</v>
      </c>
      <c r="R245" s="133" t="s">
        <v>2417</v>
      </c>
      <c r="S245" s="132" t="s">
        <v>2417</v>
      </c>
      <c r="T245" s="132" t="s">
        <v>2417</v>
      </c>
      <c r="U245" s="132" t="s">
        <v>2417</v>
      </c>
      <c r="V245" s="132" t="s">
        <v>2417</v>
      </c>
      <c r="W245" s="132" t="s">
        <v>2417</v>
      </c>
      <c r="X245" s="132" t="s">
        <v>2417</v>
      </c>
      <c r="Y245" s="132" t="s">
        <v>2417</v>
      </c>
      <c r="Z245" s="132" t="s">
        <v>2417</v>
      </c>
      <c r="AA245" s="133" t="s">
        <v>2417</v>
      </c>
      <c r="AB245" s="133" t="s">
        <v>2417</v>
      </c>
      <c r="AC245" s="133" t="s">
        <v>2417</v>
      </c>
      <c r="AD245" s="133" t="s">
        <v>2417</v>
      </c>
      <c r="AE245" s="144"/>
    </row>
    <row r="246" spans="1:31" ht="13.2" outlineLevel="2">
      <c r="A246" s="68" t="s">
        <v>1064</v>
      </c>
      <c r="B246" s="64" t="s">
        <v>1065</v>
      </c>
      <c r="C246" s="387" t="s">
        <v>1066</v>
      </c>
      <c r="D246" s="351"/>
      <c r="E246" s="132" t="s">
        <v>2417</v>
      </c>
      <c r="F246" s="132" t="s">
        <v>2417</v>
      </c>
      <c r="G246" s="132" t="s">
        <v>2417</v>
      </c>
      <c r="H246" s="132" t="s">
        <v>2417</v>
      </c>
      <c r="I246" s="134" t="s">
        <v>2418</v>
      </c>
      <c r="J246" s="132" t="s">
        <v>2417</v>
      </c>
      <c r="K246" s="132" t="s">
        <v>2417</v>
      </c>
      <c r="L246" s="132" t="s">
        <v>2417</v>
      </c>
      <c r="M246" s="133" t="s">
        <v>2417</v>
      </c>
      <c r="N246" s="133" t="s">
        <v>2417</v>
      </c>
      <c r="O246" s="133" t="s">
        <v>2417</v>
      </c>
      <c r="P246" s="132" t="s">
        <v>2417</v>
      </c>
      <c r="Q246" s="132" t="s">
        <v>2417</v>
      </c>
      <c r="R246" s="133" t="s">
        <v>2417</v>
      </c>
      <c r="S246" s="132" t="s">
        <v>2417</v>
      </c>
      <c r="T246" s="132" t="s">
        <v>2417</v>
      </c>
      <c r="U246" s="132" t="s">
        <v>2417</v>
      </c>
      <c r="V246" s="132" t="s">
        <v>2417</v>
      </c>
      <c r="W246" s="132" t="s">
        <v>2417</v>
      </c>
      <c r="X246" s="132" t="s">
        <v>2417</v>
      </c>
      <c r="Y246" s="132" t="s">
        <v>2417</v>
      </c>
      <c r="Z246" s="132" t="s">
        <v>2417</v>
      </c>
      <c r="AA246" s="133" t="s">
        <v>2417</v>
      </c>
      <c r="AB246" s="133" t="s">
        <v>2417</v>
      </c>
      <c r="AC246" s="133" t="s">
        <v>2417</v>
      </c>
      <c r="AD246" s="133" t="s">
        <v>2417</v>
      </c>
      <c r="AE246" s="144"/>
    </row>
    <row r="247" spans="1:31" ht="13.2" outlineLevel="2">
      <c r="A247" s="68" t="s">
        <v>1067</v>
      </c>
      <c r="B247" s="64" t="s">
        <v>1068</v>
      </c>
      <c r="C247" s="387" t="s">
        <v>1069</v>
      </c>
      <c r="D247" s="351"/>
      <c r="E247" s="132" t="s">
        <v>2417</v>
      </c>
      <c r="F247" s="132" t="s">
        <v>2417</v>
      </c>
      <c r="G247" s="132" t="s">
        <v>2417</v>
      </c>
      <c r="H247" s="132" t="s">
        <v>2417</v>
      </c>
      <c r="I247" s="134" t="s">
        <v>2418</v>
      </c>
      <c r="J247" s="132" t="s">
        <v>2417</v>
      </c>
      <c r="K247" s="132" t="s">
        <v>2417</v>
      </c>
      <c r="L247" s="132" t="s">
        <v>2417</v>
      </c>
      <c r="M247" s="133" t="s">
        <v>2417</v>
      </c>
      <c r="N247" s="133" t="s">
        <v>2417</v>
      </c>
      <c r="O247" s="133" t="s">
        <v>2417</v>
      </c>
      <c r="P247" s="132" t="s">
        <v>2417</v>
      </c>
      <c r="Q247" s="132" t="s">
        <v>2417</v>
      </c>
      <c r="R247" s="133" t="s">
        <v>2417</v>
      </c>
      <c r="S247" s="132" t="s">
        <v>2417</v>
      </c>
      <c r="T247" s="132" t="s">
        <v>2417</v>
      </c>
      <c r="U247" s="132" t="s">
        <v>2417</v>
      </c>
      <c r="V247" s="132" t="s">
        <v>2417</v>
      </c>
      <c r="W247" s="132" t="s">
        <v>2417</v>
      </c>
      <c r="X247" s="132" t="s">
        <v>2417</v>
      </c>
      <c r="Y247" s="132" t="s">
        <v>2417</v>
      </c>
      <c r="Z247" s="132" t="s">
        <v>2417</v>
      </c>
      <c r="AA247" s="133" t="s">
        <v>2417</v>
      </c>
      <c r="AB247" s="133" t="s">
        <v>2417</v>
      </c>
      <c r="AC247" s="133" t="s">
        <v>2417</v>
      </c>
      <c r="AD247" s="133" t="s">
        <v>2417</v>
      </c>
      <c r="AE247" s="144"/>
    </row>
    <row r="248" spans="1:31" ht="13.2" outlineLevel="2">
      <c r="A248" s="68" t="s">
        <v>1070</v>
      </c>
      <c r="B248" s="64" t="s">
        <v>1071</v>
      </c>
      <c r="C248" s="387" t="s">
        <v>1072</v>
      </c>
      <c r="D248" s="351"/>
      <c r="E248" s="132" t="s">
        <v>2417</v>
      </c>
      <c r="F248" s="132" t="s">
        <v>2417</v>
      </c>
      <c r="G248" s="132" t="s">
        <v>2417</v>
      </c>
      <c r="H248" s="132" t="s">
        <v>2417</v>
      </c>
      <c r="I248" s="134" t="s">
        <v>2418</v>
      </c>
      <c r="J248" s="132" t="s">
        <v>2417</v>
      </c>
      <c r="K248" s="132" t="s">
        <v>2417</v>
      </c>
      <c r="L248" s="132" t="s">
        <v>2417</v>
      </c>
      <c r="M248" s="133" t="s">
        <v>2417</v>
      </c>
      <c r="N248" s="133" t="s">
        <v>2417</v>
      </c>
      <c r="O248" s="133" t="s">
        <v>2417</v>
      </c>
      <c r="P248" s="132" t="s">
        <v>2417</v>
      </c>
      <c r="Q248" s="132" t="s">
        <v>2417</v>
      </c>
      <c r="R248" s="133" t="s">
        <v>2417</v>
      </c>
      <c r="S248" s="132" t="s">
        <v>2417</v>
      </c>
      <c r="T248" s="132" t="s">
        <v>2417</v>
      </c>
      <c r="U248" s="132" t="s">
        <v>2417</v>
      </c>
      <c r="V248" s="132" t="s">
        <v>2417</v>
      </c>
      <c r="W248" s="132" t="s">
        <v>2417</v>
      </c>
      <c r="X248" s="132" t="s">
        <v>2417</v>
      </c>
      <c r="Y248" s="132" t="s">
        <v>2417</v>
      </c>
      <c r="Z248" s="132" t="s">
        <v>2417</v>
      </c>
      <c r="AA248" s="133" t="s">
        <v>2417</v>
      </c>
      <c r="AB248" s="133" t="s">
        <v>2417</v>
      </c>
      <c r="AC248" s="133" t="s">
        <v>2417</v>
      </c>
      <c r="AD248" s="133" t="s">
        <v>2417</v>
      </c>
      <c r="AE248" s="144"/>
    </row>
    <row r="249" spans="1:31" ht="20.399999999999999" outlineLevel="2">
      <c r="A249" s="68" t="s">
        <v>1073</v>
      </c>
      <c r="B249" s="62" t="s">
        <v>1074</v>
      </c>
      <c r="C249" s="387" t="s">
        <v>1075</v>
      </c>
      <c r="D249" s="351"/>
      <c r="E249" s="132" t="s">
        <v>2417</v>
      </c>
      <c r="F249" s="132" t="s">
        <v>2417</v>
      </c>
      <c r="G249" s="132" t="s">
        <v>2417</v>
      </c>
      <c r="H249" s="132" t="s">
        <v>2417</v>
      </c>
      <c r="I249" s="134" t="s">
        <v>2418</v>
      </c>
      <c r="J249" s="132" t="s">
        <v>2417</v>
      </c>
      <c r="K249" s="132" t="s">
        <v>2417</v>
      </c>
      <c r="L249" s="132" t="s">
        <v>2417</v>
      </c>
      <c r="M249" s="133" t="s">
        <v>2417</v>
      </c>
      <c r="N249" s="133" t="s">
        <v>2417</v>
      </c>
      <c r="O249" s="133" t="s">
        <v>2417</v>
      </c>
      <c r="P249" s="132" t="s">
        <v>2417</v>
      </c>
      <c r="Q249" s="132" t="s">
        <v>2417</v>
      </c>
      <c r="R249" s="133" t="s">
        <v>2417</v>
      </c>
      <c r="S249" s="132" t="s">
        <v>2417</v>
      </c>
      <c r="T249" s="132" t="s">
        <v>2417</v>
      </c>
      <c r="U249" s="132" t="s">
        <v>2417</v>
      </c>
      <c r="V249" s="132" t="s">
        <v>2417</v>
      </c>
      <c r="W249" s="132" t="s">
        <v>2417</v>
      </c>
      <c r="X249" s="132" t="s">
        <v>2417</v>
      </c>
      <c r="Y249" s="132" t="s">
        <v>2417</v>
      </c>
      <c r="Z249" s="132" t="s">
        <v>2417</v>
      </c>
      <c r="AA249" s="133" t="s">
        <v>2417</v>
      </c>
      <c r="AB249" s="133" t="s">
        <v>2417</v>
      </c>
      <c r="AC249" s="133" t="s">
        <v>2417</v>
      </c>
      <c r="AD249" s="133" t="s">
        <v>2417</v>
      </c>
      <c r="AE249" s="144"/>
    </row>
    <row r="250" spans="1:31" ht="20.399999999999999" outlineLevel="2">
      <c r="A250" s="68" t="s">
        <v>1076</v>
      </c>
      <c r="B250" s="62" t="s">
        <v>1077</v>
      </c>
      <c r="C250" s="387" t="s">
        <v>1078</v>
      </c>
      <c r="D250" s="351"/>
      <c r="E250" s="132" t="s">
        <v>2417</v>
      </c>
      <c r="F250" s="132" t="s">
        <v>2417</v>
      </c>
      <c r="G250" s="132" t="s">
        <v>2417</v>
      </c>
      <c r="H250" s="132" t="s">
        <v>2417</v>
      </c>
      <c r="I250" s="134" t="s">
        <v>2418</v>
      </c>
      <c r="J250" s="132" t="s">
        <v>2417</v>
      </c>
      <c r="K250" s="132" t="s">
        <v>2417</v>
      </c>
      <c r="L250" s="132" t="s">
        <v>2417</v>
      </c>
      <c r="M250" s="133" t="s">
        <v>2417</v>
      </c>
      <c r="N250" s="133" t="s">
        <v>2417</v>
      </c>
      <c r="O250" s="133" t="s">
        <v>2417</v>
      </c>
      <c r="P250" s="132" t="s">
        <v>2417</v>
      </c>
      <c r="Q250" s="132" t="s">
        <v>2417</v>
      </c>
      <c r="R250" s="133" t="s">
        <v>2417</v>
      </c>
      <c r="S250" s="132" t="s">
        <v>2417</v>
      </c>
      <c r="T250" s="132" t="s">
        <v>2417</v>
      </c>
      <c r="U250" s="132" t="s">
        <v>2417</v>
      </c>
      <c r="V250" s="132" t="s">
        <v>2417</v>
      </c>
      <c r="W250" s="132" t="s">
        <v>2417</v>
      </c>
      <c r="X250" s="132" t="s">
        <v>2417</v>
      </c>
      <c r="Y250" s="132" t="s">
        <v>2417</v>
      </c>
      <c r="Z250" s="132" t="s">
        <v>2417</v>
      </c>
      <c r="AA250" s="133" t="s">
        <v>2417</v>
      </c>
      <c r="AB250" s="133" t="s">
        <v>2417</v>
      </c>
      <c r="AC250" s="133" t="s">
        <v>2417</v>
      </c>
      <c r="AD250" s="133" t="s">
        <v>2417</v>
      </c>
      <c r="AE250" s="144"/>
    </row>
    <row r="251" spans="1:31" ht="13.2" outlineLevel="2">
      <c r="A251" s="68" t="s">
        <v>1079</v>
      </c>
      <c r="B251" s="62" t="s">
        <v>1080</v>
      </c>
      <c r="C251" s="387" t="s">
        <v>1081</v>
      </c>
      <c r="D251" s="351"/>
      <c r="E251" s="132" t="s">
        <v>2417</v>
      </c>
      <c r="F251" s="132" t="s">
        <v>2417</v>
      </c>
      <c r="G251" s="132" t="s">
        <v>2417</v>
      </c>
      <c r="H251" s="132" t="s">
        <v>2417</v>
      </c>
      <c r="I251" s="134" t="s">
        <v>2418</v>
      </c>
      <c r="J251" s="132" t="s">
        <v>2417</v>
      </c>
      <c r="K251" s="132" t="s">
        <v>2417</v>
      </c>
      <c r="L251" s="132" t="s">
        <v>2417</v>
      </c>
      <c r="M251" s="133" t="s">
        <v>2417</v>
      </c>
      <c r="N251" s="133" t="s">
        <v>2417</v>
      </c>
      <c r="O251" s="133" t="s">
        <v>2417</v>
      </c>
      <c r="P251" s="132" t="s">
        <v>2417</v>
      </c>
      <c r="Q251" s="132" t="s">
        <v>2417</v>
      </c>
      <c r="R251" s="133" t="s">
        <v>2417</v>
      </c>
      <c r="S251" s="132" t="s">
        <v>2417</v>
      </c>
      <c r="T251" s="132" t="s">
        <v>2417</v>
      </c>
      <c r="U251" s="132" t="s">
        <v>2417</v>
      </c>
      <c r="V251" s="132" t="s">
        <v>2417</v>
      </c>
      <c r="W251" s="132" t="s">
        <v>2417</v>
      </c>
      <c r="X251" s="132" t="s">
        <v>2417</v>
      </c>
      <c r="Y251" s="132" t="s">
        <v>2417</v>
      </c>
      <c r="Z251" s="132" t="s">
        <v>2417</v>
      </c>
      <c r="AA251" s="133" t="s">
        <v>2417</v>
      </c>
      <c r="AB251" s="133" t="s">
        <v>2417</v>
      </c>
      <c r="AC251" s="133" t="s">
        <v>2417</v>
      </c>
      <c r="AD251" s="133" t="s">
        <v>2417</v>
      </c>
      <c r="AE251" s="144"/>
    </row>
    <row r="252" spans="1:31" ht="13.2" outlineLevel="2">
      <c r="A252" s="384" t="s">
        <v>1082</v>
      </c>
      <c r="B252" s="350"/>
      <c r="C252" s="350"/>
      <c r="D252" s="351"/>
      <c r="E252" s="132" t="s">
        <v>2417</v>
      </c>
      <c r="F252" s="132" t="s">
        <v>2417</v>
      </c>
      <c r="G252" s="132" t="s">
        <v>2417</v>
      </c>
      <c r="H252" s="132" t="s">
        <v>2417</v>
      </c>
      <c r="I252" s="134" t="s">
        <v>2418</v>
      </c>
      <c r="J252" s="132" t="s">
        <v>2417</v>
      </c>
      <c r="K252" s="132" t="s">
        <v>2417</v>
      </c>
      <c r="L252" s="132" t="s">
        <v>2417</v>
      </c>
      <c r="M252" s="133" t="s">
        <v>2417</v>
      </c>
      <c r="N252" s="133" t="s">
        <v>2417</v>
      </c>
      <c r="O252" s="133" t="s">
        <v>2417</v>
      </c>
      <c r="P252" s="132" t="s">
        <v>2417</v>
      </c>
      <c r="Q252" s="132" t="s">
        <v>2417</v>
      </c>
      <c r="R252" s="133" t="s">
        <v>2417</v>
      </c>
      <c r="S252" s="132" t="s">
        <v>2417</v>
      </c>
      <c r="T252" s="132" t="s">
        <v>2417</v>
      </c>
      <c r="U252" s="132" t="s">
        <v>2417</v>
      </c>
      <c r="V252" s="132" t="s">
        <v>2417</v>
      </c>
      <c r="W252" s="132" t="s">
        <v>2417</v>
      </c>
      <c r="X252" s="132" t="s">
        <v>2417</v>
      </c>
      <c r="Y252" s="132" t="s">
        <v>2417</v>
      </c>
      <c r="Z252" s="132" t="s">
        <v>2417</v>
      </c>
      <c r="AA252" s="133" t="s">
        <v>2417</v>
      </c>
      <c r="AB252" s="133" t="s">
        <v>2417</v>
      </c>
      <c r="AC252" s="133" t="s">
        <v>2417</v>
      </c>
      <c r="AD252" s="133" t="s">
        <v>2417</v>
      </c>
      <c r="AE252" s="152"/>
    </row>
    <row r="253" spans="1:31" ht="13.2" outlineLevel="2">
      <c r="A253" s="68" t="s">
        <v>1083</v>
      </c>
      <c r="B253" s="72"/>
      <c r="C253" s="387" t="s">
        <v>1084</v>
      </c>
      <c r="D253" s="351"/>
      <c r="E253" s="132" t="s">
        <v>2417</v>
      </c>
      <c r="F253" s="132" t="s">
        <v>2417</v>
      </c>
      <c r="G253" s="132" t="s">
        <v>2417</v>
      </c>
      <c r="H253" s="132" t="s">
        <v>2417</v>
      </c>
      <c r="I253" s="134" t="s">
        <v>2418</v>
      </c>
      <c r="J253" s="132" t="s">
        <v>2417</v>
      </c>
      <c r="K253" s="132" t="s">
        <v>2417</v>
      </c>
      <c r="L253" s="132" t="s">
        <v>2417</v>
      </c>
      <c r="M253" s="133" t="s">
        <v>2417</v>
      </c>
      <c r="N253" s="133" t="s">
        <v>2417</v>
      </c>
      <c r="O253" s="133" t="s">
        <v>2417</v>
      </c>
      <c r="P253" s="132" t="s">
        <v>2417</v>
      </c>
      <c r="Q253" s="132" t="s">
        <v>2417</v>
      </c>
      <c r="R253" s="133" t="s">
        <v>2417</v>
      </c>
      <c r="S253" s="132" t="s">
        <v>2417</v>
      </c>
      <c r="T253" s="132" t="s">
        <v>2417</v>
      </c>
      <c r="U253" s="132" t="s">
        <v>2417</v>
      </c>
      <c r="V253" s="132" t="s">
        <v>2417</v>
      </c>
      <c r="W253" s="132" t="s">
        <v>2417</v>
      </c>
      <c r="X253" s="132" t="s">
        <v>2417</v>
      </c>
      <c r="Y253" s="132" t="s">
        <v>2417</v>
      </c>
      <c r="Z253" s="132" t="s">
        <v>2417</v>
      </c>
      <c r="AA253" s="133" t="s">
        <v>2417</v>
      </c>
      <c r="AB253" s="133" t="s">
        <v>2417</v>
      </c>
      <c r="AC253" s="133" t="s">
        <v>2417</v>
      </c>
      <c r="AD253" s="133" t="s">
        <v>2417</v>
      </c>
      <c r="AE253" s="144"/>
    </row>
    <row r="254" spans="1:31" ht="13.2" outlineLevel="1">
      <c r="A254" s="386" t="s">
        <v>1085</v>
      </c>
      <c r="B254" s="350"/>
      <c r="C254" s="350"/>
      <c r="D254" s="351"/>
      <c r="E254" s="133" t="s">
        <v>2417</v>
      </c>
      <c r="F254" s="133" t="s">
        <v>2417</v>
      </c>
      <c r="G254" s="133" t="s">
        <v>2417</v>
      </c>
      <c r="H254" s="133" t="s">
        <v>2417</v>
      </c>
      <c r="I254" s="134" t="s">
        <v>2418</v>
      </c>
      <c r="J254" s="133" t="s">
        <v>2417</v>
      </c>
      <c r="K254" s="133" t="s">
        <v>2417</v>
      </c>
      <c r="L254" s="133" t="s">
        <v>2417</v>
      </c>
      <c r="M254" s="133" t="s">
        <v>2417</v>
      </c>
      <c r="N254" s="133" t="s">
        <v>2417</v>
      </c>
      <c r="O254" s="133" t="s">
        <v>2417</v>
      </c>
      <c r="P254" s="133" t="s">
        <v>2417</v>
      </c>
      <c r="Q254" s="133" t="s">
        <v>2417</v>
      </c>
      <c r="R254" s="133" t="s">
        <v>2417</v>
      </c>
      <c r="S254" s="133" t="s">
        <v>2417</v>
      </c>
      <c r="T254" s="133" t="s">
        <v>2417</v>
      </c>
      <c r="U254" s="133" t="s">
        <v>2417</v>
      </c>
      <c r="V254" s="133" t="s">
        <v>2417</v>
      </c>
      <c r="W254" s="133" t="s">
        <v>2417</v>
      </c>
      <c r="X254" s="133" t="s">
        <v>2417</v>
      </c>
      <c r="Y254" s="133" t="s">
        <v>2417</v>
      </c>
      <c r="Z254" s="133" t="s">
        <v>2417</v>
      </c>
      <c r="AA254" s="133" t="s">
        <v>2417</v>
      </c>
      <c r="AB254" s="133" t="s">
        <v>2417</v>
      </c>
      <c r="AC254" s="133" t="s">
        <v>2417</v>
      </c>
      <c r="AD254" s="133" t="s">
        <v>2417</v>
      </c>
      <c r="AE254" s="153"/>
    </row>
    <row r="255" spans="1:31" ht="13.2" outlineLevel="1">
      <c r="A255" s="383" t="s">
        <v>1086</v>
      </c>
      <c r="B255" s="350"/>
      <c r="C255" s="350"/>
      <c r="D255" s="351"/>
      <c r="E255" s="133" t="s">
        <v>2417</v>
      </c>
      <c r="F255" s="133" t="s">
        <v>2417</v>
      </c>
      <c r="G255" s="133" t="s">
        <v>2417</v>
      </c>
      <c r="H255" s="133" t="s">
        <v>2417</v>
      </c>
      <c r="I255" s="134" t="s">
        <v>2418</v>
      </c>
      <c r="J255" s="133" t="s">
        <v>2417</v>
      </c>
      <c r="K255" s="133" t="s">
        <v>2417</v>
      </c>
      <c r="L255" s="133" t="s">
        <v>2417</v>
      </c>
      <c r="M255" s="133" t="s">
        <v>2417</v>
      </c>
      <c r="N255" s="133" t="s">
        <v>2417</v>
      </c>
      <c r="O255" s="133" t="s">
        <v>2417</v>
      </c>
      <c r="P255" s="133" t="s">
        <v>2417</v>
      </c>
      <c r="Q255" s="133" t="s">
        <v>2417</v>
      </c>
      <c r="R255" s="133" t="s">
        <v>2417</v>
      </c>
      <c r="S255" s="133" t="s">
        <v>2417</v>
      </c>
      <c r="T255" s="133" t="s">
        <v>2417</v>
      </c>
      <c r="U255" s="133" t="s">
        <v>2417</v>
      </c>
      <c r="V255" s="133" t="s">
        <v>2417</v>
      </c>
      <c r="W255" s="133" t="s">
        <v>2417</v>
      </c>
      <c r="X255" s="133" t="s">
        <v>2417</v>
      </c>
      <c r="Y255" s="133" t="s">
        <v>2417</v>
      </c>
      <c r="Z255" s="133" t="s">
        <v>2417</v>
      </c>
      <c r="AA255" s="133" t="s">
        <v>2417</v>
      </c>
      <c r="AB255" s="133" t="s">
        <v>2417</v>
      </c>
      <c r="AC255" s="133" t="s">
        <v>2417</v>
      </c>
      <c r="AD255" s="133" t="s">
        <v>2417</v>
      </c>
      <c r="AE255" s="143"/>
    </row>
    <row r="256" spans="1:31" ht="13.2" outlineLevel="2">
      <c r="A256" s="68" t="s">
        <v>1087</v>
      </c>
      <c r="B256" s="64"/>
      <c r="C256" s="387" t="s">
        <v>1088</v>
      </c>
      <c r="D256" s="351"/>
      <c r="E256" s="133" t="s">
        <v>2417</v>
      </c>
      <c r="F256" s="133" t="s">
        <v>2417</v>
      </c>
      <c r="G256" s="133" t="s">
        <v>2417</v>
      </c>
      <c r="H256" s="133" t="s">
        <v>2417</v>
      </c>
      <c r="I256" s="134" t="s">
        <v>2418</v>
      </c>
      <c r="J256" s="133" t="s">
        <v>2417</v>
      </c>
      <c r="K256" s="133" t="s">
        <v>2417</v>
      </c>
      <c r="L256" s="133" t="s">
        <v>2417</v>
      </c>
      <c r="M256" s="133" t="s">
        <v>2417</v>
      </c>
      <c r="N256" s="133" t="s">
        <v>2417</v>
      </c>
      <c r="O256" s="133" t="s">
        <v>2417</v>
      </c>
      <c r="P256" s="133" t="s">
        <v>2417</v>
      </c>
      <c r="Q256" s="133" t="s">
        <v>2417</v>
      </c>
      <c r="R256" s="133" t="s">
        <v>2417</v>
      </c>
      <c r="S256" s="133" t="s">
        <v>2417</v>
      </c>
      <c r="T256" s="133" t="s">
        <v>2417</v>
      </c>
      <c r="U256" s="133" t="s">
        <v>2417</v>
      </c>
      <c r="V256" s="133" t="s">
        <v>2417</v>
      </c>
      <c r="W256" s="133" t="s">
        <v>2417</v>
      </c>
      <c r="X256" s="133" t="s">
        <v>2417</v>
      </c>
      <c r="Y256" s="133" t="s">
        <v>2417</v>
      </c>
      <c r="Z256" s="133" t="s">
        <v>2417</v>
      </c>
      <c r="AA256" s="133" t="s">
        <v>2417</v>
      </c>
      <c r="AB256" s="133" t="s">
        <v>2417</v>
      </c>
      <c r="AC256" s="133" t="s">
        <v>2417</v>
      </c>
      <c r="AD256" s="133" t="s">
        <v>2417</v>
      </c>
      <c r="AE256" s="144"/>
    </row>
    <row r="257" spans="1:31" ht="13.2" hidden="1" outlineLevel="1">
      <c r="A257" s="384" t="s">
        <v>2485</v>
      </c>
      <c r="B257" s="350"/>
      <c r="C257" s="350"/>
      <c r="D257" s="351"/>
      <c r="E257" s="133" t="s">
        <v>2417</v>
      </c>
      <c r="F257" s="133" t="s">
        <v>2417</v>
      </c>
      <c r="G257" s="133" t="s">
        <v>2417</v>
      </c>
      <c r="H257" s="133" t="s">
        <v>2417</v>
      </c>
      <c r="I257" s="134" t="s">
        <v>2418</v>
      </c>
      <c r="J257" s="133" t="s">
        <v>2380</v>
      </c>
      <c r="K257" s="133" t="s">
        <v>2417</v>
      </c>
      <c r="L257" s="133" t="s">
        <v>2417</v>
      </c>
      <c r="M257" s="133" t="s">
        <v>2417</v>
      </c>
      <c r="N257" s="133" t="s">
        <v>2417</v>
      </c>
      <c r="O257" s="133" t="s">
        <v>2417</v>
      </c>
      <c r="P257" s="133" t="s">
        <v>2478</v>
      </c>
      <c r="Q257" s="133" t="s">
        <v>2417</v>
      </c>
      <c r="R257" s="133" t="s">
        <v>2417</v>
      </c>
      <c r="S257" s="133" t="s">
        <v>2417</v>
      </c>
      <c r="T257" s="133" t="s">
        <v>2417</v>
      </c>
      <c r="U257" s="133" t="s">
        <v>2417</v>
      </c>
      <c r="V257" s="133" t="s">
        <v>2417</v>
      </c>
      <c r="W257" s="133" t="s">
        <v>2417</v>
      </c>
      <c r="X257" s="133" t="s">
        <v>2417</v>
      </c>
      <c r="Y257" s="133" t="s">
        <v>2417</v>
      </c>
      <c r="Z257" s="133" t="s">
        <v>2417</v>
      </c>
      <c r="AA257" s="133" t="s">
        <v>2417</v>
      </c>
      <c r="AB257" s="133" t="s">
        <v>2417</v>
      </c>
      <c r="AC257" s="133" t="s">
        <v>2417</v>
      </c>
      <c r="AD257" s="133" t="s">
        <v>2417</v>
      </c>
      <c r="AE257" s="133"/>
    </row>
    <row r="258" spans="1:31" ht="13.2" hidden="1" outlineLevel="2">
      <c r="A258" s="68" t="s">
        <v>67</v>
      </c>
      <c r="B258" s="64"/>
      <c r="C258" s="396" t="s">
        <v>2486</v>
      </c>
      <c r="D258" s="351"/>
      <c r="E258" s="133" t="s">
        <v>2417</v>
      </c>
      <c r="F258" s="133" t="s">
        <v>2417</v>
      </c>
      <c r="G258" s="133" t="s">
        <v>2417</v>
      </c>
      <c r="H258" s="133" t="s">
        <v>2417</v>
      </c>
      <c r="I258" s="134" t="s">
        <v>2418</v>
      </c>
      <c r="J258" s="133" t="s">
        <v>2380</v>
      </c>
      <c r="K258" s="133" t="s">
        <v>2417</v>
      </c>
      <c r="L258" s="133" t="s">
        <v>2397</v>
      </c>
      <c r="M258" s="133" t="s">
        <v>2417</v>
      </c>
      <c r="N258" s="133" t="s">
        <v>2417</v>
      </c>
      <c r="O258" s="133" t="s">
        <v>2417</v>
      </c>
      <c r="P258" s="133" t="s">
        <v>2478</v>
      </c>
      <c r="Q258" s="133" t="s">
        <v>2417</v>
      </c>
      <c r="R258" s="133" t="s">
        <v>2417</v>
      </c>
      <c r="S258" s="133" t="s">
        <v>2417</v>
      </c>
      <c r="T258" s="133" t="s">
        <v>2417</v>
      </c>
      <c r="U258" s="133" t="s">
        <v>2417</v>
      </c>
      <c r="V258" s="133" t="s">
        <v>2417</v>
      </c>
      <c r="W258" s="133" t="s">
        <v>2417</v>
      </c>
      <c r="X258" s="133" t="s">
        <v>2417</v>
      </c>
      <c r="Y258" s="133" t="s">
        <v>2417</v>
      </c>
      <c r="Z258" s="133" t="s">
        <v>2417</v>
      </c>
      <c r="AA258" s="133" t="s">
        <v>2417</v>
      </c>
      <c r="AB258" s="133" t="s">
        <v>2417</v>
      </c>
      <c r="AC258" s="133" t="s">
        <v>2417</v>
      </c>
      <c r="AD258" s="133" t="s">
        <v>2417</v>
      </c>
      <c r="AE258" s="154"/>
    </row>
    <row r="259" spans="1:31" ht="13.2" hidden="1" outlineLevel="2">
      <c r="A259" s="68" t="s">
        <v>1091</v>
      </c>
      <c r="B259" s="62" t="s">
        <v>1092</v>
      </c>
      <c r="C259" s="387" t="s">
        <v>1093</v>
      </c>
      <c r="D259" s="351"/>
      <c r="E259" s="133" t="s">
        <v>2417</v>
      </c>
      <c r="F259" s="133" t="s">
        <v>2417</v>
      </c>
      <c r="G259" s="133" t="s">
        <v>2417</v>
      </c>
      <c r="H259" s="133" t="s">
        <v>2417</v>
      </c>
      <c r="I259" s="134" t="s">
        <v>2418</v>
      </c>
      <c r="J259" s="133" t="s">
        <v>2380</v>
      </c>
      <c r="K259" s="133" t="s">
        <v>2417</v>
      </c>
      <c r="L259" s="133" t="s">
        <v>2417</v>
      </c>
      <c r="M259" s="133" t="s">
        <v>2417</v>
      </c>
      <c r="N259" s="133" t="s">
        <v>2417</v>
      </c>
      <c r="O259" s="133" t="s">
        <v>2417</v>
      </c>
      <c r="P259" s="133" t="s">
        <v>2478</v>
      </c>
      <c r="Q259" s="133" t="s">
        <v>2417</v>
      </c>
      <c r="R259" s="133" t="s">
        <v>2417</v>
      </c>
      <c r="S259" s="133" t="s">
        <v>2417</v>
      </c>
      <c r="T259" s="133" t="s">
        <v>2417</v>
      </c>
      <c r="U259" s="133" t="s">
        <v>2417</v>
      </c>
      <c r="V259" s="133" t="s">
        <v>2417</v>
      </c>
      <c r="W259" s="133" t="s">
        <v>2417</v>
      </c>
      <c r="X259" s="133" t="s">
        <v>2417</v>
      </c>
      <c r="Y259" s="133" t="s">
        <v>2417</v>
      </c>
      <c r="Z259" s="133" t="s">
        <v>2417</v>
      </c>
      <c r="AA259" s="133" t="s">
        <v>2417</v>
      </c>
      <c r="AB259" s="133" t="s">
        <v>2417</v>
      </c>
      <c r="AC259" s="133" t="s">
        <v>2417</v>
      </c>
      <c r="AD259" s="133" t="s">
        <v>2417</v>
      </c>
      <c r="AE259" s="151"/>
    </row>
    <row r="260" spans="1:31" ht="20.399999999999999" hidden="1" outlineLevel="2">
      <c r="A260" s="68" t="s">
        <v>1094</v>
      </c>
      <c r="B260" s="80" t="s">
        <v>1095</v>
      </c>
      <c r="C260" s="387" t="s">
        <v>1096</v>
      </c>
      <c r="D260" s="351"/>
      <c r="E260" s="133" t="s">
        <v>2417</v>
      </c>
      <c r="F260" s="133" t="s">
        <v>2417</v>
      </c>
      <c r="G260" s="133" t="s">
        <v>2417</v>
      </c>
      <c r="H260" s="133" t="s">
        <v>2417</v>
      </c>
      <c r="I260" s="134" t="s">
        <v>2418</v>
      </c>
      <c r="J260" s="133" t="s">
        <v>2380</v>
      </c>
      <c r="K260" s="133" t="s">
        <v>2417</v>
      </c>
      <c r="L260" s="133" t="s">
        <v>2417</v>
      </c>
      <c r="M260" s="133" t="s">
        <v>2417</v>
      </c>
      <c r="N260" s="133" t="s">
        <v>2417</v>
      </c>
      <c r="O260" s="133" t="s">
        <v>2417</v>
      </c>
      <c r="P260" s="133" t="s">
        <v>2478</v>
      </c>
      <c r="Q260" s="133" t="s">
        <v>2417</v>
      </c>
      <c r="R260" s="133" t="s">
        <v>2417</v>
      </c>
      <c r="S260" s="133" t="s">
        <v>2417</v>
      </c>
      <c r="T260" s="133" t="s">
        <v>2417</v>
      </c>
      <c r="U260" s="133" t="s">
        <v>2417</v>
      </c>
      <c r="V260" s="133" t="s">
        <v>2417</v>
      </c>
      <c r="W260" s="133" t="s">
        <v>2417</v>
      </c>
      <c r="X260" s="133" t="s">
        <v>2417</v>
      </c>
      <c r="Y260" s="133" t="s">
        <v>2417</v>
      </c>
      <c r="Z260" s="133" t="s">
        <v>2417</v>
      </c>
      <c r="AA260" s="133" t="s">
        <v>2417</v>
      </c>
      <c r="AB260" s="133" t="s">
        <v>2417</v>
      </c>
      <c r="AC260" s="133" t="s">
        <v>2417</v>
      </c>
      <c r="AD260" s="133" t="s">
        <v>2417</v>
      </c>
      <c r="AE260" s="144"/>
    </row>
    <row r="261" spans="1:31" ht="20.399999999999999" hidden="1" outlineLevel="2">
      <c r="A261" s="68" t="s">
        <v>1097</v>
      </c>
      <c r="B261" s="80" t="s">
        <v>1098</v>
      </c>
      <c r="C261" s="387" t="s">
        <v>1096</v>
      </c>
      <c r="D261" s="351"/>
      <c r="E261" s="133" t="s">
        <v>2417</v>
      </c>
      <c r="F261" s="133" t="s">
        <v>2417</v>
      </c>
      <c r="G261" s="133" t="s">
        <v>2417</v>
      </c>
      <c r="H261" s="133" t="s">
        <v>2417</v>
      </c>
      <c r="I261" s="134" t="s">
        <v>2418</v>
      </c>
      <c r="J261" s="133" t="s">
        <v>2380</v>
      </c>
      <c r="K261" s="133" t="s">
        <v>2417</v>
      </c>
      <c r="L261" s="133" t="s">
        <v>2417</v>
      </c>
      <c r="M261" s="133" t="s">
        <v>2417</v>
      </c>
      <c r="N261" s="133" t="s">
        <v>2417</v>
      </c>
      <c r="O261" s="133" t="s">
        <v>2417</v>
      </c>
      <c r="P261" s="133" t="s">
        <v>2478</v>
      </c>
      <c r="Q261" s="133" t="s">
        <v>2417</v>
      </c>
      <c r="R261" s="133" t="s">
        <v>2417</v>
      </c>
      <c r="S261" s="133" t="s">
        <v>2417</v>
      </c>
      <c r="T261" s="133" t="s">
        <v>2417</v>
      </c>
      <c r="U261" s="133" t="s">
        <v>2417</v>
      </c>
      <c r="V261" s="133" t="s">
        <v>2417</v>
      </c>
      <c r="W261" s="133" t="s">
        <v>2417</v>
      </c>
      <c r="X261" s="133" t="s">
        <v>2417</v>
      </c>
      <c r="Y261" s="133" t="s">
        <v>2417</v>
      </c>
      <c r="Z261" s="133" t="s">
        <v>2417</v>
      </c>
      <c r="AA261" s="133" t="s">
        <v>2417</v>
      </c>
      <c r="AB261" s="133" t="s">
        <v>2417</v>
      </c>
      <c r="AC261" s="133" t="s">
        <v>2417</v>
      </c>
      <c r="AD261" s="133" t="s">
        <v>2417</v>
      </c>
      <c r="AE261" s="144"/>
    </row>
    <row r="262" spans="1:31" ht="13.2" hidden="1" outlineLevel="2">
      <c r="A262" s="68" t="s">
        <v>1099</v>
      </c>
      <c r="B262" s="63" t="s">
        <v>1100</v>
      </c>
      <c r="C262" s="387" t="s">
        <v>1101</v>
      </c>
      <c r="D262" s="351"/>
      <c r="E262" s="133" t="s">
        <v>2417</v>
      </c>
      <c r="F262" s="133" t="s">
        <v>2417</v>
      </c>
      <c r="G262" s="133" t="s">
        <v>2417</v>
      </c>
      <c r="H262" s="133" t="s">
        <v>2417</v>
      </c>
      <c r="I262" s="134" t="s">
        <v>2418</v>
      </c>
      <c r="J262" s="133" t="s">
        <v>2380</v>
      </c>
      <c r="K262" s="133" t="s">
        <v>2417</v>
      </c>
      <c r="L262" s="133" t="s">
        <v>2417</v>
      </c>
      <c r="M262" s="133" t="s">
        <v>2417</v>
      </c>
      <c r="N262" s="133" t="s">
        <v>2417</v>
      </c>
      <c r="O262" s="133" t="s">
        <v>2417</v>
      </c>
      <c r="P262" s="133" t="s">
        <v>2478</v>
      </c>
      <c r="Q262" s="133" t="s">
        <v>2417</v>
      </c>
      <c r="R262" s="133" t="s">
        <v>2417</v>
      </c>
      <c r="S262" s="133" t="s">
        <v>2417</v>
      </c>
      <c r="T262" s="133" t="s">
        <v>2417</v>
      </c>
      <c r="U262" s="133" t="s">
        <v>2417</v>
      </c>
      <c r="V262" s="133" t="s">
        <v>2417</v>
      </c>
      <c r="W262" s="133" t="s">
        <v>2417</v>
      </c>
      <c r="X262" s="133" t="s">
        <v>2417</v>
      </c>
      <c r="Y262" s="133" t="s">
        <v>2417</v>
      </c>
      <c r="Z262" s="133" t="s">
        <v>2417</v>
      </c>
      <c r="AA262" s="133" t="s">
        <v>2417</v>
      </c>
      <c r="AB262" s="133" t="s">
        <v>2417</v>
      </c>
      <c r="AC262" s="133" t="s">
        <v>2417</v>
      </c>
      <c r="AD262" s="133" t="s">
        <v>2417</v>
      </c>
      <c r="AE262" s="144"/>
    </row>
    <row r="263" spans="1:31" ht="13.2" hidden="1" outlineLevel="2">
      <c r="A263" s="68" t="s">
        <v>1102</v>
      </c>
      <c r="B263" s="63" t="s">
        <v>1103</v>
      </c>
      <c r="C263" s="387" t="s">
        <v>1104</v>
      </c>
      <c r="D263" s="351"/>
      <c r="E263" s="133" t="s">
        <v>2417</v>
      </c>
      <c r="F263" s="133" t="s">
        <v>2417</v>
      </c>
      <c r="G263" s="133" t="s">
        <v>2417</v>
      </c>
      <c r="H263" s="133" t="s">
        <v>2417</v>
      </c>
      <c r="I263" s="134" t="s">
        <v>2418</v>
      </c>
      <c r="J263" s="133" t="s">
        <v>2380</v>
      </c>
      <c r="K263" s="133" t="s">
        <v>2417</v>
      </c>
      <c r="L263" s="133" t="s">
        <v>2417</v>
      </c>
      <c r="M263" s="133" t="s">
        <v>2417</v>
      </c>
      <c r="N263" s="133" t="s">
        <v>2417</v>
      </c>
      <c r="O263" s="133" t="s">
        <v>2417</v>
      </c>
      <c r="P263" s="133" t="s">
        <v>2478</v>
      </c>
      <c r="Q263" s="133" t="s">
        <v>2417</v>
      </c>
      <c r="R263" s="133" t="s">
        <v>2417</v>
      </c>
      <c r="S263" s="133" t="s">
        <v>2417</v>
      </c>
      <c r="T263" s="133" t="s">
        <v>2417</v>
      </c>
      <c r="U263" s="133" t="s">
        <v>2417</v>
      </c>
      <c r="V263" s="133" t="s">
        <v>2417</v>
      </c>
      <c r="W263" s="133" t="s">
        <v>2417</v>
      </c>
      <c r="X263" s="133" t="s">
        <v>2417</v>
      </c>
      <c r="Y263" s="133" t="s">
        <v>2417</v>
      </c>
      <c r="Z263" s="133" t="s">
        <v>2417</v>
      </c>
      <c r="AA263" s="133" t="s">
        <v>2417</v>
      </c>
      <c r="AB263" s="133" t="s">
        <v>2417</v>
      </c>
      <c r="AC263" s="133" t="s">
        <v>2417</v>
      </c>
      <c r="AD263" s="133" t="s">
        <v>2417</v>
      </c>
      <c r="AE263" s="151"/>
    </row>
    <row r="264" spans="1:31" ht="13.2" hidden="1" outlineLevel="1">
      <c r="A264" s="384" t="s">
        <v>2487</v>
      </c>
      <c r="B264" s="350"/>
      <c r="C264" s="350"/>
      <c r="D264" s="351"/>
      <c r="E264" s="133" t="s">
        <v>2417</v>
      </c>
      <c r="F264" s="133" t="s">
        <v>2417</v>
      </c>
      <c r="G264" s="133" t="s">
        <v>2417</v>
      </c>
      <c r="H264" s="133" t="s">
        <v>2417</v>
      </c>
      <c r="I264" s="134" t="s">
        <v>2418</v>
      </c>
      <c r="J264" s="133" t="s">
        <v>2430</v>
      </c>
      <c r="K264" s="133" t="s">
        <v>2417</v>
      </c>
      <c r="L264" s="133" t="s">
        <v>2417</v>
      </c>
      <c r="M264" s="133" t="s">
        <v>2417</v>
      </c>
      <c r="N264" s="133" t="s">
        <v>2417</v>
      </c>
      <c r="O264" s="133" t="s">
        <v>2417</v>
      </c>
      <c r="P264" s="133" t="s">
        <v>2478</v>
      </c>
      <c r="Q264" s="133" t="s">
        <v>2417</v>
      </c>
      <c r="R264" s="133" t="s">
        <v>2417</v>
      </c>
      <c r="S264" s="133" t="s">
        <v>2417</v>
      </c>
      <c r="T264" s="133" t="s">
        <v>2417</v>
      </c>
      <c r="U264" s="133" t="s">
        <v>2417</v>
      </c>
      <c r="V264" s="133" t="s">
        <v>2417</v>
      </c>
      <c r="W264" s="133" t="s">
        <v>2417</v>
      </c>
      <c r="X264" s="133" t="s">
        <v>2417</v>
      </c>
      <c r="Y264" s="133" t="s">
        <v>2417</v>
      </c>
      <c r="Z264" s="133" t="s">
        <v>2417</v>
      </c>
      <c r="AA264" s="133" t="s">
        <v>2417</v>
      </c>
      <c r="AB264" s="133" t="s">
        <v>2417</v>
      </c>
      <c r="AC264" s="133" t="s">
        <v>2417</v>
      </c>
      <c r="AD264" s="133" t="s">
        <v>2417</v>
      </c>
      <c r="AE264" s="152"/>
    </row>
    <row r="265" spans="1:31" ht="13.2" hidden="1" outlineLevel="2">
      <c r="A265" s="68" t="s">
        <v>67</v>
      </c>
      <c r="B265" s="81"/>
      <c r="C265" s="396" t="s">
        <v>2488</v>
      </c>
      <c r="D265" s="351"/>
      <c r="E265" s="133" t="s">
        <v>2417</v>
      </c>
      <c r="F265" s="133" t="s">
        <v>2417</v>
      </c>
      <c r="G265" s="133" t="s">
        <v>2417</v>
      </c>
      <c r="H265" s="133" t="s">
        <v>2417</v>
      </c>
      <c r="I265" s="134" t="s">
        <v>2418</v>
      </c>
      <c r="J265" s="133" t="s">
        <v>2430</v>
      </c>
      <c r="K265" s="133" t="s">
        <v>2417</v>
      </c>
      <c r="L265" s="133" t="s">
        <v>2397</v>
      </c>
      <c r="M265" s="133" t="s">
        <v>2417</v>
      </c>
      <c r="N265" s="133" t="s">
        <v>2417</v>
      </c>
      <c r="O265" s="133" t="s">
        <v>2417</v>
      </c>
      <c r="P265" s="133" t="s">
        <v>2478</v>
      </c>
      <c r="Q265" s="133" t="s">
        <v>2417</v>
      </c>
      <c r="R265" s="133" t="s">
        <v>2417</v>
      </c>
      <c r="S265" s="133" t="s">
        <v>2417</v>
      </c>
      <c r="T265" s="133" t="s">
        <v>2417</v>
      </c>
      <c r="U265" s="133" t="s">
        <v>2417</v>
      </c>
      <c r="V265" s="133" t="s">
        <v>2417</v>
      </c>
      <c r="W265" s="133" t="s">
        <v>2417</v>
      </c>
      <c r="X265" s="133" t="s">
        <v>2417</v>
      </c>
      <c r="Y265" s="133" t="s">
        <v>2417</v>
      </c>
      <c r="Z265" s="133" t="s">
        <v>2417</v>
      </c>
      <c r="AA265" s="133" t="s">
        <v>2417</v>
      </c>
      <c r="AB265" s="133" t="s">
        <v>2417</v>
      </c>
      <c r="AC265" s="133" t="s">
        <v>2417</v>
      </c>
      <c r="AD265" s="133" t="s">
        <v>2417</v>
      </c>
      <c r="AE265" s="154"/>
    </row>
    <row r="266" spans="1:31" ht="13.2" hidden="1" outlineLevel="2">
      <c r="A266" s="68" t="s">
        <v>1091</v>
      </c>
      <c r="B266" s="62" t="s">
        <v>1092</v>
      </c>
      <c r="C266" s="387" t="s">
        <v>1093</v>
      </c>
      <c r="D266" s="351"/>
      <c r="E266" s="133" t="s">
        <v>2417</v>
      </c>
      <c r="F266" s="133" t="s">
        <v>2417</v>
      </c>
      <c r="G266" s="133" t="s">
        <v>2417</v>
      </c>
      <c r="H266" s="133" t="s">
        <v>2417</v>
      </c>
      <c r="I266" s="134" t="s">
        <v>2418</v>
      </c>
      <c r="J266" s="133" t="s">
        <v>2430</v>
      </c>
      <c r="K266" s="133" t="s">
        <v>2417</v>
      </c>
      <c r="L266" s="133" t="s">
        <v>2417</v>
      </c>
      <c r="M266" s="133" t="s">
        <v>2417</v>
      </c>
      <c r="N266" s="133" t="s">
        <v>2417</v>
      </c>
      <c r="O266" s="133" t="s">
        <v>2417</v>
      </c>
      <c r="P266" s="133" t="s">
        <v>2478</v>
      </c>
      <c r="Q266" s="133" t="s">
        <v>2417</v>
      </c>
      <c r="R266" s="133" t="s">
        <v>2417</v>
      </c>
      <c r="S266" s="133" t="s">
        <v>2417</v>
      </c>
      <c r="T266" s="133" t="s">
        <v>2417</v>
      </c>
      <c r="U266" s="133" t="s">
        <v>2417</v>
      </c>
      <c r="V266" s="133" t="s">
        <v>2417</v>
      </c>
      <c r="W266" s="133" t="s">
        <v>2417</v>
      </c>
      <c r="X266" s="133" t="s">
        <v>2417</v>
      </c>
      <c r="Y266" s="133" t="s">
        <v>2417</v>
      </c>
      <c r="Z266" s="133" t="s">
        <v>2417</v>
      </c>
      <c r="AA266" s="133" t="s">
        <v>2417</v>
      </c>
      <c r="AB266" s="133" t="s">
        <v>2417</v>
      </c>
      <c r="AC266" s="133" t="s">
        <v>2417</v>
      </c>
      <c r="AD266" s="133" t="s">
        <v>2417</v>
      </c>
      <c r="AE266" s="151"/>
    </row>
    <row r="267" spans="1:31" ht="20.399999999999999" hidden="1" outlineLevel="2">
      <c r="A267" s="68" t="s">
        <v>1094</v>
      </c>
      <c r="B267" s="80" t="s">
        <v>1095</v>
      </c>
      <c r="C267" s="387" t="s">
        <v>1096</v>
      </c>
      <c r="D267" s="351"/>
      <c r="E267" s="133" t="s">
        <v>2417</v>
      </c>
      <c r="F267" s="133" t="s">
        <v>2417</v>
      </c>
      <c r="G267" s="133" t="s">
        <v>2417</v>
      </c>
      <c r="H267" s="133" t="s">
        <v>2417</v>
      </c>
      <c r="I267" s="134" t="s">
        <v>2418</v>
      </c>
      <c r="J267" s="133" t="s">
        <v>2430</v>
      </c>
      <c r="K267" s="133" t="s">
        <v>2417</v>
      </c>
      <c r="L267" s="133" t="s">
        <v>2417</v>
      </c>
      <c r="M267" s="133" t="s">
        <v>2417</v>
      </c>
      <c r="N267" s="133" t="s">
        <v>2417</v>
      </c>
      <c r="O267" s="133" t="s">
        <v>2417</v>
      </c>
      <c r="P267" s="133" t="s">
        <v>2478</v>
      </c>
      <c r="Q267" s="133" t="s">
        <v>2417</v>
      </c>
      <c r="R267" s="133" t="s">
        <v>2417</v>
      </c>
      <c r="S267" s="133" t="s">
        <v>2417</v>
      </c>
      <c r="T267" s="133" t="s">
        <v>2417</v>
      </c>
      <c r="U267" s="133" t="s">
        <v>2417</v>
      </c>
      <c r="V267" s="133" t="s">
        <v>2417</v>
      </c>
      <c r="W267" s="133" t="s">
        <v>2417</v>
      </c>
      <c r="X267" s="133" t="s">
        <v>2417</v>
      </c>
      <c r="Y267" s="133" t="s">
        <v>2417</v>
      </c>
      <c r="Z267" s="133" t="s">
        <v>2417</v>
      </c>
      <c r="AA267" s="133" t="s">
        <v>2417</v>
      </c>
      <c r="AB267" s="133" t="s">
        <v>2417</v>
      </c>
      <c r="AC267" s="133" t="s">
        <v>2417</v>
      </c>
      <c r="AD267" s="133" t="s">
        <v>2417</v>
      </c>
      <c r="AE267" s="144"/>
    </row>
    <row r="268" spans="1:31" ht="20.399999999999999" hidden="1" outlineLevel="2">
      <c r="A268" s="68" t="s">
        <v>1097</v>
      </c>
      <c r="B268" s="80" t="s">
        <v>1098</v>
      </c>
      <c r="C268" s="387" t="s">
        <v>1096</v>
      </c>
      <c r="D268" s="351"/>
      <c r="E268" s="133" t="s">
        <v>2417</v>
      </c>
      <c r="F268" s="133" t="s">
        <v>2417</v>
      </c>
      <c r="G268" s="133" t="s">
        <v>2417</v>
      </c>
      <c r="H268" s="133" t="s">
        <v>2417</v>
      </c>
      <c r="I268" s="134" t="s">
        <v>2418</v>
      </c>
      <c r="J268" s="133" t="s">
        <v>2430</v>
      </c>
      <c r="K268" s="133" t="s">
        <v>2417</v>
      </c>
      <c r="L268" s="133" t="s">
        <v>2417</v>
      </c>
      <c r="M268" s="133" t="s">
        <v>2417</v>
      </c>
      <c r="N268" s="133" t="s">
        <v>2417</v>
      </c>
      <c r="O268" s="133" t="s">
        <v>2417</v>
      </c>
      <c r="P268" s="133" t="s">
        <v>2478</v>
      </c>
      <c r="Q268" s="133" t="s">
        <v>2417</v>
      </c>
      <c r="R268" s="133" t="s">
        <v>2417</v>
      </c>
      <c r="S268" s="133" t="s">
        <v>2417</v>
      </c>
      <c r="T268" s="133" t="s">
        <v>2417</v>
      </c>
      <c r="U268" s="133" t="s">
        <v>2417</v>
      </c>
      <c r="V268" s="133" t="s">
        <v>2417</v>
      </c>
      <c r="W268" s="133" t="s">
        <v>2417</v>
      </c>
      <c r="X268" s="133" t="s">
        <v>2417</v>
      </c>
      <c r="Y268" s="133" t="s">
        <v>2417</v>
      </c>
      <c r="Z268" s="133" t="s">
        <v>2417</v>
      </c>
      <c r="AA268" s="133" t="s">
        <v>2417</v>
      </c>
      <c r="AB268" s="133" t="s">
        <v>2417</v>
      </c>
      <c r="AC268" s="133" t="s">
        <v>2417</v>
      </c>
      <c r="AD268" s="133" t="s">
        <v>2417</v>
      </c>
      <c r="AE268" s="144"/>
    </row>
    <row r="269" spans="1:31" ht="13.2" hidden="1" outlineLevel="2">
      <c r="A269" s="68" t="s">
        <v>1099</v>
      </c>
      <c r="B269" s="63" t="s">
        <v>1100</v>
      </c>
      <c r="C269" s="387" t="s">
        <v>1101</v>
      </c>
      <c r="D269" s="351"/>
      <c r="E269" s="133" t="s">
        <v>2417</v>
      </c>
      <c r="F269" s="133" t="s">
        <v>2417</v>
      </c>
      <c r="G269" s="133" t="s">
        <v>2417</v>
      </c>
      <c r="H269" s="133" t="s">
        <v>2417</v>
      </c>
      <c r="I269" s="134" t="s">
        <v>2418</v>
      </c>
      <c r="J269" s="133" t="s">
        <v>2430</v>
      </c>
      <c r="K269" s="133" t="s">
        <v>2417</v>
      </c>
      <c r="L269" s="133" t="s">
        <v>2417</v>
      </c>
      <c r="M269" s="133" t="s">
        <v>2417</v>
      </c>
      <c r="N269" s="133" t="s">
        <v>2417</v>
      </c>
      <c r="O269" s="133" t="s">
        <v>2417</v>
      </c>
      <c r="P269" s="133" t="s">
        <v>2478</v>
      </c>
      <c r="Q269" s="133" t="s">
        <v>2417</v>
      </c>
      <c r="R269" s="133" t="s">
        <v>2417</v>
      </c>
      <c r="S269" s="133" t="s">
        <v>2417</v>
      </c>
      <c r="T269" s="133" t="s">
        <v>2417</v>
      </c>
      <c r="U269" s="133" t="s">
        <v>2417</v>
      </c>
      <c r="V269" s="133" t="s">
        <v>2417</v>
      </c>
      <c r="W269" s="133" t="s">
        <v>2417</v>
      </c>
      <c r="X269" s="133" t="s">
        <v>2417</v>
      </c>
      <c r="Y269" s="133" t="s">
        <v>2417</v>
      </c>
      <c r="Z269" s="133" t="s">
        <v>2417</v>
      </c>
      <c r="AA269" s="133" t="s">
        <v>2417</v>
      </c>
      <c r="AB269" s="133" t="s">
        <v>2417</v>
      </c>
      <c r="AC269" s="133" t="s">
        <v>2417</v>
      </c>
      <c r="AD269" s="133" t="s">
        <v>2417</v>
      </c>
      <c r="AE269" s="144"/>
    </row>
    <row r="270" spans="1:31" ht="13.2" hidden="1" outlineLevel="2">
      <c r="A270" s="68" t="s">
        <v>1102</v>
      </c>
      <c r="B270" s="63" t="s">
        <v>1103</v>
      </c>
      <c r="C270" s="387" t="s">
        <v>1104</v>
      </c>
      <c r="D270" s="351"/>
      <c r="E270" s="133" t="s">
        <v>2417</v>
      </c>
      <c r="F270" s="133" t="s">
        <v>2417</v>
      </c>
      <c r="G270" s="133" t="s">
        <v>2417</v>
      </c>
      <c r="H270" s="133" t="s">
        <v>2417</v>
      </c>
      <c r="I270" s="134" t="s">
        <v>2418</v>
      </c>
      <c r="J270" s="133" t="s">
        <v>2430</v>
      </c>
      <c r="K270" s="133" t="s">
        <v>2417</v>
      </c>
      <c r="L270" s="133" t="s">
        <v>2417</v>
      </c>
      <c r="M270" s="133" t="s">
        <v>2417</v>
      </c>
      <c r="N270" s="133" t="s">
        <v>2417</v>
      </c>
      <c r="O270" s="133" t="s">
        <v>2417</v>
      </c>
      <c r="P270" s="133" t="s">
        <v>2478</v>
      </c>
      <c r="Q270" s="133" t="s">
        <v>2417</v>
      </c>
      <c r="R270" s="133" t="s">
        <v>2417</v>
      </c>
      <c r="S270" s="133" t="s">
        <v>2417</v>
      </c>
      <c r="T270" s="133" t="s">
        <v>2417</v>
      </c>
      <c r="U270" s="133" t="s">
        <v>2417</v>
      </c>
      <c r="V270" s="133" t="s">
        <v>2417</v>
      </c>
      <c r="W270" s="133" t="s">
        <v>2417</v>
      </c>
      <c r="X270" s="133" t="s">
        <v>2417</v>
      </c>
      <c r="Y270" s="133" t="s">
        <v>2417</v>
      </c>
      <c r="Z270" s="133" t="s">
        <v>2417</v>
      </c>
      <c r="AA270" s="133" t="s">
        <v>2417</v>
      </c>
      <c r="AB270" s="133" t="s">
        <v>2417</v>
      </c>
      <c r="AC270" s="133" t="s">
        <v>2417</v>
      </c>
      <c r="AD270" s="133" t="s">
        <v>2417</v>
      </c>
      <c r="AE270" s="151"/>
    </row>
    <row r="271" spans="1:31" ht="13.2" hidden="1" outlineLevel="1">
      <c r="A271" s="384" t="s">
        <v>2489</v>
      </c>
      <c r="B271" s="350"/>
      <c r="C271" s="350"/>
      <c r="D271" s="351"/>
      <c r="E271" s="133" t="s">
        <v>2417</v>
      </c>
      <c r="F271" s="133" t="s">
        <v>2417</v>
      </c>
      <c r="G271" s="133" t="s">
        <v>2417</v>
      </c>
      <c r="H271" s="133" t="s">
        <v>2417</v>
      </c>
      <c r="I271" s="134" t="s">
        <v>2418</v>
      </c>
      <c r="J271" s="133" t="s">
        <v>2490</v>
      </c>
      <c r="K271" s="133" t="s">
        <v>2417</v>
      </c>
      <c r="L271" s="133" t="s">
        <v>2417</v>
      </c>
      <c r="M271" s="133" t="s">
        <v>2417</v>
      </c>
      <c r="N271" s="133" t="s">
        <v>2417</v>
      </c>
      <c r="O271" s="133" t="s">
        <v>2417</v>
      </c>
      <c r="P271" s="133" t="s">
        <v>2478</v>
      </c>
      <c r="Q271" s="133" t="s">
        <v>2417</v>
      </c>
      <c r="R271" s="133" t="s">
        <v>2417</v>
      </c>
      <c r="S271" s="133" t="s">
        <v>2417</v>
      </c>
      <c r="T271" s="133" t="s">
        <v>2417</v>
      </c>
      <c r="U271" s="133" t="s">
        <v>2417</v>
      </c>
      <c r="V271" s="133" t="s">
        <v>2417</v>
      </c>
      <c r="W271" s="133" t="s">
        <v>2417</v>
      </c>
      <c r="X271" s="133" t="s">
        <v>2417</v>
      </c>
      <c r="Y271" s="133" t="s">
        <v>2417</v>
      </c>
      <c r="Z271" s="133" t="s">
        <v>2417</v>
      </c>
      <c r="AA271" s="133" t="s">
        <v>2417</v>
      </c>
      <c r="AB271" s="133" t="s">
        <v>2417</v>
      </c>
      <c r="AC271" s="133" t="s">
        <v>2417</v>
      </c>
      <c r="AD271" s="133" t="s">
        <v>2417</v>
      </c>
      <c r="AE271" s="152"/>
    </row>
    <row r="272" spans="1:31" ht="13.2" hidden="1" outlineLevel="2">
      <c r="A272" s="68" t="s">
        <v>67</v>
      </c>
      <c r="B272" s="64"/>
      <c r="C272" s="396" t="s">
        <v>2491</v>
      </c>
      <c r="D272" s="351"/>
      <c r="E272" s="133" t="s">
        <v>2417</v>
      </c>
      <c r="F272" s="133" t="s">
        <v>2417</v>
      </c>
      <c r="G272" s="133" t="s">
        <v>2417</v>
      </c>
      <c r="H272" s="133" t="s">
        <v>2417</v>
      </c>
      <c r="I272" s="134" t="s">
        <v>2418</v>
      </c>
      <c r="J272" s="133" t="s">
        <v>2490</v>
      </c>
      <c r="K272" s="133" t="s">
        <v>2417</v>
      </c>
      <c r="L272" s="133" t="s">
        <v>2397</v>
      </c>
      <c r="M272" s="133" t="s">
        <v>2417</v>
      </c>
      <c r="N272" s="133" t="s">
        <v>2417</v>
      </c>
      <c r="O272" s="133" t="s">
        <v>2417</v>
      </c>
      <c r="P272" s="133" t="s">
        <v>2478</v>
      </c>
      <c r="Q272" s="133" t="s">
        <v>2417</v>
      </c>
      <c r="R272" s="133" t="s">
        <v>2417</v>
      </c>
      <c r="S272" s="133" t="s">
        <v>2417</v>
      </c>
      <c r="T272" s="133" t="s">
        <v>2417</v>
      </c>
      <c r="U272" s="133" t="s">
        <v>2417</v>
      </c>
      <c r="V272" s="133" t="s">
        <v>2417</v>
      </c>
      <c r="W272" s="133" t="s">
        <v>2417</v>
      </c>
      <c r="X272" s="133" t="s">
        <v>2417</v>
      </c>
      <c r="Y272" s="133" t="s">
        <v>2417</v>
      </c>
      <c r="Z272" s="133" t="s">
        <v>2417</v>
      </c>
      <c r="AA272" s="133" t="s">
        <v>2417</v>
      </c>
      <c r="AB272" s="133" t="s">
        <v>2417</v>
      </c>
      <c r="AC272" s="133" t="s">
        <v>2417</v>
      </c>
      <c r="AD272" s="133" t="s">
        <v>2417</v>
      </c>
      <c r="AE272" s="154"/>
    </row>
    <row r="273" spans="1:31" ht="13.2" hidden="1" outlineLevel="2">
      <c r="A273" s="68" t="s">
        <v>1091</v>
      </c>
      <c r="B273" s="62" t="s">
        <v>1092</v>
      </c>
      <c r="C273" s="387" t="s">
        <v>1093</v>
      </c>
      <c r="D273" s="351"/>
      <c r="E273" s="133" t="s">
        <v>2417</v>
      </c>
      <c r="F273" s="133" t="s">
        <v>2417</v>
      </c>
      <c r="G273" s="133" t="s">
        <v>2417</v>
      </c>
      <c r="H273" s="133" t="s">
        <v>2417</v>
      </c>
      <c r="I273" s="134" t="s">
        <v>2418</v>
      </c>
      <c r="J273" s="133" t="s">
        <v>2490</v>
      </c>
      <c r="K273" s="133" t="s">
        <v>2417</v>
      </c>
      <c r="L273" s="133" t="s">
        <v>2417</v>
      </c>
      <c r="M273" s="133" t="s">
        <v>2417</v>
      </c>
      <c r="N273" s="133" t="s">
        <v>2417</v>
      </c>
      <c r="O273" s="133" t="s">
        <v>2417</v>
      </c>
      <c r="P273" s="133" t="s">
        <v>2478</v>
      </c>
      <c r="Q273" s="133" t="s">
        <v>2417</v>
      </c>
      <c r="R273" s="133" t="s">
        <v>2417</v>
      </c>
      <c r="S273" s="133" t="s">
        <v>2417</v>
      </c>
      <c r="T273" s="133" t="s">
        <v>2417</v>
      </c>
      <c r="U273" s="133" t="s">
        <v>2417</v>
      </c>
      <c r="V273" s="133" t="s">
        <v>2417</v>
      </c>
      <c r="W273" s="133" t="s">
        <v>2417</v>
      </c>
      <c r="X273" s="133" t="s">
        <v>2417</v>
      </c>
      <c r="Y273" s="133" t="s">
        <v>2417</v>
      </c>
      <c r="Z273" s="133" t="s">
        <v>2417</v>
      </c>
      <c r="AA273" s="133" t="s">
        <v>2417</v>
      </c>
      <c r="AB273" s="133" t="s">
        <v>2417</v>
      </c>
      <c r="AC273" s="133" t="s">
        <v>2417</v>
      </c>
      <c r="AD273" s="133" t="s">
        <v>2417</v>
      </c>
      <c r="AE273" s="151"/>
    </row>
    <row r="274" spans="1:31" ht="20.399999999999999" hidden="1" outlineLevel="2">
      <c r="A274" s="68" t="s">
        <v>1094</v>
      </c>
      <c r="B274" s="80" t="s">
        <v>1095</v>
      </c>
      <c r="C274" s="387" t="s">
        <v>1096</v>
      </c>
      <c r="D274" s="351"/>
      <c r="E274" s="133" t="s">
        <v>2417</v>
      </c>
      <c r="F274" s="133" t="s">
        <v>2417</v>
      </c>
      <c r="G274" s="133" t="s">
        <v>2417</v>
      </c>
      <c r="H274" s="133" t="s">
        <v>2417</v>
      </c>
      <c r="I274" s="134" t="s">
        <v>2418</v>
      </c>
      <c r="J274" s="133" t="s">
        <v>2490</v>
      </c>
      <c r="K274" s="133" t="s">
        <v>2417</v>
      </c>
      <c r="L274" s="133" t="s">
        <v>2417</v>
      </c>
      <c r="M274" s="133" t="s">
        <v>2417</v>
      </c>
      <c r="N274" s="133" t="s">
        <v>2417</v>
      </c>
      <c r="O274" s="133" t="s">
        <v>2417</v>
      </c>
      <c r="P274" s="133" t="s">
        <v>2478</v>
      </c>
      <c r="Q274" s="133" t="s">
        <v>2417</v>
      </c>
      <c r="R274" s="133" t="s">
        <v>2417</v>
      </c>
      <c r="S274" s="133" t="s">
        <v>2417</v>
      </c>
      <c r="T274" s="133" t="s">
        <v>2417</v>
      </c>
      <c r="U274" s="133" t="s">
        <v>2417</v>
      </c>
      <c r="V274" s="133" t="s">
        <v>2417</v>
      </c>
      <c r="W274" s="133" t="s">
        <v>2417</v>
      </c>
      <c r="X274" s="133" t="s">
        <v>2417</v>
      </c>
      <c r="Y274" s="133" t="s">
        <v>2417</v>
      </c>
      <c r="Z274" s="133" t="s">
        <v>2417</v>
      </c>
      <c r="AA274" s="133" t="s">
        <v>2417</v>
      </c>
      <c r="AB274" s="133" t="s">
        <v>2417</v>
      </c>
      <c r="AC274" s="133" t="s">
        <v>2417</v>
      </c>
      <c r="AD274" s="133" t="s">
        <v>2417</v>
      </c>
      <c r="AE274" s="144"/>
    </row>
    <row r="275" spans="1:31" ht="20.399999999999999" hidden="1" outlineLevel="2">
      <c r="A275" s="68" t="s">
        <v>1097</v>
      </c>
      <c r="B275" s="80" t="s">
        <v>1098</v>
      </c>
      <c r="C275" s="387" t="s">
        <v>1096</v>
      </c>
      <c r="D275" s="351"/>
      <c r="E275" s="133" t="s">
        <v>2417</v>
      </c>
      <c r="F275" s="133" t="s">
        <v>2417</v>
      </c>
      <c r="G275" s="133" t="s">
        <v>2417</v>
      </c>
      <c r="H275" s="133" t="s">
        <v>2417</v>
      </c>
      <c r="I275" s="134" t="s">
        <v>2418</v>
      </c>
      <c r="J275" s="133" t="s">
        <v>2490</v>
      </c>
      <c r="K275" s="133" t="s">
        <v>2417</v>
      </c>
      <c r="L275" s="133" t="s">
        <v>2417</v>
      </c>
      <c r="M275" s="133" t="s">
        <v>2417</v>
      </c>
      <c r="N275" s="133" t="s">
        <v>2417</v>
      </c>
      <c r="O275" s="133" t="s">
        <v>2417</v>
      </c>
      <c r="P275" s="133" t="s">
        <v>2478</v>
      </c>
      <c r="Q275" s="133" t="s">
        <v>2417</v>
      </c>
      <c r="R275" s="133" t="s">
        <v>2417</v>
      </c>
      <c r="S275" s="133" t="s">
        <v>2417</v>
      </c>
      <c r="T275" s="133" t="s">
        <v>2417</v>
      </c>
      <c r="U275" s="133" t="s">
        <v>2417</v>
      </c>
      <c r="V275" s="133" t="s">
        <v>2417</v>
      </c>
      <c r="W275" s="133" t="s">
        <v>2417</v>
      </c>
      <c r="X275" s="133" t="s">
        <v>2417</v>
      </c>
      <c r="Y275" s="133" t="s">
        <v>2417</v>
      </c>
      <c r="Z275" s="133" t="s">
        <v>2417</v>
      </c>
      <c r="AA275" s="133" t="s">
        <v>2417</v>
      </c>
      <c r="AB275" s="133" t="s">
        <v>2417</v>
      </c>
      <c r="AC275" s="133" t="s">
        <v>2417</v>
      </c>
      <c r="AD275" s="133" t="s">
        <v>2417</v>
      </c>
      <c r="AE275" s="144"/>
    </row>
    <row r="276" spans="1:31" ht="13.2" hidden="1" outlineLevel="2">
      <c r="A276" s="68" t="s">
        <v>1099</v>
      </c>
      <c r="B276" s="63" t="s">
        <v>1100</v>
      </c>
      <c r="C276" s="387" t="s">
        <v>1101</v>
      </c>
      <c r="D276" s="351"/>
      <c r="E276" s="133" t="s">
        <v>2417</v>
      </c>
      <c r="F276" s="133" t="s">
        <v>2417</v>
      </c>
      <c r="G276" s="133" t="s">
        <v>2417</v>
      </c>
      <c r="H276" s="133" t="s">
        <v>2417</v>
      </c>
      <c r="I276" s="134" t="s">
        <v>2418</v>
      </c>
      <c r="J276" s="133" t="s">
        <v>2490</v>
      </c>
      <c r="K276" s="133" t="s">
        <v>2417</v>
      </c>
      <c r="L276" s="133" t="s">
        <v>2417</v>
      </c>
      <c r="M276" s="133" t="s">
        <v>2417</v>
      </c>
      <c r="N276" s="133" t="s">
        <v>2417</v>
      </c>
      <c r="O276" s="133" t="s">
        <v>2417</v>
      </c>
      <c r="P276" s="133" t="s">
        <v>2478</v>
      </c>
      <c r="Q276" s="133" t="s">
        <v>2417</v>
      </c>
      <c r="R276" s="133" t="s">
        <v>2417</v>
      </c>
      <c r="S276" s="133" t="s">
        <v>2417</v>
      </c>
      <c r="T276" s="133" t="s">
        <v>2417</v>
      </c>
      <c r="U276" s="133" t="s">
        <v>2417</v>
      </c>
      <c r="V276" s="133" t="s">
        <v>2417</v>
      </c>
      <c r="W276" s="133" t="s">
        <v>2417</v>
      </c>
      <c r="X276" s="133" t="s">
        <v>2417</v>
      </c>
      <c r="Y276" s="133" t="s">
        <v>2417</v>
      </c>
      <c r="Z276" s="133" t="s">
        <v>2417</v>
      </c>
      <c r="AA276" s="133" t="s">
        <v>2417</v>
      </c>
      <c r="AB276" s="133" t="s">
        <v>2417</v>
      </c>
      <c r="AC276" s="133" t="s">
        <v>2417</v>
      </c>
      <c r="AD276" s="133" t="s">
        <v>2417</v>
      </c>
      <c r="AE276" s="144"/>
    </row>
    <row r="277" spans="1:31" ht="13.2" hidden="1" outlineLevel="2">
      <c r="A277" s="68" t="s">
        <v>1102</v>
      </c>
      <c r="B277" s="63" t="s">
        <v>1103</v>
      </c>
      <c r="C277" s="387" t="s">
        <v>1104</v>
      </c>
      <c r="D277" s="351"/>
      <c r="E277" s="133" t="s">
        <v>2417</v>
      </c>
      <c r="F277" s="133" t="s">
        <v>2417</v>
      </c>
      <c r="G277" s="133" t="s">
        <v>2417</v>
      </c>
      <c r="H277" s="133" t="s">
        <v>2417</v>
      </c>
      <c r="I277" s="134" t="s">
        <v>2418</v>
      </c>
      <c r="J277" s="133" t="s">
        <v>2490</v>
      </c>
      <c r="K277" s="133" t="s">
        <v>2417</v>
      </c>
      <c r="L277" s="133" t="s">
        <v>2417</v>
      </c>
      <c r="M277" s="133" t="s">
        <v>2417</v>
      </c>
      <c r="N277" s="133" t="s">
        <v>2417</v>
      </c>
      <c r="O277" s="133" t="s">
        <v>2417</v>
      </c>
      <c r="P277" s="133" t="s">
        <v>2478</v>
      </c>
      <c r="Q277" s="133" t="s">
        <v>2417</v>
      </c>
      <c r="R277" s="133" t="s">
        <v>2417</v>
      </c>
      <c r="S277" s="133" t="s">
        <v>2417</v>
      </c>
      <c r="T277" s="133" t="s">
        <v>2417</v>
      </c>
      <c r="U277" s="133" t="s">
        <v>2417</v>
      </c>
      <c r="V277" s="133" t="s">
        <v>2417</v>
      </c>
      <c r="W277" s="133" t="s">
        <v>2417</v>
      </c>
      <c r="X277" s="133" t="s">
        <v>2417</v>
      </c>
      <c r="Y277" s="133" t="s">
        <v>2417</v>
      </c>
      <c r="Z277" s="133" t="s">
        <v>2417</v>
      </c>
      <c r="AA277" s="133" t="s">
        <v>2417</v>
      </c>
      <c r="AB277" s="133" t="s">
        <v>2417</v>
      </c>
      <c r="AC277" s="133" t="s">
        <v>2417</v>
      </c>
      <c r="AD277" s="133" t="s">
        <v>2417</v>
      </c>
      <c r="AE277" s="151"/>
    </row>
    <row r="278" spans="1:31" ht="13.2" hidden="1" outlineLevel="1">
      <c r="A278" s="384" t="s">
        <v>2492</v>
      </c>
      <c r="B278" s="350"/>
      <c r="C278" s="350"/>
      <c r="D278" s="351"/>
      <c r="E278" s="133" t="s">
        <v>2417</v>
      </c>
      <c r="F278" s="133" t="s">
        <v>2417</v>
      </c>
      <c r="G278" s="133" t="s">
        <v>2417</v>
      </c>
      <c r="H278" s="133" t="s">
        <v>2417</v>
      </c>
      <c r="I278" s="134" t="s">
        <v>2418</v>
      </c>
      <c r="J278" s="133" t="s">
        <v>2493</v>
      </c>
      <c r="K278" s="133" t="s">
        <v>2417</v>
      </c>
      <c r="L278" s="133" t="s">
        <v>2417</v>
      </c>
      <c r="M278" s="133" t="s">
        <v>2417</v>
      </c>
      <c r="N278" s="133" t="s">
        <v>2417</v>
      </c>
      <c r="O278" s="133" t="s">
        <v>2417</v>
      </c>
      <c r="P278" s="133" t="s">
        <v>2478</v>
      </c>
      <c r="Q278" s="133" t="s">
        <v>2417</v>
      </c>
      <c r="R278" s="133" t="s">
        <v>2417</v>
      </c>
      <c r="S278" s="133" t="s">
        <v>2417</v>
      </c>
      <c r="T278" s="133" t="s">
        <v>2417</v>
      </c>
      <c r="U278" s="133" t="s">
        <v>2417</v>
      </c>
      <c r="V278" s="133" t="s">
        <v>2417</v>
      </c>
      <c r="W278" s="133" t="s">
        <v>2417</v>
      </c>
      <c r="X278" s="133" t="s">
        <v>2417</v>
      </c>
      <c r="Y278" s="133" t="s">
        <v>2417</v>
      </c>
      <c r="Z278" s="133" t="s">
        <v>2417</v>
      </c>
      <c r="AA278" s="133" t="s">
        <v>2417</v>
      </c>
      <c r="AB278" s="133" t="s">
        <v>2417</v>
      </c>
      <c r="AC278" s="133" t="s">
        <v>2417</v>
      </c>
      <c r="AD278" s="133" t="s">
        <v>2417</v>
      </c>
      <c r="AE278" s="152"/>
    </row>
    <row r="279" spans="1:31" ht="13.2" hidden="1" outlineLevel="2">
      <c r="A279" s="68" t="s">
        <v>67</v>
      </c>
      <c r="B279" s="64"/>
      <c r="C279" s="396" t="s">
        <v>2494</v>
      </c>
      <c r="D279" s="351"/>
      <c r="E279" s="133" t="s">
        <v>2417</v>
      </c>
      <c r="F279" s="133" t="s">
        <v>2417</v>
      </c>
      <c r="G279" s="133" t="s">
        <v>2417</v>
      </c>
      <c r="H279" s="133" t="s">
        <v>2417</v>
      </c>
      <c r="I279" s="134" t="s">
        <v>2418</v>
      </c>
      <c r="J279" s="133" t="s">
        <v>2493</v>
      </c>
      <c r="K279" s="133" t="s">
        <v>2417</v>
      </c>
      <c r="L279" s="133" t="s">
        <v>2397</v>
      </c>
      <c r="M279" s="133" t="s">
        <v>2417</v>
      </c>
      <c r="N279" s="133" t="s">
        <v>2417</v>
      </c>
      <c r="O279" s="133" t="s">
        <v>2417</v>
      </c>
      <c r="P279" s="133" t="s">
        <v>2478</v>
      </c>
      <c r="Q279" s="133" t="s">
        <v>2417</v>
      </c>
      <c r="R279" s="133" t="s">
        <v>2417</v>
      </c>
      <c r="S279" s="133" t="s">
        <v>2417</v>
      </c>
      <c r="T279" s="133" t="s">
        <v>2417</v>
      </c>
      <c r="U279" s="133" t="s">
        <v>2417</v>
      </c>
      <c r="V279" s="133" t="s">
        <v>2417</v>
      </c>
      <c r="W279" s="133" t="s">
        <v>2417</v>
      </c>
      <c r="X279" s="133" t="s">
        <v>2417</v>
      </c>
      <c r="Y279" s="133" t="s">
        <v>2417</v>
      </c>
      <c r="Z279" s="133" t="s">
        <v>2417</v>
      </c>
      <c r="AA279" s="133" t="s">
        <v>2417</v>
      </c>
      <c r="AB279" s="133" t="s">
        <v>2417</v>
      </c>
      <c r="AC279" s="133" t="s">
        <v>2417</v>
      </c>
      <c r="AD279" s="133" t="s">
        <v>2417</v>
      </c>
      <c r="AE279" s="154"/>
    </row>
    <row r="280" spans="1:31" ht="13.2" hidden="1" outlineLevel="2">
      <c r="A280" s="68" t="s">
        <v>1091</v>
      </c>
      <c r="B280" s="62" t="s">
        <v>1092</v>
      </c>
      <c r="C280" s="387" t="s">
        <v>1093</v>
      </c>
      <c r="D280" s="351"/>
      <c r="E280" s="133" t="s">
        <v>2417</v>
      </c>
      <c r="F280" s="133" t="s">
        <v>2417</v>
      </c>
      <c r="G280" s="133" t="s">
        <v>2417</v>
      </c>
      <c r="H280" s="133" t="s">
        <v>2417</v>
      </c>
      <c r="I280" s="134" t="s">
        <v>2418</v>
      </c>
      <c r="J280" s="133" t="s">
        <v>2493</v>
      </c>
      <c r="K280" s="133" t="s">
        <v>2417</v>
      </c>
      <c r="L280" s="133" t="s">
        <v>2417</v>
      </c>
      <c r="M280" s="133" t="s">
        <v>2417</v>
      </c>
      <c r="N280" s="133" t="s">
        <v>2417</v>
      </c>
      <c r="O280" s="133" t="s">
        <v>2417</v>
      </c>
      <c r="P280" s="133" t="s">
        <v>2478</v>
      </c>
      <c r="Q280" s="133" t="s">
        <v>2417</v>
      </c>
      <c r="R280" s="133" t="s">
        <v>2417</v>
      </c>
      <c r="S280" s="133" t="s">
        <v>2417</v>
      </c>
      <c r="T280" s="133" t="s">
        <v>2417</v>
      </c>
      <c r="U280" s="133" t="s">
        <v>2417</v>
      </c>
      <c r="V280" s="133" t="s">
        <v>2417</v>
      </c>
      <c r="W280" s="133" t="s">
        <v>2417</v>
      </c>
      <c r="X280" s="133" t="s">
        <v>2417</v>
      </c>
      <c r="Y280" s="133" t="s">
        <v>2417</v>
      </c>
      <c r="Z280" s="133" t="s">
        <v>2417</v>
      </c>
      <c r="AA280" s="133" t="s">
        <v>2417</v>
      </c>
      <c r="AB280" s="133" t="s">
        <v>2417</v>
      </c>
      <c r="AC280" s="133" t="s">
        <v>2417</v>
      </c>
      <c r="AD280" s="133" t="s">
        <v>2417</v>
      </c>
      <c r="AE280" s="151"/>
    </row>
    <row r="281" spans="1:31" ht="20.399999999999999" hidden="1" outlineLevel="2">
      <c r="A281" s="68" t="s">
        <v>1094</v>
      </c>
      <c r="B281" s="80" t="s">
        <v>1095</v>
      </c>
      <c r="C281" s="387" t="s">
        <v>1096</v>
      </c>
      <c r="D281" s="351"/>
      <c r="E281" s="133" t="s">
        <v>2417</v>
      </c>
      <c r="F281" s="133" t="s">
        <v>2417</v>
      </c>
      <c r="G281" s="133" t="s">
        <v>2417</v>
      </c>
      <c r="H281" s="133" t="s">
        <v>2417</v>
      </c>
      <c r="I281" s="134" t="s">
        <v>2418</v>
      </c>
      <c r="J281" s="133" t="s">
        <v>2493</v>
      </c>
      <c r="K281" s="133" t="s">
        <v>2417</v>
      </c>
      <c r="L281" s="133" t="s">
        <v>2417</v>
      </c>
      <c r="M281" s="133" t="s">
        <v>2417</v>
      </c>
      <c r="N281" s="133" t="s">
        <v>2417</v>
      </c>
      <c r="O281" s="133" t="s">
        <v>2417</v>
      </c>
      <c r="P281" s="133" t="s">
        <v>2478</v>
      </c>
      <c r="Q281" s="133" t="s">
        <v>2417</v>
      </c>
      <c r="R281" s="133" t="s">
        <v>2417</v>
      </c>
      <c r="S281" s="133" t="s">
        <v>2417</v>
      </c>
      <c r="T281" s="133" t="s">
        <v>2417</v>
      </c>
      <c r="U281" s="133" t="s">
        <v>2417</v>
      </c>
      <c r="V281" s="133" t="s">
        <v>2417</v>
      </c>
      <c r="W281" s="133" t="s">
        <v>2417</v>
      </c>
      <c r="X281" s="133" t="s">
        <v>2417</v>
      </c>
      <c r="Y281" s="133" t="s">
        <v>2417</v>
      </c>
      <c r="Z281" s="133" t="s">
        <v>2417</v>
      </c>
      <c r="AA281" s="133" t="s">
        <v>2417</v>
      </c>
      <c r="AB281" s="133" t="s">
        <v>2417</v>
      </c>
      <c r="AC281" s="133" t="s">
        <v>2417</v>
      </c>
      <c r="AD281" s="133" t="s">
        <v>2417</v>
      </c>
      <c r="AE281" s="144"/>
    </row>
    <row r="282" spans="1:31" ht="20.399999999999999" hidden="1" outlineLevel="2">
      <c r="A282" s="68" t="s">
        <v>1097</v>
      </c>
      <c r="B282" s="80" t="s">
        <v>1098</v>
      </c>
      <c r="C282" s="387" t="s">
        <v>1096</v>
      </c>
      <c r="D282" s="351"/>
      <c r="E282" s="133" t="s">
        <v>2417</v>
      </c>
      <c r="F282" s="133" t="s">
        <v>2417</v>
      </c>
      <c r="G282" s="133" t="s">
        <v>2417</v>
      </c>
      <c r="H282" s="133" t="s">
        <v>2417</v>
      </c>
      <c r="I282" s="134" t="s">
        <v>2418</v>
      </c>
      <c r="J282" s="133" t="s">
        <v>2493</v>
      </c>
      <c r="K282" s="133" t="s">
        <v>2417</v>
      </c>
      <c r="L282" s="133" t="s">
        <v>2417</v>
      </c>
      <c r="M282" s="133" t="s">
        <v>2417</v>
      </c>
      <c r="N282" s="133" t="s">
        <v>2417</v>
      </c>
      <c r="O282" s="133" t="s">
        <v>2417</v>
      </c>
      <c r="P282" s="133" t="s">
        <v>2478</v>
      </c>
      <c r="Q282" s="133" t="s">
        <v>2417</v>
      </c>
      <c r="R282" s="133" t="s">
        <v>2417</v>
      </c>
      <c r="S282" s="133" t="s">
        <v>2417</v>
      </c>
      <c r="T282" s="133" t="s">
        <v>2417</v>
      </c>
      <c r="U282" s="133" t="s">
        <v>2417</v>
      </c>
      <c r="V282" s="133" t="s">
        <v>2417</v>
      </c>
      <c r="W282" s="133" t="s">
        <v>2417</v>
      </c>
      <c r="X282" s="133" t="s">
        <v>2417</v>
      </c>
      <c r="Y282" s="133" t="s">
        <v>2417</v>
      </c>
      <c r="Z282" s="133" t="s">
        <v>2417</v>
      </c>
      <c r="AA282" s="133" t="s">
        <v>2417</v>
      </c>
      <c r="AB282" s="133" t="s">
        <v>2417</v>
      </c>
      <c r="AC282" s="133" t="s">
        <v>2417</v>
      </c>
      <c r="AD282" s="133" t="s">
        <v>2417</v>
      </c>
      <c r="AE282" s="144"/>
    </row>
    <row r="283" spans="1:31" ht="13.2" hidden="1" outlineLevel="2">
      <c r="A283" s="68" t="s">
        <v>1099</v>
      </c>
      <c r="B283" s="63" t="s">
        <v>1100</v>
      </c>
      <c r="C283" s="387" t="s">
        <v>1101</v>
      </c>
      <c r="D283" s="351"/>
      <c r="E283" s="133" t="s">
        <v>2417</v>
      </c>
      <c r="F283" s="133" t="s">
        <v>2417</v>
      </c>
      <c r="G283" s="133" t="s">
        <v>2417</v>
      </c>
      <c r="H283" s="133" t="s">
        <v>2417</v>
      </c>
      <c r="I283" s="134" t="s">
        <v>2418</v>
      </c>
      <c r="J283" s="133" t="s">
        <v>2493</v>
      </c>
      <c r="K283" s="133" t="s">
        <v>2417</v>
      </c>
      <c r="L283" s="133" t="s">
        <v>2417</v>
      </c>
      <c r="M283" s="133" t="s">
        <v>2417</v>
      </c>
      <c r="N283" s="133" t="s">
        <v>2417</v>
      </c>
      <c r="O283" s="133" t="s">
        <v>2417</v>
      </c>
      <c r="P283" s="133" t="s">
        <v>2478</v>
      </c>
      <c r="Q283" s="133" t="s">
        <v>2417</v>
      </c>
      <c r="R283" s="133" t="s">
        <v>2417</v>
      </c>
      <c r="S283" s="133" t="s">
        <v>2417</v>
      </c>
      <c r="T283" s="133" t="s">
        <v>2417</v>
      </c>
      <c r="U283" s="133" t="s">
        <v>2417</v>
      </c>
      <c r="V283" s="133" t="s">
        <v>2417</v>
      </c>
      <c r="W283" s="133" t="s">
        <v>2417</v>
      </c>
      <c r="X283" s="133" t="s">
        <v>2417</v>
      </c>
      <c r="Y283" s="133" t="s">
        <v>2417</v>
      </c>
      <c r="Z283" s="133" t="s">
        <v>2417</v>
      </c>
      <c r="AA283" s="133" t="s">
        <v>2417</v>
      </c>
      <c r="AB283" s="133" t="s">
        <v>2417</v>
      </c>
      <c r="AC283" s="133" t="s">
        <v>2417</v>
      </c>
      <c r="AD283" s="133" t="s">
        <v>2417</v>
      </c>
      <c r="AE283" s="144"/>
    </row>
    <row r="284" spans="1:31" ht="13.2" hidden="1" outlineLevel="2">
      <c r="A284" s="68" t="s">
        <v>1102</v>
      </c>
      <c r="B284" s="63" t="s">
        <v>1103</v>
      </c>
      <c r="C284" s="387" t="s">
        <v>1104</v>
      </c>
      <c r="D284" s="351"/>
      <c r="E284" s="133" t="s">
        <v>2417</v>
      </c>
      <c r="F284" s="133" t="s">
        <v>2417</v>
      </c>
      <c r="G284" s="133" t="s">
        <v>2417</v>
      </c>
      <c r="H284" s="133" t="s">
        <v>2417</v>
      </c>
      <c r="I284" s="134" t="s">
        <v>2418</v>
      </c>
      <c r="J284" s="133" t="s">
        <v>2493</v>
      </c>
      <c r="K284" s="133" t="s">
        <v>2417</v>
      </c>
      <c r="L284" s="133" t="s">
        <v>2417</v>
      </c>
      <c r="M284" s="133" t="s">
        <v>2417</v>
      </c>
      <c r="N284" s="133" t="s">
        <v>2417</v>
      </c>
      <c r="O284" s="133" t="s">
        <v>2417</v>
      </c>
      <c r="P284" s="133" t="s">
        <v>2478</v>
      </c>
      <c r="Q284" s="133" t="s">
        <v>2417</v>
      </c>
      <c r="R284" s="133" t="s">
        <v>2417</v>
      </c>
      <c r="S284" s="133" t="s">
        <v>2417</v>
      </c>
      <c r="T284" s="133" t="s">
        <v>2417</v>
      </c>
      <c r="U284" s="133" t="s">
        <v>2417</v>
      </c>
      <c r="V284" s="133" t="s">
        <v>2417</v>
      </c>
      <c r="W284" s="133" t="s">
        <v>2417</v>
      </c>
      <c r="X284" s="133" t="s">
        <v>2417</v>
      </c>
      <c r="Y284" s="133" t="s">
        <v>2417</v>
      </c>
      <c r="Z284" s="133" t="s">
        <v>2417</v>
      </c>
      <c r="AA284" s="133" t="s">
        <v>2417</v>
      </c>
      <c r="AB284" s="133" t="s">
        <v>2417</v>
      </c>
      <c r="AC284" s="133" t="s">
        <v>2417</v>
      </c>
      <c r="AD284" s="133" t="s">
        <v>2417</v>
      </c>
      <c r="AE284" s="151"/>
    </row>
    <row r="285" spans="1:31" ht="13.2" outlineLevel="1">
      <c r="A285" s="384" t="s">
        <v>1089</v>
      </c>
      <c r="B285" s="350"/>
      <c r="C285" s="350"/>
      <c r="D285" s="351"/>
      <c r="E285" s="133" t="s">
        <v>2417</v>
      </c>
      <c r="F285" s="133" t="s">
        <v>2417</v>
      </c>
      <c r="G285" s="133" t="s">
        <v>2417</v>
      </c>
      <c r="H285" s="133" t="s">
        <v>2417</v>
      </c>
      <c r="I285" s="134" t="s">
        <v>2418</v>
      </c>
      <c r="J285" s="133" t="s">
        <v>3</v>
      </c>
      <c r="K285" s="133" t="s">
        <v>2417</v>
      </c>
      <c r="L285" s="133" t="s">
        <v>2417</v>
      </c>
      <c r="M285" s="133" t="s">
        <v>2417</v>
      </c>
      <c r="N285" s="133" t="s">
        <v>2417</v>
      </c>
      <c r="O285" s="133" t="s">
        <v>2417</v>
      </c>
      <c r="P285" s="133" t="s">
        <v>2478</v>
      </c>
      <c r="Q285" s="133" t="s">
        <v>2417</v>
      </c>
      <c r="R285" s="133" t="s">
        <v>2417</v>
      </c>
      <c r="S285" s="133" t="s">
        <v>2417</v>
      </c>
      <c r="T285" s="133" t="s">
        <v>2417</v>
      </c>
      <c r="U285" s="133" t="s">
        <v>2417</v>
      </c>
      <c r="V285" s="133" t="s">
        <v>2417</v>
      </c>
      <c r="W285" s="133" t="s">
        <v>2417</v>
      </c>
      <c r="X285" s="133" t="s">
        <v>2417</v>
      </c>
      <c r="Y285" s="133" t="s">
        <v>2417</v>
      </c>
      <c r="Z285" s="133" t="s">
        <v>2417</v>
      </c>
      <c r="AA285" s="133" t="s">
        <v>2417</v>
      </c>
      <c r="AB285" s="133" t="s">
        <v>2417</v>
      </c>
      <c r="AC285" s="133" t="s">
        <v>2417</v>
      </c>
      <c r="AD285" s="133" t="s">
        <v>2417</v>
      </c>
      <c r="AE285" s="152"/>
    </row>
    <row r="286" spans="1:31" ht="13.2" outlineLevel="2">
      <c r="A286" s="68" t="s">
        <v>67</v>
      </c>
      <c r="B286" s="64"/>
      <c r="C286" s="396" t="s">
        <v>2495</v>
      </c>
      <c r="D286" s="351"/>
      <c r="E286" s="133" t="s">
        <v>2417</v>
      </c>
      <c r="F286" s="133" t="s">
        <v>2417</v>
      </c>
      <c r="G286" s="133" t="s">
        <v>2417</v>
      </c>
      <c r="H286" s="133" t="s">
        <v>2417</v>
      </c>
      <c r="I286" s="134" t="s">
        <v>2418</v>
      </c>
      <c r="J286" s="133" t="s">
        <v>3</v>
      </c>
      <c r="K286" s="133" t="s">
        <v>2417</v>
      </c>
      <c r="L286" s="133" t="s">
        <v>2397</v>
      </c>
      <c r="M286" s="133" t="s">
        <v>2417</v>
      </c>
      <c r="N286" s="133" t="s">
        <v>2417</v>
      </c>
      <c r="O286" s="133" t="s">
        <v>2417</v>
      </c>
      <c r="P286" s="133" t="s">
        <v>2478</v>
      </c>
      <c r="Q286" s="133" t="s">
        <v>2417</v>
      </c>
      <c r="R286" s="133" t="s">
        <v>2417</v>
      </c>
      <c r="S286" s="133" t="s">
        <v>2417</v>
      </c>
      <c r="T286" s="133" t="s">
        <v>2417</v>
      </c>
      <c r="U286" s="133" t="s">
        <v>2417</v>
      </c>
      <c r="V286" s="133" t="s">
        <v>2417</v>
      </c>
      <c r="W286" s="133" t="s">
        <v>2417</v>
      </c>
      <c r="X286" s="133" t="s">
        <v>2417</v>
      </c>
      <c r="Y286" s="133" t="s">
        <v>2417</v>
      </c>
      <c r="Z286" s="133" t="s">
        <v>2417</v>
      </c>
      <c r="AA286" s="133" t="s">
        <v>2417</v>
      </c>
      <c r="AB286" s="133" t="s">
        <v>2417</v>
      </c>
      <c r="AC286" s="133" t="s">
        <v>2417</v>
      </c>
      <c r="AD286" s="133" t="s">
        <v>2417</v>
      </c>
      <c r="AE286" s="154"/>
    </row>
    <row r="287" spans="1:31" ht="13.2" outlineLevel="2">
      <c r="A287" s="68" t="s">
        <v>1091</v>
      </c>
      <c r="B287" s="62" t="s">
        <v>1092</v>
      </c>
      <c r="C287" s="387" t="s">
        <v>1093</v>
      </c>
      <c r="D287" s="351"/>
      <c r="E287" s="133" t="s">
        <v>2417</v>
      </c>
      <c r="F287" s="133" t="s">
        <v>2417</v>
      </c>
      <c r="G287" s="133" t="s">
        <v>2417</v>
      </c>
      <c r="H287" s="133" t="s">
        <v>2417</v>
      </c>
      <c r="I287" s="134" t="s">
        <v>2418</v>
      </c>
      <c r="J287" s="133" t="s">
        <v>3</v>
      </c>
      <c r="K287" s="133" t="s">
        <v>2417</v>
      </c>
      <c r="L287" s="133" t="s">
        <v>2417</v>
      </c>
      <c r="M287" s="133" t="s">
        <v>2417</v>
      </c>
      <c r="N287" s="133" t="s">
        <v>2417</v>
      </c>
      <c r="O287" s="133" t="s">
        <v>2417</v>
      </c>
      <c r="P287" s="133" t="s">
        <v>2478</v>
      </c>
      <c r="Q287" s="133" t="s">
        <v>2417</v>
      </c>
      <c r="R287" s="133" t="s">
        <v>2417</v>
      </c>
      <c r="S287" s="133" t="s">
        <v>2417</v>
      </c>
      <c r="T287" s="133" t="s">
        <v>2417</v>
      </c>
      <c r="U287" s="133" t="s">
        <v>2417</v>
      </c>
      <c r="V287" s="133" t="s">
        <v>2417</v>
      </c>
      <c r="W287" s="133" t="s">
        <v>2417</v>
      </c>
      <c r="X287" s="133" t="s">
        <v>2417</v>
      </c>
      <c r="Y287" s="133" t="s">
        <v>2417</v>
      </c>
      <c r="Z287" s="133" t="s">
        <v>2417</v>
      </c>
      <c r="AA287" s="133" t="s">
        <v>2417</v>
      </c>
      <c r="AB287" s="133" t="s">
        <v>2417</v>
      </c>
      <c r="AC287" s="133" t="s">
        <v>2417</v>
      </c>
      <c r="AD287" s="133" t="s">
        <v>2417</v>
      </c>
      <c r="AE287" s="151"/>
    </row>
    <row r="288" spans="1:31" ht="20.399999999999999" outlineLevel="2">
      <c r="A288" s="68" t="s">
        <v>1094</v>
      </c>
      <c r="B288" s="80" t="s">
        <v>1095</v>
      </c>
      <c r="C288" s="387" t="s">
        <v>1096</v>
      </c>
      <c r="D288" s="351"/>
      <c r="E288" s="133" t="s">
        <v>2417</v>
      </c>
      <c r="F288" s="133" t="s">
        <v>2417</v>
      </c>
      <c r="G288" s="133" t="s">
        <v>2417</v>
      </c>
      <c r="H288" s="133" t="s">
        <v>2417</v>
      </c>
      <c r="I288" s="134" t="s">
        <v>2418</v>
      </c>
      <c r="J288" s="133" t="s">
        <v>3</v>
      </c>
      <c r="K288" s="133" t="s">
        <v>2417</v>
      </c>
      <c r="L288" s="133" t="s">
        <v>2417</v>
      </c>
      <c r="M288" s="133" t="s">
        <v>2417</v>
      </c>
      <c r="N288" s="133" t="s">
        <v>2417</v>
      </c>
      <c r="O288" s="133" t="s">
        <v>2417</v>
      </c>
      <c r="P288" s="133" t="s">
        <v>2478</v>
      </c>
      <c r="Q288" s="133" t="s">
        <v>2417</v>
      </c>
      <c r="R288" s="133" t="s">
        <v>2417</v>
      </c>
      <c r="S288" s="133" t="s">
        <v>2417</v>
      </c>
      <c r="T288" s="133" t="s">
        <v>2417</v>
      </c>
      <c r="U288" s="133" t="s">
        <v>2417</v>
      </c>
      <c r="V288" s="133" t="s">
        <v>2417</v>
      </c>
      <c r="W288" s="133" t="s">
        <v>2417</v>
      </c>
      <c r="X288" s="133" t="s">
        <v>2417</v>
      </c>
      <c r="Y288" s="133" t="s">
        <v>2417</v>
      </c>
      <c r="Z288" s="133" t="s">
        <v>2417</v>
      </c>
      <c r="AA288" s="133" t="s">
        <v>2417</v>
      </c>
      <c r="AB288" s="133" t="s">
        <v>2417</v>
      </c>
      <c r="AC288" s="133" t="s">
        <v>2417</v>
      </c>
      <c r="AD288" s="133" t="s">
        <v>2417</v>
      </c>
      <c r="AE288" s="144"/>
    </row>
    <row r="289" spans="1:31" ht="20.399999999999999" outlineLevel="2">
      <c r="A289" s="68" t="s">
        <v>1097</v>
      </c>
      <c r="B289" s="80" t="s">
        <v>1098</v>
      </c>
      <c r="C289" s="387" t="s">
        <v>1096</v>
      </c>
      <c r="D289" s="351"/>
      <c r="E289" s="133" t="s">
        <v>2417</v>
      </c>
      <c r="F289" s="133" t="s">
        <v>2417</v>
      </c>
      <c r="G289" s="133" t="s">
        <v>2417</v>
      </c>
      <c r="H289" s="133" t="s">
        <v>2417</v>
      </c>
      <c r="I289" s="134" t="s">
        <v>2418</v>
      </c>
      <c r="J289" s="133" t="s">
        <v>3</v>
      </c>
      <c r="K289" s="133" t="s">
        <v>2417</v>
      </c>
      <c r="L289" s="133" t="s">
        <v>2417</v>
      </c>
      <c r="M289" s="133" t="s">
        <v>2417</v>
      </c>
      <c r="N289" s="133" t="s">
        <v>2417</v>
      </c>
      <c r="O289" s="133" t="s">
        <v>2417</v>
      </c>
      <c r="P289" s="133" t="s">
        <v>2478</v>
      </c>
      <c r="Q289" s="133" t="s">
        <v>2417</v>
      </c>
      <c r="R289" s="133" t="s">
        <v>2417</v>
      </c>
      <c r="S289" s="133" t="s">
        <v>2417</v>
      </c>
      <c r="T289" s="133" t="s">
        <v>2417</v>
      </c>
      <c r="U289" s="133" t="s">
        <v>2417</v>
      </c>
      <c r="V289" s="133" t="s">
        <v>2417</v>
      </c>
      <c r="W289" s="133" t="s">
        <v>2417</v>
      </c>
      <c r="X289" s="133" t="s">
        <v>2417</v>
      </c>
      <c r="Y289" s="133" t="s">
        <v>2417</v>
      </c>
      <c r="Z289" s="133" t="s">
        <v>2417</v>
      </c>
      <c r="AA289" s="133" t="s">
        <v>2417</v>
      </c>
      <c r="AB289" s="133" t="s">
        <v>2417</v>
      </c>
      <c r="AC289" s="133" t="s">
        <v>2417</v>
      </c>
      <c r="AD289" s="133" t="s">
        <v>2417</v>
      </c>
      <c r="AE289" s="144"/>
    </row>
    <row r="290" spans="1:31" ht="13.2" outlineLevel="2">
      <c r="A290" s="68" t="s">
        <v>1099</v>
      </c>
      <c r="B290" s="63" t="s">
        <v>1100</v>
      </c>
      <c r="C290" s="387" t="s">
        <v>1101</v>
      </c>
      <c r="D290" s="351"/>
      <c r="E290" s="133" t="s">
        <v>2417</v>
      </c>
      <c r="F290" s="133" t="s">
        <v>2417</v>
      </c>
      <c r="G290" s="133" t="s">
        <v>2417</v>
      </c>
      <c r="H290" s="133" t="s">
        <v>2417</v>
      </c>
      <c r="I290" s="134" t="s">
        <v>2418</v>
      </c>
      <c r="J290" s="133" t="s">
        <v>3</v>
      </c>
      <c r="K290" s="133" t="s">
        <v>2417</v>
      </c>
      <c r="L290" s="133" t="s">
        <v>2417</v>
      </c>
      <c r="M290" s="133" t="s">
        <v>2417</v>
      </c>
      <c r="N290" s="133" t="s">
        <v>2417</v>
      </c>
      <c r="O290" s="133" t="s">
        <v>2417</v>
      </c>
      <c r="P290" s="133" t="s">
        <v>2478</v>
      </c>
      <c r="Q290" s="133" t="s">
        <v>2417</v>
      </c>
      <c r="R290" s="133" t="s">
        <v>2417</v>
      </c>
      <c r="S290" s="133" t="s">
        <v>2417</v>
      </c>
      <c r="T290" s="133" t="s">
        <v>2417</v>
      </c>
      <c r="U290" s="133" t="s">
        <v>2417</v>
      </c>
      <c r="V290" s="133" t="s">
        <v>2417</v>
      </c>
      <c r="W290" s="133" t="s">
        <v>2417</v>
      </c>
      <c r="X290" s="133" t="s">
        <v>2417</v>
      </c>
      <c r="Y290" s="133" t="s">
        <v>2417</v>
      </c>
      <c r="Z290" s="133" t="s">
        <v>2417</v>
      </c>
      <c r="AA290" s="133" t="s">
        <v>2417</v>
      </c>
      <c r="AB290" s="133" t="s">
        <v>2417</v>
      </c>
      <c r="AC290" s="133" t="s">
        <v>2417</v>
      </c>
      <c r="AD290" s="133" t="s">
        <v>2417</v>
      </c>
      <c r="AE290" s="144"/>
    </row>
    <row r="291" spans="1:31" ht="13.2" outlineLevel="2">
      <c r="A291" s="68" t="s">
        <v>1102</v>
      </c>
      <c r="B291" s="63" t="s">
        <v>1103</v>
      </c>
      <c r="C291" s="387" t="s">
        <v>1104</v>
      </c>
      <c r="D291" s="351"/>
      <c r="E291" s="133" t="s">
        <v>2417</v>
      </c>
      <c r="F291" s="133" t="s">
        <v>2417</v>
      </c>
      <c r="G291" s="133" t="s">
        <v>2417</v>
      </c>
      <c r="H291" s="133" t="s">
        <v>2417</v>
      </c>
      <c r="I291" s="134" t="s">
        <v>2418</v>
      </c>
      <c r="J291" s="133" t="s">
        <v>3</v>
      </c>
      <c r="K291" s="133" t="s">
        <v>2417</v>
      </c>
      <c r="L291" s="133" t="s">
        <v>2417</v>
      </c>
      <c r="M291" s="133" t="s">
        <v>2417</v>
      </c>
      <c r="N291" s="133" t="s">
        <v>2417</v>
      </c>
      <c r="O291" s="133" t="s">
        <v>2417</v>
      </c>
      <c r="P291" s="133" t="s">
        <v>2478</v>
      </c>
      <c r="Q291" s="133" t="s">
        <v>2417</v>
      </c>
      <c r="R291" s="133" t="s">
        <v>2417</v>
      </c>
      <c r="S291" s="133" t="s">
        <v>2417</v>
      </c>
      <c r="T291" s="133" t="s">
        <v>2417</v>
      </c>
      <c r="U291" s="133" t="s">
        <v>2417</v>
      </c>
      <c r="V291" s="133" t="s">
        <v>2417</v>
      </c>
      <c r="W291" s="133" t="s">
        <v>2417</v>
      </c>
      <c r="X291" s="133" t="s">
        <v>2417</v>
      </c>
      <c r="Y291" s="133" t="s">
        <v>2417</v>
      </c>
      <c r="Z291" s="133" t="s">
        <v>2417</v>
      </c>
      <c r="AA291" s="133" t="s">
        <v>2417</v>
      </c>
      <c r="AB291" s="133" t="s">
        <v>2417</v>
      </c>
      <c r="AC291" s="133" t="s">
        <v>2417</v>
      </c>
      <c r="AD291" s="133" t="s">
        <v>2417</v>
      </c>
      <c r="AE291" s="151"/>
    </row>
    <row r="292" spans="1:31" ht="13.2" hidden="1" outlineLevel="1">
      <c r="A292" s="384" t="s">
        <v>2496</v>
      </c>
      <c r="B292" s="350"/>
      <c r="C292" s="350"/>
      <c r="D292" s="351"/>
      <c r="E292" s="133" t="s">
        <v>2417</v>
      </c>
      <c r="F292" s="133" t="s">
        <v>2417</v>
      </c>
      <c r="G292" s="133" t="s">
        <v>2417</v>
      </c>
      <c r="H292" s="133" t="s">
        <v>2417</v>
      </c>
      <c r="I292" s="134" t="s">
        <v>2418</v>
      </c>
      <c r="J292" s="133" t="s">
        <v>2497</v>
      </c>
      <c r="K292" s="133" t="s">
        <v>2417</v>
      </c>
      <c r="L292" s="133" t="s">
        <v>2417</v>
      </c>
      <c r="M292" s="133" t="s">
        <v>2417</v>
      </c>
      <c r="N292" s="133" t="s">
        <v>2417</v>
      </c>
      <c r="O292" s="133" t="s">
        <v>2417</v>
      </c>
      <c r="P292" s="133" t="s">
        <v>2478</v>
      </c>
      <c r="Q292" s="133" t="s">
        <v>2417</v>
      </c>
      <c r="R292" s="133" t="s">
        <v>2417</v>
      </c>
      <c r="S292" s="133" t="s">
        <v>2417</v>
      </c>
      <c r="T292" s="133" t="s">
        <v>2417</v>
      </c>
      <c r="U292" s="133" t="s">
        <v>2417</v>
      </c>
      <c r="V292" s="133" t="s">
        <v>2417</v>
      </c>
      <c r="W292" s="133" t="s">
        <v>2417</v>
      </c>
      <c r="X292" s="133" t="s">
        <v>2417</v>
      </c>
      <c r="Y292" s="133" t="s">
        <v>2417</v>
      </c>
      <c r="Z292" s="133" t="s">
        <v>2417</v>
      </c>
      <c r="AA292" s="133" t="s">
        <v>2417</v>
      </c>
      <c r="AB292" s="133" t="s">
        <v>2417</v>
      </c>
      <c r="AC292" s="133" t="s">
        <v>2417</v>
      </c>
      <c r="AD292" s="133" t="s">
        <v>2417</v>
      </c>
      <c r="AE292" s="152"/>
    </row>
    <row r="293" spans="1:31" ht="13.2" hidden="1" outlineLevel="2">
      <c r="A293" s="68" t="s">
        <v>67</v>
      </c>
      <c r="B293" s="64"/>
      <c r="C293" s="396" t="s">
        <v>2498</v>
      </c>
      <c r="D293" s="351"/>
      <c r="E293" s="133" t="s">
        <v>2417</v>
      </c>
      <c r="F293" s="133" t="s">
        <v>2417</v>
      </c>
      <c r="G293" s="133" t="s">
        <v>2417</v>
      </c>
      <c r="H293" s="133" t="s">
        <v>2417</v>
      </c>
      <c r="I293" s="134" t="s">
        <v>2418</v>
      </c>
      <c r="J293" s="133" t="s">
        <v>2497</v>
      </c>
      <c r="K293" s="133" t="s">
        <v>2417</v>
      </c>
      <c r="L293" s="133" t="s">
        <v>2397</v>
      </c>
      <c r="M293" s="133" t="s">
        <v>2417</v>
      </c>
      <c r="N293" s="133" t="s">
        <v>2417</v>
      </c>
      <c r="O293" s="133" t="s">
        <v>2417</v>
      </c>
      <c r="P293" s="133" t="s">
        <v>2478</v>
      </c>
      <c r="Q293" s="133" t="s">
        <v>2417</v>
      </c>
      <c r="R293" s="133" t="s">
        <v>2417</v>
      </c>
      <c r="S293" s="133" t="s">
        <v>2417</v>
      </c>
      <c r="T293" s="133" t="s">
        <v>2417</v>
      </c>
      <c r="U293" s="133" t="s">
        <v>2417</v>
      </c>
      <c r="V293" s="133" t="s">
        <v>2417</v>
      </c>
      <c r="W293" s="133" t="s">
        <v>2417</v>
      </c>
      <c r="X293" s="133" t="s">
        <v>2417</v>
      </c>
      <c r="Y293" s="133" t="s">
        <v>2417</v>
      </c>
      <c r="Z293" s="133" t="s">
        <v>2417</v>
      </c>
      <c r="AA293" s="133" t="s">
        <v>2417</v>
      </c>
      <c r="AB293" s="133" t="s">
        <v>2417</v>
      </c>
      <c r="AC293" s="133" t="s">
        <v>2417</v>
      </c>
      <c r="AD293" s="133" t="s">
        <v>2417</v>
      </c>
      <c r="AE293" s="154"/>
    </row>
    <row r="294" spans="1:31" ht="13.2" hidden="1" outlineLevel="2">
      <c r="A294" s="68" t="s">
        <v>1091</v>
      </c>
      <c r="B294" s="62" t="s">
        <v>1092</v>
      </c>
      <c r="C294" s="387" t="s">
        <v>1093</v>
      </c>
      <c r="D294" s="351"/>
      <c r="E294" s="133" t="s">
        <v>2417</v>
      </c>
      <c r="F294" s="133" t="s">
        <v>2417</v>
      </c>
      <c r="G294" s="133" t="s">
        <v>2417</v>
      </c>
      <c r="H294" s="133" t="s">
        <v>2417</v>
      </c>
      <c r="I294" s="134" t="s">
        <v>2418</v>
      </c>
      <c r="J294" s="133" t="s">
        <v>2497</v>
      </c>
      <c r="K294" s="133" t="s">
        <v>2417</v>
      </c>
      <c r="L294" s="133" t="s">
        <v>2417</v>
      </c>
      <c r="M294" s="133" t="s">
        <v>2417</v>
      </c>
      <c r="N294" s="133" t="s">
        <v>2417</v>
      </c>
      <c r="O294" s="133" t="s">
        <v>2417</v>
      </c>
      <c r="P294" s="133" t="s">
        <v>2478</v>
      </c>
      <c r="Q294" s="133" t="s">
        <v>2417</v>
      </c>
      <c r="R294" s="133" t="s">
        <v>2417</v>
      </c>
      <c r="S294" s="133" t="s">
        <v>2417</v>
      </c>
      <c r="T294" s="133" t="s">
        <v>2417</v>
      </c>
      <c r="U294" s="133" t="s">
        <v>2417</v>
      </c>
      <c r="V294" s="133" t="s">
        <v>2417</v>
      </c>
      <c r="W294" s="133" t="s">
        <v>2417</v>
      </c>
      <c r="X294" s="133" t="s">
        <v>2417</v>
      </c>
      <c r="Y294" s="133" t="s">
        <v>2417</v>
      </c>
      <c r="Z294" s="133" t="s">
        <v>2417</v>
      </c>
      <c r="AA294" s="133" t="s">
        <v>2417</v>
      </c>
      <c r="AB294" s="133" t="s">
        <v>2417</v>
      </c>
      <c r="AC294" s="133" t="s">
        <v>2417</v>
      </c>
      <c r="AD294" s="133" t="s">
        <v>2417</v>
      </c>
      <c r="AE294" s="151"/>
    </row>
    <row r="295" spans="1:31" ht="20.399999999999999" hidden="1" outlineLevel="2">
      <c r="A295" s="68" t="s">
        <v>1094</v>
      </c>
      <c r="B295" s="80" t="s">
        <v>1095</v>
      </c>
      <c r="C295" s="387" t="s">
        <v>1096</v>
      </c>
      <c r="D295" s="351"/>
      <c r="E295" s="133" t="s">
        <v>2417</v>
      </c>
      <c r="F295" s="133" t="s">
        <v>2417</v>
      </c>
      <c r="G295" s="133" t="s">
        <v>2417</v>
      </c>
      <c r="H295" s="133" t="s">
        <v>2417</v>
      </c>
      <c r="I295" s="134" t="s">
        <v>2418</v>
      </c>
      <c r="J295" s="133" t="s">
        <v>2497</v>
      </c>
      <c r="K295" s="133" t="s">
        <v>2417</v>
      </c>
      <c r="L295" s="133" t="s">
        <v>2417</v>
      </c>
      <c r="M295" s="133" t="s">
        <v>2417</v>
      </c>
      <c r="N295" s="133" t="s">
        <v>2417</v>
      </c>
      <c r="O295" s="133" t="s">
        <v>2417</v>
      </c>
      <c r="P295" s="133" t="s">
        <v>2478</v>
      </c>
      <c r="Q295" s="133" t="s">
        <v>2417</v>
      </c>
      <c r="R295" s="133" t="s">
        <v>2417</v>
      </c>
      <c r="S295" s="133" t="s">
        <v>2417</v>
      </c>
      <c r="T295" s="133" t="s">
        <v>2417</v>
      </c>
      <c r="U295" s="133" t="s">
        <v>2417</v>
      </c>
      <c r="V295" s="133" t="s">
        <v>2417</v>
      </c>
      <c r="W295" s="133" t="s">
        <v>2417</v>
      </c>
      <c r="X295" s="133" t="s">
        <v>2417</v>
      </c>
      <c r="Y295" s="133" t="s">
        <v>2417</v>
      </c>
      <c r="Z295" s="133" t="s">
        <v>2417</v>
      </c>
      <c r="AA295" s="133" t="s">
        <v>2417</v>
      </c>
      <c r="AB295" s="133" t="s">
        <v>2417</v>
      </c>
      <c r="AC295" s="133" t="s">
        <v>2417</v>
      </c>
      <c r="AD295" s="133" t="s">
        <v>2417</v>
      </c>
      <c r="AE295" s="144"/>
    </row>
    <row r="296" spans="1:31" ht="20.399999999999999" hidden="1" outlineLevel="2">
      <c r="A296" s="68" t="s">
        <v>1097</v>
      </c>
      <c r="B296" s="80" t="s">
        <v>1098</v>
      </c>
      <c r="C296" s="387" t="s">
        <v>1096</v>
      </c>
      <c r="D296" s="351"/>
      <c r="E296" s="133" t="s">
        <v>2417</v>
      </c>
      <c r="F296" s="133" t="s">
        <v>2417</v>
      </c>
      <c r="G296" s="133" t="s">
        <v>2417</v>
      </c>
      <c r="H296" s="133" t="s">
        <v>2417</v>
      </c>
      <c r="I296" s="134" t="s">
        <v>2418</v>
      </c>
      <c r="J296" s="133" t="s">
        <v>2497</v>
      </c>
      <c r="K296" s="133" t="s">
        <v>2417</v>
      </c>
      <c r="L296" s="133" t="s">
        <v>2417</v>
      </c>
      <c r="M296" s="133" t="s">
        <v>2417</v>
      </c>
      <c r="N296" s="133" t="s">
        <v>2417</v>
      </c>
      <c r="O296" s="133" t="s">
        <v>2417</v>
      </c>
      <c r="P296" s="133" t="s">
        <v>2478</v>
      </c>
      <c r="Q296" s="133" t="s">
        <v>2417</v>
      </c>
      <c r="R296" s="133" t="s">
        <v>2417</v>
      </c>
      <c r="S296" s="133" t="s">
        <v>2417</v>
      </c>
      <c r="T296" s="133" t="s">
        <v>2417</v>
      </c>
      <c r="U296" s="133" t="s">
        <v>2417</v>
      </c>
      <c r="V296" s="133" t="s">
        <v>2417</v>
      </c>
      <c r="W296" s="133" t="s">
        <v>2417</v>
      </c>
      <c r="X296" s="133" t="s">
        <v>2417</v>
      </c>
      <c r="Y296" s="133" t="s">
        <v>2417</v>
      </c>
      <c r="Z296" s="133" t="s">
        <v>2417</v>
      </c>
      <c r="AA296" s="133" t="s">
        <v>2417</v>
      </c>
      <c r="AB296" s="133" t="s">
        <v>2417</v>
      </c>
      <c r="AC296" s="133" t="s">
        <v>2417</v>
      </c>
      <c r="AD296" s="133" t="s">
        <v>2417</v>
      </c>
      <c r="AE296" s="144"/>
    </row>
    <row r="297" spans="1:31" ht="13.2" hidden="1" outlineLevel="2">
      <c r="A297" s="68" t="s">
        <v>1099</v>
      </c>
      <c r="B297" s="63" t="s">
        <v>1100</v>
      </c>
      <c r="C297" s="387" t="s">
        <v>1101</v>
      </c>
      <c r="D297" s="351"/>
      <c r="E297" s="133" t="s">
        <v>2417</v>
      </c>
      <c r="F297" s="133" t="s">
        <v>2417</v>
      </c>
      <c r="G297" s="133" t="s">
        <v>2417</v>
      </c>
      <c r="H297" s="133" t="s">
        <v>2417</v>
      </c>
      <c r="I297" s="134" t="s">
        <v>2418</v>
      </c>
      <c r="J297" s="133" t="s">
        <v>2497</v>
      </c>
      <c r="K297" s="133" t="s">
        <v>2417</v>
      </c>
      <c r="L297" s="133" t="s">
        <v>2417</v>
      </c>
      <c r="M297" s="133" t="s">
        <v>2417</v>
      </c>
      <c r="N297" s="133" t="s">
        <v>2417</v>
      </c>
      <c r="O297" s="133" t="s">
        <v>2417</v>
      </c>
      <c r="P297" s="133" t="s">
        <v>2478</v>
      </c>
      <c r="Q297" s="133" t="s">
        <v>2417</v>
      </c>
      <c r="R297" s="133" t="s">
        <v>2417</v>
      </c>
      <c r="S297" s="133" t="s">
        <v>2417</v>
      </c>
      <c r="T297" s="133" t="s">
        <v>2417</v>
      </c>
      <c r="U297" s="133" t="s">
        <v>2417</v>
      </c>
      <c r="V297" s="133" t="s">
        <v>2417</v>
      </c>
      <c r="W297" s="133" t="s">
        <v>2417</v>
      </c>
      <c r="X297" s="133" t="s">
        <v>2417</v>
      </c>
      <c r="Y297" s="133" t="s">
        <v>2417</v>
      </c>
      <c r="Z297" s="133" t="s">
        <v>2417</v>
      </c>
      <c r="AA297" s="133" t="s">
        <v>2417</v>
      </c>
      <c r="AB297" s="133" t="s">
        <v>2417</v>
      </c>
      <c r="AC297" s="133" t="s">
        <v>2417</v>
      </c>
      <c r="AD297" s="133" t="s">
        <v>2417</v>
      </c>
      <c r="AE297" s="144"/>
    </row>
    <row r="298" spans="1:31" ht="13.2" hidden="1" outlineLevel="2">
      <c r="A298" s="68" t="s">
        <v>1102</v>
      </c>
      <c r="B298" s="63" t="s">
        <v>1103</v>
      </c>
      <c r="C298" s="387" t="s">
        <v>1104</v>
      </c>
      <c r="D298" s="351"/>
      <c r="E298" s="133" t="s">
        <v>2417</v>
      </c>
      <c r="F298" s="133" t="s">
        <v>2417</v>
      </c>
      <c r="G298" s="133" t="s">
        <v>2417</v>
      </c>
      <c r="H298" s="133" t="s">
        <v>2417</v>
      </c>
      <c r="I298" s="134" t="s">
        <v>2418</v>
      </c>
      <c r="J298" s="133" t="s">
        <v>2497</v>
      </c>
      <c r="K298" s="133" t="s">
        <v>2417</v>
      </c>
      <c r="L298" s="133" t="s">
        <v>2417</v>
      </c>
      <c r="M298" s="133" t="s">
        <v>2417</v>
      </c>
      <c r="N298" s="133" t="s">
        <v>2417</v>
      </c>
      <c r="O298" s="133" t="s">
        <v>2417</v>
      </c>
      <c r="P298" s="133" t="s">
        <v>2478</v>
      </c>
      <c r="Q298" s="133" t="s">
        <v>2417</v>
      </c>
      <c r="R298" s="133" t="s">
        <v>2417</v>
      </c>
      <c r="S298" s="133" t="s">
        <v>2417</v>
      </c>
      <c r="T298" s="133" t="s">
        <v>2417</v>
      </c>
      <c r="U298" s="133" t="s">
        <v>2417</v>
      </c>
      <c r="V298" s="133" t="s">
        <v>2417</v>
      </c>
      <c r="W298" s="133" t="s">
        <v>2417</v>
      </c>
      <c r="X298" s="133" t="s">
        <v>2417</v>
      </c>
      <c r="Y298" s="133" t="s">
        <v>2417</v>
      </c>
      <c r="Z298" s="133" t="s">
        <v>2417</v>
      </c>
      <c r="AA298" s="133" t="s">
        <v>2417</v>
      </c>
      <c r="AB298" s="133" t="s">
        <v>2417</v>
      </c>
      <c r="AC298" s="133" t="s">
        <v>2417</v>
      </c>
      <c r="AD298" s="133" t="s">
        <v>2417</v>
      </c>
      <c r="AE298" s="151"/>
    </row>
    <row r="299" spans="1:31" ht="13.2" hidden="1" outlineLevel="1">
      <c r="A299" s="384" t="s">
        <v>2499</v>
      </c>
      <c r="B299" s="350"/>
      <c r="C299" s="350"/>
      <c r="D299" s="351"/>
      <c r="E299" s="133" t="s">
        <v>2417</v>
      </c>
      <c r="F299" s="133" t="s">
        <v>2417</v>
      </c>
      <c r="G299" s="133" t="s">
        <v>2417</v>
      </c>
      <c r="H299" s="133" t="s">
        <v>2417</v>
      </c>
      <c r="I299" s="134" t="s">
        <v>2418</v>
      </c>
      <c r="J299" s="133" t="s">
        <v>2500</v>
      </c>
      <c r="K299" s="133" t="s">
        <v>2417</v>
      </c>
      <c r="L299" s="133" t="s">
        <v>2417</v>
      </c>
      <c r="M299" s="133" t="s">
        <v>2417</v>
      </c>
      <c r="N299" s="133" t="s">
        <v>2417</v>
      </c>
      <c r="O299" s="133" t="s">
        <v>2417</v>
      </c>
      <c r="P299" s="133" t="s">
        <v>2478</v>
      </c>
      <c r="Q299" s="133" t="s">
        <v>2417</v>
      </c>
      <c r="R299" s="133" t="s">
        <v>2417</v>
      </c>
      <c r="S299" s="133" t="s">
        <v>2417</v>
      </c>
      <c r="T299" s="133" t="s">
        <v>2417</v>
      </c>
      <c r="U299" s="133" t="s">
        <v>2417</v>
      </c>
      <c r="V299" s="133" t="s">
        <v>2417</v>
      </c>
      <c r="W299" s="133" t="s">
        <v>2417</v>
      </c>
      <c r="X299" s="133" t="s">
        <v>2417</v>
      </c>
      <c r="Y299" s="133" t="s">
        <v>2417</v>
      </c>
      <c r="Z299" s="133" t="s">
        <v>2417</v>
      </c>
      <c r="AA299" s="133" t="s">
        <v>2417</v>
      </c>
      <c r="AB299" s="133" t="s">
        <v>2417</v>
      </c>
      <c r="AC299" s="133" t="s">
        <v>2417</v>
      </c>
      <c r="AD299" s="133" t="s">
        <v>2417</v>
      </c>
      <c r="AE299" s="152"/>
    </row>
    <row r="300" spans="1:31" ht="13.2" hidden="1" outlineLevel="2">
      <c r="A300" s="68" t="s">
        <v>67</v>
      </c>
      <c r="B300" s="65"/>
      <c r="C300" s="396" t="s">
        <v>2501</v>
      </c>
      <c r="D300" s="351"/>
      <c r="E300" s="133" t="s">
        <v>2417</v>
      </c>
      <c r="F300" s="133" t="s">
        <v>2417</v>
      </c>
      <c r="G300" s="133" t="s">
        <v>2417</v>
      </c>
      <c r="H300" s="133" t="s">
        <v>2417</v>
      </c>
      <c r="I300" s="134" t="s">
        <v>2418</v>
      </c>
      <c r="J300" s="133" t="s">
        <v>2500</v>
      </c>
      <c r="K300" s="133" t="s">
        <v>2417</v>
      </c>
      <c r="L300" s="133" t="s">
        <v>2397</v>
      </c>
      <c r="M300" s="133" t="s">
        <v>2417</v>
      </c>
      <c r="N300" s="133" t="s">
        <v>2417</v>
      </c>
      <c r="O300" s="133" t="s">
        <v>2417</v>
      </c>
      <c r="P300" s="133" t="s">
        <v>2478</v>
      </c>
      <c r="Q300" s="133" t="s">
        <v>2417</v>
      </c>
      <c r="R300" s="133" t="s">
        <v>2417</v>
      </c>
      <c r="S300" s="133" t="s">
        <v>2417</v>
      </c>
      <c r="T300" s="133" t="s">
        <v>2417</v>
      </c>
      <c r="U300" s="133" t="s">
        <v>2417</v>
      </c>
      <c r="V300" s="133" t="s">
        <v>2417</v>
      </c>
      <c r="W300" s="133" t="s">
        <v>2417</v>
      </c>
      <c r="X300" s="133" t="s">
        <v>2417</v>
      </c>
      <c r="Y300" s="133" t="s">
        <v>2417</v>
      </c>
      <c r="Z300" s="133" t="s">
        <v>2417</v>
      </c>
      <c r="AA300" s="133" t="s">
        <v>2417</v>
      </c>
      <c r="AB300" s="133" t="s">
        <v>2417</v>
      </c>
      <c r="AC300" s="133" t="s">
        <v>2417</v>
      </c>
      <c r="AD300" s="133" t="s">
        <v>2417</v>
      </c>
      <c r="AE300" s="154"/>
    </row>
    <row r="301" spans="1:31" ht="13.2" hidden="1" outlineLevel="2">
      <c r="A301" s="68" t="s">
        <v>1091</v>
      </c>
      <c r="B301" s="62" t="s">
        <v>1092</v>
      </c>
      <c r="C301" s="387" t="s">
        <v>1093</v>
      </c>
      <c r="D301" s="351"/>
      <c r="E301" s="133" t="s">
        <v>2417</v>
      </c>
      <c r="F301" s="133" t="s">
        <v>2417</v>
      </c>
      <c r="G301" s="133" t="s">
        <v>2417</v>
      </c>
      <c r="H301" s="133" t="s">
        <v>2417</v>
      </c>
      <c r="I301" s="134" t="s">
        <v>2418</v>
      </c>
      <c r="J301" s="133" t="s">
        <v>2500</v>
      </c>
      <c r="K301" s="133" t="s">
        <v>2417</v>
      </c>
      <c r="L301" s="133" t="s">
        <v>2417</v>
      </c>
      <c r="M301" s="133" t="s">
        <v>2417</v>
      </c>
      <c r="N301" s="133" t="s">
        <v>2417</v>
      </c>
      <c r="O301" s="133" t="s">
        <v>2417</v>
      </c>
      <c r="P301" s="133" t="s">
        <v>2478</v>
      </c>
      <c r="Q301" s="133" t="s">
        <v>2417</v>
      </c>
      <c r="R301" s="133" t="s">
        <v>2417</v>
      </c>
      <c r="S301" s="133" t="s">
        <v>2417</v>
      </c>
      <c r="T301" s="133" t="s">
        <v>2417</v>
      </c>
      <c r="U301" s="133" t="s">
        <v>2417</v>
      </c>
      <c r="V301" s="133" t="s">
        <v>2417</v>
      </c>
      <c r="W301" s="133" t="s">
        <v>2417</v>
      </c>
      <c r="X301" s="133" t="s">
        <v>2417</v>
      </c>
      <c r="Y301" s="133" t="s">
        <v>2417</v>
      </c>
      <c r="Z301" s="133" t="s">
        <v>2417</v>
      </c>
      <c r="AA301" s="133" t="s">
        <v>2417</v>
      </c>
      <c r="AB301" s="133" t="s">
        <v>2417</v>
      </c>
      <c r="AC301" s="133" t="s">
        <v>2417</v>
      </c>
      <c r="AD301" s="133" t="s">
        <v>2417</v>
      </c>
      <c r="AE301" s="151"/>
    </row>
    <row r="302" spans="1:31" ht="20.399999999999999" hidden="1" outlineLevel="2">
      <c r="A302" s="68" t="s">
        <v>1094</v>
      </c>
      <c r="B302" s="80" t="s">
        <v>1095</v>
      </c>
      <c r="C302" s="387" t="s">
        <v>1096</v>
      </c>
      <c r="D302" s="351"/>
      <c r="E302" s="133" t="s">
        <v>2417</v>
      </c>
      <c r="F302" s="133" t="s">
        <v>2417</v>
      </c>
      <c r="G302" s="133" t="s">
        <v>2417</v>
      </c>
      <c r="H302" s="133" t="s">
        <v>2417</v>
      </c>
      <c r="I302" s="134" t="s">
        <v>2418</v>
      </c>
      <c r="J302" s="133" t="s">
        <v>2500</v>
      </c>
      <c r="K302" s="133" t="s">
        <v>2417</v>
      </c>
      <c r="L302" s="133" t="s">
        <v>2417</v>
      </c>
      <c r="M302" s="133" t="s">
        <v>2417</v>
      </c>
      <c r="N302" s="133" t="s">
        <v>2417</v>
      </c>
      <c r="O302" s="133" t="s">
        <v>2417</v>
      </c>
      <c r="P302" s="133" t="s">
        <v>2478</v>
      </c>
      <c r="Q302" s="133" t="s">
        <v>2417</v>
      </c>
      <c r="R302" s="133" t="s">
        <v>2417</v>
      </c>
      <c r="S302" s="133" t="s">
        <v>2417</v>
      </c>
      <c r="T302" s="133" t="s">
        <v>2417</v>
      </c>
      <c r="U302" s="133" t="s">
        <v>2417</v>
      </c>
      <c r="V302" s="133" t="s">
        <v>2417</v>
      </c>
      <c r="W302" s="133" t="s">
        <v>2417</v>
      </c>
      <c r="X302" s="133" t="s">
        <v>2417</v>
      </c>
      <c r="Y302" s="133" t="s">
        <v>2417</v>
      </c>
      <c r="Z302" s="133" t="s">
        <v>2417</v>
      </c>
      <c r="AA302" s="133" t="s">
        <v>2417</v>
      </c>
      <c r="AB302" s="133" t="s">
        <v>2417</v>
      </c>
      <c r="AC302" s="133" t="s">
        <v>2417</v>
      </c>
      <c r="AD302" s="133" t="s">
        <v>2417</v>
      </c>
      <c r="AE302" s="144"/>
    </row>
    <row r="303" spans="1:31" ht="20.399999999999999" hidden="1" outlineLevel="2">
      <c r="A303" s="68" t="s">
        <v>1097</v>
      </c>
      <c r="B303" s="80" t="s">
        <v>1098</v>
      </c>
      <c r="C303" s="387" t="s">
        <v>1096</v>
      </c>
      <c r="D303" s="351"/>
      <c r="E303" s="133" t="s">
        <v>2417</v>
      </c>
      <c r="F303" s="133" t="s">
        <v>2417</v>
      </c>
      <c r="G303" s="133" t="s">
        <v>2417</v>
      </c>
      <c r="H303" s="133" t="s">
        <v>2417</v>
      </c>
      <c r="I303" s="134" t="s">
        <v>2418</v>
      </c>
      <c r="J303" s="133" t="s">
        <v>2500</v>
      </c>
      <c r="K303" s="133" t="s">
        <v>2417</v>
      </c>
      <c r="L303" s="133" t="s">
        <v>2417</v>
      </c>
      <c r="M303" s="133" t="s">
        <v>2417</v>
      </c>
      <c r="N303" s="133" t="s">
        <v>2417</v>
      </c>
      <c r="O303" s="133" t="s">
        <v>2417</v>
      </c>
      <c r="P303" s="133" t="s">
        <v>2478</v>
      </c>
      <c r="Q303" s="133" t="s">
        <v>2417</v>
      </c>
      <c r="R303" s="133" t="s">
        <v>2417</v>
      </c>
      <c r="S303" s="133" t="s">
        <v>2417</v>
      </c>
      <c r="T303" s="133" t="s">
        <v>2417</v>
      </c>
      <c r="U303" s="133" t="s">
        <v>2417</v>
      </c>
      <c r="V303" s="133" t="s">
        <v>2417</v>
      </c>
      <c r="W303" s="133" t="s">
        <v>2417</v>
      </c>
      <c r="X303" s="133" t="s">
        <v>2417</v>
      </c>
      <c r="Y303" s="133" t="s">
        <v>2417</v>
      </c>
      <c r="Z303" s="133" t="s">
        <v>2417</v>
      </c>
      <c r="AA303" s="133" t="s">
        <v>2417</v>
      </c>
      <c r="AB303" s="133" t="s">
        <v>2417</v>
      </c>
      <c r="AC303" s="133" t="s">
        <v>2417</v>
      </c>
      <c r="AD303" s="133" t="s">
        <v>2417</v>
      </c>
      <c r="AE303" s="144"/>
    </row>
    <row r="304" spans="1:31" ht="13.2" hidden="1" outlineLevel="2">
      <c r="A304" s="68" t="s">
        <v>1099</v>
      </c>
      <c r="B304" s="63" t="s">
        <v>1100</v>
      </c>
      <c r="C304" s="387" t="s">
        <v>1101</v>
      </c>
      <c r="D304" s="351"/>
      <c r="E304" s="133" t="s">
        <v>2417</v>
      </c>
      <c r="F304" s="133" t="s">
        <v>2417</v>
      </c>
      <c r="G304" s="133" t="s">
        <v>2417</v>
      </c>
      <c r="H304" s="133" t="s">
        <v>2417</v>
      </c>
      <c r="I304" s="134" t="s">
        <v>2418</v>
      </c>
      <c r="J304" s="133" t="s">
        <v>2500</v>
      </c>
      <c r="K304" s="133" t="s">
        <v>2417</v>
      </c>
      <c r="L304" s="133" t="s">
        <v>2417</v>
      </c>
      <c r="M304" s="133" t="s">
        <v>2417</v>
      </c>
      <c r="N304" s="133" t="s">
        <v>2417</v>
      </c>
      <c r="O304" s="133" t="s">
        <v>2417</v>
      </c>
      <c r="P304" s="133" t="s">
        <v>2478</v>
      </c>
      <c r="Q304" s="133" t="s">
        <v>2417</v>
      </c>
      <c r="R304" s="133" t="s">
        <v>2417</v>
      </c>
      <c r="S304" s="133" t="s">
        <v>2417</v>
      </c>
      <c r="T304" s="133" t="s">
        <v>2417</v>
      </c>
      <c r="U304" s="133" t="s">
        <v>2417</v>
      </c>
      <c r="V304" s="133" t="s">
        <v>2417</v>
      </c>
      <c r="W304" s="133" t="s">
        <v>2417</v>
      </c>
      <c r="X304" s="133" t="s">
        <v>2417</v>
      </c>
      <c r="Y304" s="133" t="s">
        <v>2417</v>
      </c>
      <c r="Z304" s="133" t="s">
        <v>2417</v>
      </c>
      <c r="AA304" s="133" t="s">
        <v>2417</v>
      </c>
      <c r="AB304" s="133" t="s">
        <v>2417</v>
      </c>
      <c r="AC304" s="133" t="s">
        <v>2417</v>
      </c>
      <c r="AD304" s="133" t="s">
        <v>2417</v>
      </c>
      <c r="AE304" s="144"/>
    </row>
    <row r="305" spans="1:31" ht="13.2" hidden="1" outlineLevel="2">
      <c r="A305" s="68" t="s">
        <v>1102</v>
      </c>
      <c r="B305" s="63" t="s">
        <v>1103</v>
      </c>
      <c r="C305" s="387" t="s">
        <v>1104</v>
      </c>
      <c r="D305" s="351"/>
      <c r="E305" s="133" t="s">
        <v>2417</v>
      </c>
      <c r="F305" s="133" t="s">
        <v>2417</v>
      </c>
      <c r="G305" s="133" t="s">
        <v>2417</v>
      </c>
      <c r="H305" s="133" t="s">
        <v>2417</v>
      </c>
      <c r="I305" s="134" t="s">
        <v>2418</v>
      </c>
      <c r="J305" s="133" t="s">
        <v>2500</v>
      </c>
      <c r="K305" s="133" t="s">
        <v>2417</v>
      </c>
      <c r="L305" s="133" t="s">
        <v>2417</v>
      </c>
      <c r="M305" s="133" t="s">
        <v>2417</v>
      </c>
      <c r="N305" s="133" t="s">
        <v>2417</v>
      </c>
      <c r="O305" s="133" t="s">
        <v>2417</v>
      </c>
      <c r="P305" s="133" t="s">
        <v>2478</v>
      </c>
      <c r="Q305" s="133" t="s">
        <v>2417</v>
      </c>
      <c r="R305" s="133" t="s">
        <v>2417</v>
      </c>
      <c r="S305" s="133" t="s">
        <v>2417</v>
      </c>
      <c r="T305" s="133" t="s">
        <v>2417</v>
      </c>
      <c r="U305" s="133" t="s">
        <v>2417</v>
      </c>
      <c r="V305" s="133" t="s">
        <v>2417</v>
      </c>
      <c r="W305" s="133" t="s">
        <v>2417</v>
      </c>
      <c r="X305" s="133" t="s">
        <v>2417</v>
      </c>
      <c r="Y305" s="133" t="s">
        <v>2417</v>
      </c>
      <c r="Z305" s="133" t="s">
        <v>2417</v>
      </c>
      <c r="AA305" s="133" t="s">
        <v>2417</v>
      </c>
      <c r="AB305" s="133" t="s">
        <v>2417</v>
      </c>
      <c r="AC305" s="133" t="s">
        <v>2417</v>
      </c>
      <c r="AD305" s="133" t="s">
        <v>2417</v>
      </c>
      <c r="AE305" s="151"/>
    </row>
    <row r="306" spans="1:31" ht="13.2" hidden="1" outlineLevel="1">
      <c r="A306" s="384" t="s">
        <v>2502</v>
      </c>
      <c r="B306" s="350"/>
      <c r="C306" s="350"/>
      <c r="D306" s="351"/>
      <c r="E306" s="133" t="s">
        <v>2417</v>
      </c>
      <c r="F306" s="133" t="s">
        <v>2417</v>
      </c>
      <c r="G306" s="133" t="s">
        <v>2417</v>
      </c>
      <c r="H306" s="133" t="s">
        <v>2417</v>
      </c>
      <c r="I306" s="134" t="s">
        <v>2418</v>
      </c>
      <c r="J306" s="133" t="s">
        <v>2380</v>
      </c>
      <c r="K306" s="133" t="s">
        <v>2417</v>
      </c>
      <c r="L306" s="133" t="s">
        <v>2417</v>
      </c>
      <c r="M306" s="133" t="s">
        <v>2417</v>
      </c>
      <c r="N306" s="133" t="s">
        <v>2417</v>
      </c>
      <c r="O306" s="133" t="s">
        <v>2417</v>
      </c>
      <c r="P306" s="133" t="s">
        <v>2477</v>
      </c>
      <c r="Q306" s="133" t="s">
        <v>2417</v>
      </c>
      <c r="R306" s="133" t="s">
        <v>2417</v>
      </c>
      <c r="S306" s="133" t="s">
        <v>2417</v>
      </c>
      <c r="T306" s="133" t="s">
        <v>2417</v>
      </c>
      <c r="U306" s="133" t="s">
        <v>2417</v>
      </c>
      <c r="V306" s="133" t="s">
        <v>2417</v>
      </c>
      <c r="W306" s="133" t="s">
        <v>2417</v>
      </c>
      <c r="X306" s="133" t="s">
        <v>2417</v>
      </c>
      <c r="Y306" s="133" t="s">
        <v>2417</v>
      </c>
      <c r="Z306" s="133" t="s">
        <v>2417</v>
      </c>
      <c r="AA306" s="133" t="s">
        <v>2417</v>
      </c>
      <c r="AB306" s="133" t="s">
        <v>2417</v>
      </c>
      <c r="AC306" s="133" t="s">
        <v>2417</v>
      </c>
      <c r="AD306" s="133" t="s">
        <v>2417</v>
      </c>
      <c r="AE306" s="152"/>
    </row>
    <row r="307" spans="1:31" ht="13.2" hidden="1" outlineLevel="2">
      <c r="A307" s="68" t="s">
        <v>67</v>
      </c>
      <c r="B307" s="81"/>
      <c r="C307" s="396" t="s">
        <v>2503</v>
      </c>
      <c r="D307" s="351"/>
      <c r="E307" s="133" t="s">
        <v>2417</v>
      </c>
      <c r="F307" s="133" t="s">
        <v>2417</v>
      </c>
      <c r="G307" s="133" t="s">
        <v>2417</v>
      </c>
      <c r="H307" s="133" t="s">
        <v>2417</v>
      </c>
      <c r="I307" s="134" t="s">
        <v>2418</v>
      </c>
      <c r="J307" s="133" t="s">
        <v>2380</v>
      </c>
      <c r="K307" s="133" t="s">
        <v>2417</v>
      </c>
      <c r="L307" s="133" t="s">
        <v>2397</v>
      </c>
      <c r="M307" s="133" t="s">
        <v>2417</v>
      </c>
      <c r="N307" s="133" t="s">
        <v>2417</v>
      </c>
      <c r="O307" s="133" t="s">
        <v>2417</v>
      </c>
      <c r="P307" s="133" t="s">
        <v>2477</v>
      </c>
      <c r="Q307" s="133" t="s">
        <v>2417</v>
      </c>
      <c r="R307" s="133" t="s">
        <v>2417</v>
      </c>
      <c r="S307" s="133" t="s">
        <v>2417</v>
      </c>
      <c r="T307" s="133" t="s">
        <v>2417</v>
      </c>
      <c r="U307" s="133" t="s">
        <v>2417</v>
      </c>
      <c r="V307" s="133" t="s">
        <v>2417</v>
      </c>
      <c r="W307" s="133" t="s">
        <v>2417</v>
      </c>
      <c r="X307" s="133" t="s">
        <v>2417</v>
      </c>
      <c r="Y307" s="133" t="s">
        <v>2417</v>
      </c>
      <c r="Z307" s="133" t="s">
        <v>2417</v>
      </c>
      <c r="AA307" s="133" t="s">
        <v>2417</v>
      </c>
      <c r="AB307" s="133" t="s">
        <v>2417</v>
      </c>
      <c r="AC307" s="133" t="s">
        <v>2417</v>
      </c>
      <c r="AD307" s="133" t="s">
        <v>2417</v>
      </c>
      <c r="AE307" s="154"/>
    </row>
    <row r="308" spans="1:31" ht="20.399999999999999" hidden="1" outlineLevel="2">
      <c r="A308" s="68" t="s">
        <v>1091</v>
      </c>
      <c r="B308" s="82" t="s">
        <v>1098</v>
      </c>
      <c r="C308" s="387" t="s">
        <v>1107</v>
      </c>
      <c r="D308" s="351"/>
      <c r="E308" s="133" t="s">
        <v>2417</v>
      </c>
      <c r="F308" s="133" t="s">
        <v>2417</v>
      </c>
      <c r="G308" s="133" t="s">
        <v>2417</v>
      </c>
      <c r="H308" s="133" t="s">
        <v>2417</v>
      </c>
      <c r="I308" s="134" t="s">
        <v>2418</v>
      </c>
      <c r="J308" s="133" t="s">
        <v>2380</v>
      </c>
      <c r="K308" s="133" t="s">
        <v>2417</v>
      </c>
      <c r="L308" s="133" t="s">
        <v>2417</v>
      </c>
      <c r="M308" s="133" t="s">
        <v>2417</v>
      </c>
      <c r="N308" s="133" t="s">
        <v>2417</v>
      </c>
      <c r="O308" s="133" t="s">
        <v>2417</v>
      </c>
      <c r="P308" s="133" t="s">
        <v>2477</v>
      </c>
      <c r="Q308" s="133" t="s">
        <v>2417</v>
      </c>
      <c r="R308" s="133" t="s">
        <v>2417</v>
      </c>
      <c r="S308" s="133" t="s">
        <v>2417</v>
      </c>
      <c r="T308" s="133" t="s">
        <v>2417</v>
      </c>
      <c r="U308" s="133" t="s">
        <v>2417</v>
      </c>
      <c r="V308" s="133" t="s">
        <v>2417</v>
      </c>
      <c r="W308" s="133" t="s">
        <v>2417</v>
      </c>
      <c r="X308" s="133" t="s">
        <v>2417</v>
      </c>
      <c r="Y308" s="133" t="s">
        <v>2417</v>
      </c>
      <c r="Z308" s="133" t="s">
        <v>2417</v>
      </c>
      <c r="AA308" s="133" t="s">
        <v>2417</v>
      </c>
      <c r="AB308" s="133" t="s">
        <v>2417</v>
      </c>
      <c r="AC308" s="133" t="s">
        <v>2417</v>
      </c>
      <c r="AD308" s="133" t="s">
        <v>2417</v>
      </c>
      <c r="AE308" s="144"/>
    </row>
    <row r="309" spans="1:31" ht="20.399999999999999" hidden="1" outlineLevel="2">
      <c r="A309" s="68" t="s">
        <v>1094</v>
      </c>
      <c r="B309" s="83" t="s">
        <v>1108</v>
      </c>
      <c r="C309" s="387" t="s">
        <v>1109</v>
      </c>
      <c r="D309" s="351"/>
      <c r="E309" s="133" t="s">
        <v>2417</v>
      </c>
      <c r="F309" s="133" t="s">
        <v>2417</v>
      </c>
      <c r="G309" s="133" t="s">
        <v>2417</v>
      </c>
      <c r="H309" s="133" t="s">
        <v>2417</v>
      </c>
      <c r="I309" s="134" t="s">
        <v>2418</v>
      </c>
      <c r="J309" s="133" t="s">
        <v>2380</v>
      </c>
      <c r="K309" s="133" t="s">
        <v>2417</v>
      </c>
      <c r="L309" s="133" t="s">
        <v>2417</v>
      </c>
      <c r="M309" s="133" t="s">
        <v>2417</v>
      </c>
      <c r="N309" s="133" t="s">
        <v>2417</v>
      </c>
      <c r="O309" s="133" t="s">
        <v>2417</v>
      </c>
      <c r="P309" s="133" t="s">
        <v>2477</v>
      </c>
      <c r="Q309" s="133" t="s">
        <v>2417</v>
      </c>
      <c r="R309" s="133" t="s">
        <v>2417</v>
      </c>
      <c r="S309" s="133" t="s">
        <v>2417</v>
      </c>
      <c r="T309" s="133" t="s">
        <v>2417</v>
      </c>
      <c r="U309" s="133" t="s">
        <v>2417</v>
      </c>
      <c r="V309" s="133" t="s">
        <v>2417</v>
      </c>
      <c r="W309" s="133" t="s">
        <v>2417</v>
      </c>
      <c r="X309" s="133" t="s">
        <v>2417</v>
      </c>
      <c r="Y309" s="133" t="s">
        <v>2417</v>
      </c>
      <c r="Z309" s="133" t="s">
        <v>2417</v>
      </c>
      <c r="AA309" s="133" t="s">
        <v>2417</v>
      </c>
      <c r="AB309" s="133" t="s">
        <v>2417</v>
      </c>
      <c r="AC309" s="133" t="s">
        <v>2417</v>
      </c>
      <c r="AD309" s="133" t="s">
        <v>2417</v>
      </c>
      <c r="AE309" s="151"/>
    </row>
    <row r="310" spans="1:31" ht="13.2" hidden="1" outlineLevel="2">
      <c r="A310" s="68" t="s">
        <v>1097</v>
      </c>
      <c r="B310" s="63" t="s">
        <v>1103</v>
      </c>
      <c r="C310" s="387" t="s">
        <v>1104</v>
      </c>
      <c r="D310" s="351"/>
      <c r="E310" s="133" t="s">
        <v>2417</v>
      </c>
      <c r="F310" s="133" t="s">
        <v>2417</v>
      </c>
      <c r="G310" s="133" t="s">
        <v>2417</v>
      </c>
      <c r="H310" s="133" t="s">
        <v>2417</v>
      </c>
      <c r="I310" s="134" t="s">
        <v>2418</v>
      </c>
      <c r="J310" s="133" t="s">
        <v>2380</v>
      </c>
      <c r="K310" s="133" t="s">
        <v>2417</v>
      </c>
      <c r="L310" s="133" t="s">
        <v>2417</v>
      </c>
      <c r="M310" s="133" t="s">
        <v>2417</v>
      </c>
      <c r="N310" s="133" t="s">
        <v>2417</v>
      </c>
      <c r="O310" s="133" t="s">
        <v>2417</v>
      </c>
      <c r="P310" s="133" t="s">
        <v>2477</v>
      </c>
      <c r="Q310" s="133" t="s">
        <v>2417</v>
      </c>
      <c r="R310" s="133" t="s">
        <v>2417</v>
      </c>
      <c r="S310" s="133" t="s">
        <v>2417</v>
      </c>
      <c r="T310" s="133" t="s">
        <v>2417</v>
      </c>
      <c r="U310" s="133" t="s">
        <v>2417</v>
      </c>
      <c r="V310" s="133" t="s">
        <v>2417</v>
      </c>
      <c r="W310" s="133" t="s">
        <v>2417</v>
      </c>
      <c r="X310" s="133" t="s">
        <v>2417</v>
      </c>
      <c r="Y310" s="133" t="s">
        <v>2417</v>
      </c>
      <c r="Z310" s="133" t="s">
        <v>2417</v>
      </c>
      <c r="AA310" s="133" t="s">
        <v>2417</v>
      </c>
      <c r="AB310" s="133" t="s">
        <v>2417</v>
      </c>
      <c r="AC310" s="133" t="s">
        <v>2417</v>
      </c>
      <c r="AD310" s="133" t="s">
        <v>2417</v>
      </c>
      <c r="AE310" s="151"/>
    </row>
    <row r="311" spans="1:31" ht="13.2" hidden="1" outlineLevel="1">
      <c r="A311" s="384" t="s">
        <v>2504</v>
      </c>
      <c r="B311" s="350"/>
      <c r="C311" s="350"/>
      <c r="D311" s="351"/>
      <c r="E311" s="133" t="s">
        <v>2417</v>
      </c>
      <c r="F311" s="133" t="s">
        <v>2417</v>
      </c>
      <c r="G311" s="133" t="s">
        <v>2417</v>
      </c>
      <c r="H311" s="133" t="s">
        <v>2417</v>
      </c>
      <c r="I311" s="134" t="s">
        <v>2418</v>
      </c>
      <c r="J311" s="133" t="s">
        <v>2430</v>
      </c>
      <c r="K311" s="133" t="s">
        <v>2417</v>
      </c>
      <c r="L311" s="133" t="s">
        <v>2417</v>
      </c>
      <c r="M311" s="133" t="s">
        <v>2417</v>
      </c>
      <c r="N311" s="133" t="s">
        <v>2417</v>
      </c>
      <c r="O311" s="133" t="s">
        <v>2417</v>
      </c>
      <c r="P311" s="133" t="s">
        <v>2477</v>
      </c>
      <c r="Q311" s="133" t="s">
        <v>2417</v>
      </c>
      <c r="R311" s="133" t="s">
        <v>2417</v>
      </c>
      <c r="S311" s="133" t="s">
        <v>2417</v>
      </c>
      <c r="T311" s="133" t="s">
        <v>2417</v>
      </c>
      <c r="U311" s="133" t="s">
        <v>2417</v>
      </c>
      <c r="V311" s="133" t="s">
        <v>2417</v>
      </c>
      <c r="W311" s="133" t="s">
        <v>2417</v>
      </c>
      <c r="X311" s="133" t="s">
        <v>2417</v>
      </c>
      <c r="Y311" s="133" t="s">
        <v>2417</v>
      </c>
      <c r="Z311" s="133" t="s">
        <v>2417</v>
      </c>
      <c r="AA311" s="133" t="s">
        <v>2417</v>
      </c>
      <c r="AB311" s="133" t="s">
        <v>2417</v>
      </c>
      <c r="AC311" s="133" t="s">
        <v>2417</v>
      </c>
      <c r="AD311" s="133" t="s">
        <v>2417</v>
      </c>
      <c r="AE311" s="152"/>
    </row>
    <row r="312" spans="1:31" ht="13.2" hidden="1" outlineLevel="2">
      <c r="A312" s="68" t="s">
        <v>67</v>
      </c>
      <c r="B312" s="81"/>
      <c r="C312" s="396" t="s">
        <v>2505</v>
      </c>
      <c r="D312" s="351"/>
      <c r="E312" s="133" t="s">
        <v>2417</v>
      </c>
      <c r="F312" s="133" t="s">
        <v>2417</v>
      </c>
      <c r="G312" s="133" t="s">
        <v>2417</v>
      </c>
      <c r="H312" s="133" t="s">
        <v>2417</v>
      </c>
      <c r="I312" s="134" t="s">
        <v>2418</v>
      </c>
      <c r="J312" s="133" t="s">
        <v>2430</v>
      </c>
      <c r="K312" s="133" t="s">
        <v>2417</v>
      </c>
      <c r="L312" s="133" t="s">
        <v>2397</v>
      </c>
      <c r="M312" s="133" t="s">
        <v>2417</v>
      </c>
      <c r="N312" s="133" t="s">
        <v>2417</v>
      </c>
      <c r="O312" s="133" t="s">
        <v>2417</v>
      </c>
      <c r="P312" s="133" t="s">
        <v>2477</v>
      </c>
      <c r="Q312" s="133" t="s">
        <v>2417</v>
      </c>
      <c r="R312" s="133" t="s">
        <v>2417</v>
      </c>
      <c r="S312" s="133" t="s">
        <v>2417</v>
      </c>
      <c r="T312" s="133" t="s">
        <v>2417</v>
      </c>
      <c r="U312" s="133" t="s">
        <v>2417</v>
      </c>
      <c r="V312" s="133" t="s">
        <v>2417</v>
      </c>
      <c r="W312" s="133" t="s">
        <v>2417</v>
      </c>
      <c r="X312" s="133" t="s">
        <v>2417</v>
      </c>
      <c r="Y312" s="133" t="s">
        <v>2417</v>
      </c>
      <c r="Z312" s="133" t="s">
        <v>2417</v>
      </c>
      <c r="AA312" s="133" t="s">
        <v>2417</v>
      </c>
      <c r="AB312" s="133" t="s">
        <v>2417</v>
      </c>
      <c r="AC312" s="133" t="s">
        <v>2417</v>
      </c>
      <c r="AD312" s="133" t="s">
        <v>2417</v>
      </c>
      <c r="AE312" s="154"/>
    </row>
    <row r="313" spans="1:31" ht="20.399999999999999" hidden="1" outlineLevel="2">
      <c r="A313" s="68" t="s">
        <v>1091</v>
      </c>
      <c r="B313" s="82" t="s">
        <v>1098</v>
      </c>
      <c r="C313" s="387" t="s">
        <v>1107</v>
      </c>
      <c r="D313" s="351"/>
      <c r="E313" s="133" t="s">
        <v>2417</v>
      </c>
      <c r="F313" s="133" t="s">
        <v>2417</v>
      </c>
      <c r="G313" s="133" t="s">
        <v>2417</v>
      </c>
      <c r="H313" s="133" t="s">
        <v>2417</v>
      </c>
      <c r="I313" s="134" t="s">
        <v>2418</v>
      </c>
      <c r="J313" s="133" t="s">
        <v>2430</v>
      </c>
      <c r="K313" s="133" t="s">
        <v>2417</v>
      </c>
      <c r="L313" s="133" t="s">
        <v>2417</v>
      </c>
      <c r="M313" s="133" t="s">
        <v>2417</v>
      </c>
      <c r="N313" s="133" t="s">
        <v>2417</v>
      </c>
      <c r="O313" s="133" t="s">
        <v>2417</v>
      </c>
      <c r="P313" s="133" t="s">
        <v>2477</v>
      </c>
      <c r="Q313" s="133" t="s">
        <v>2417</v>
      </c>
      <c r="R313" s="133" t="s">
        <v>2417</v>
      </c>
      <c r="S313" s="133" t="s">
        <v>2417</v>
      </c>
      <c r="T313" s="133" t="s">
        <v>2417</v>
      </c>
      <c r="U313" s="133" t="s">
        <v>2417</v>
      </c>
      <c r="V313" s="133" t="s">
        <v>2417</v>
      </c>
      <c r="W313" s="133" t="s">
        <v>2417</v>
      </c>
      <c r="X313" s="133" t="s">
        <v>2417</v>
      </c>
      <c r="Y313" s="133" t="s">
        <v>2417</v>
      </c>
      <c r="Z313" s="133" t="s">
        <v>2417</v>
      </c>
      <c r="AA313" s="133" t="s">
        <v>2417</v>
      </c>
      <c r="AB313" s="133" t="s">
        <v>2417</v>
      </c>
      <c r="AC313" s="133" t="s">
        <v>2417</v>
      </c>
      <c r="AD313" s="133" t="s">
        <v>2417</v>
      </c>
      <c r="AE313" s="144"/>
    </row>
    <row r="314" spans="1:31" ht="20.399999999999999" hidden="1" outlineLevel="2">
      <c r="A314" s="68" t="s">
        <v>1094</v>
      </c>
      <c r="B314" s="63" t="s">
        <v>1108</v>
      </c>
      <c r="C314" s="387" t="s">
        <v>1109</v>
      </c>
      <c r="D314" s="351"/>
      <c r="E314" s="133" t="s">
        <v>2417</v>
      </c>
      <c r="F314" s="133" t="s">
        <v>2417</v>
      </c>
      <c r="G314" s="133" t="s">
        <v>2417</v>
      </c>
      <c r="H314" s="133" t="s">
        <v>2417</v>
      </c>
      <c r="I314" s="134" t="s">
        <v>2418</v>
      </c>
      <c r="J314" s="133" t="s">
        <v>2430</v>
      </c>
      <c r="K314" s="133" t="s">
        <v>2417</v>
      </c>
      <c r="L314" s="133" t="s">
        <v>2417</v>
      </c>
      <c r="M314" s="133" t="s">
        <v>2417</v>
      </c>
      <c r="N314" s="133" t="s">
        <v>2417</v>
      </c>
      <c r="O314" s="133" t="s">
        <v>2417</v>
      </c>
      <c r="P314" s="133" t="s">
        <v>2477</v>
      </c>
      <c r="Q314" s="133" t="s">
        <v>2417</v>
      </c>
      <c r="R314" s="133" t="s">
        <v>2417</v>
      </c>
      <c r="S314" s="133" t="s">
        <v>2417</v>
      </c>
      <c r="T314" s="133" t="s">
        <v>2417</v>
      </c>
      <c r="U314" s="133" t="s">
        <v>2417</v>
      </c>
      <c r="V314" s="133" t="s">
        <v>2417</v>
      </c>
      <c r="W314" s="133" t="s">
        <v>2417</v>
      </c>
      <c r="X314" s="133" t="s">
        <v>2417</v>
      </c>
      <c r="Y314" s="133" t="s">
        <v>2417</v>
      </c>
      <c r="Z314" s="133" t="s">
        <v>2417</v>
      </c>
      <c r="AA314" s="133" t="s">
        <v>2417</v>
      </c>
      <c r="AB314" s="133" t="s">
        <v>2417</v>
      </c>
      <c r="AC314" s="133" t="s">
        <v>2417</v>
      </c>
      <c r="AD314" s="133" t="s">
        <v>2417</v>
      </c>
      <c r="AE314" s="151"/>
    </row>
    <row r="315" spans="1:31" ht="13.2" hidden="1" outlineLevel="2">
      <c r="A315" s="68" t="s">
        <v>1097</v>
      </c>
      <c r="B315" s="63" t="s">
        <v>1103</v>
      </c>
      <c r="C315" s="387" t="s">
        <v>1104</v>
      </c>
      <c r="D315" s="351"/>
      <c r="E315" s="133" t="s">
        <v>2417</v>
      </c>
      <c r="F315" s="133" t="s">
        <v>2417</v>
      </c>
      <c r="G315" s="133" t="s">
        <v>2417</v>
      </c>
      <c r="H315" s="133" t="s">
        <v>2417</v>
      </c>
      <c r="I315" s="134" t="s">
        <v>2418</v>
      </c>
      <c r="J315" s="133" t="s">
        <v>2430</v>
      </c>
      <c r="K315" s="133" t="s">
        <v>2417</v>
      </c>
      <c r="L315" s="133" t="s">
        <v>2417</v>
      </c>
      <c r="M315" s="133" t="s">
        <v>2417</v>
      </c>
      <c r="N315" s="133" t="s">
        <v>2417</v>
      </c>
      <c r="O315" s="133" t="s">
        <v>2417</v>
      </c>
      <c r="P315" s="133" t="s">
        <v>2477</v>
      </c>
      <c r="Q315" s="133" t="s">
        <v>2417</v>
      </c>
      <c r="R315" s="133" t="s">
        <v>2417</v>
      </c>
      <c r="S315" s="133" t="s">
        <v>2417</v>
      </c>
      <c r="T315" s="133" t="s">
        <v>2417</v>
      </c>
      <c r="U315" s="133" t="s">
        <v>2417</v>
      </c>
      <c r="V315" s="133" t="s">
        <v>2417</v>
      </c>
      <c r="W315" s="133" t="s">
        <v>2417</v>
      </c>
      <c r="X315" s="133" t="s">
        <v>2417</v>
      </c>
      <c r="Y315" s="133" t="s">
        <v>2417</v>
      </c>
      <c r="Z315" s="133" t="s">
        <v>2417</v>
      </c>
      <c r="AA315" s="133" t="s">
        <v>2417</v>
      </c>
      <c r="AB315" s="133" t="s">
        <v>2417</v>
      </c>
      <c r="AC315" s="133" t="s">
        <v>2417</v>
      </c>
      <c r="AD315" s="133" t="s">
        <v>2417</v>
      </c>
      <c r="AE315" s="151"/>
    </row>
    <row r="316" spans="1:31" ht="13.2" hidden="1" outlineLevel="1">
      <c r="A316" s="384" t="s">
        <v>2506</v>
      </c>
      <c r="B316" s="350"/>
      <c r="C316" s="350"/>
      <c r="D316" s="351"/>
      <c r="E316" s="133" t="s">
        <v>2417</v>
      </c>
      <c r="F316" s="133" t="s">
        <v>2417</v>
      </c>
      <c r="G316" s="133" t="s">
        <v>2417</v>
      </c>
      <c r="H316" s="133" t="s">
        <v>2417</v>
      </c>
      <c r="I316" s="134" t="s">
        <v>2418</v>
      </c>
      <c r="J316" s="133" t="s">
        <v>2490</v>
      </c>
      <c r="K316" s="133" t="s">
        <v>2417</v>
      </c>
      <c r="L316" s="133" t="s">
        <v>2417</v>
      </c>
      <c r="M316" s="133" t="s">
        <v>2417</v>
      </c>
      <c r="N316" s="133" t="s">
        <v>2417</v>
      </c>
      <c r="O316" s="133" t="s">
        <v>2417</v>
      </c>
      <c r="P316" s="133" t="s">
        <v>2477</v>
      </c>
      <c r="Q316" s="133" t="s">
        <v>2417</v>
      </c>
      <c r="R316" s="133" t="s">
        <v>2417</v>
      </c>
      <c r="S316" s="133" t="s">
        <v>2417</v>
      </c>
      <c r="T316" s="133" t="s">
        <v>2417</v>
      </c>
      <c r="U316" s="133" t="s">
        <v>2417</v>
      </c>
      <c r="V316" s="133" t="s">
        <v>2417</v>
      </c>
      <c r="W316" s="133" t="s">
        <v>2417</v>
      </c>
      <c r="X316" s="133" t="s">
        <v>2417</v>
      </c>
      <c r="Y316" s="133" t="s">
        <v>2417</v>
      </c>
      <c r="Z316" s="133" t="s">
        <v>2417</v>
      </c>
      <c r="AA316" s="133" t="s">
        <v>2417</v>
      </c>
      <c r="AB316" s="133" t="s">
        <v>2417</v>
      </c>
      <c r="AC316" s="133" t="s">
        <v>2417</v>
      </c>
      <c r="AD316" s="133" t="s">
        <v>2417</v>
      </c>
      <c r="AE316" s="152"/>
    </row>
    <row r="317" spans="1:31" ht="13.2" hidden="1" outlineLevel="2">
      <c r="A317" s="68" t="s">
        <v>67</v>
      </c>
      <c r="B317" s="81"/>
      <c r="C317" s="396" t="s">
        <v>2507</v>
      </c>
      <c r="D317" s="351"/>
      <c r="E317" s="133" t="s">
        <v>2417</v>
      </c>
      <c r="F317" s="133" t="s">
        <v>2417</v>
      </c>
      <c r="G317" s="133" t="s">
        <v>2417</v>
      </c>
      <c r="H317" s="133" t="s">
        <v>2417</v>
      </c>
      <c r="I317" s="134" t="s">
        <v>2418</v>
      </c>
      <c r="J317" s="133" t="s">
        <v>2490</v>
      </c>
      <c r="K317" s="133" t="s">
        <v>2417</v>
      </c>
      <c r="L317" s="133" t="s">
        <v>2397</v>
      </c>
      <c r="M317" s="133" t="s">
        <v>2417</v>
      </c>
      <c r="N317" s="133" t="s">
        <v>2417</v>
      </c>
      <c r="O317" s="133" t="s">
        <v>2417</v>
      </c>
      <c r="P317" s="133" t="s">
        <v>2477</v>
      </c>
      <c r="Q317" s="133" t="s">
        <v>2417</v>
      </c>
      <c r="R317" s="133" t="s">
        <v>2417</v>
      </c>
      <c r="S317" s="133" t="s">
        <v>2417</v>
      </c>
      <c r="T317" s="133" t="s">
        <v>2417</v>
      </c>
      <c r="U317" s="133" t="s">
        <v>2417</v>
      </c>
      <c r="V317" s="133" t="s">
        <v>2417</v>
      </c>
      <c r="W317" s="133" t="s">
        <v>2417</v>
      </c>
      <c r="X317" s="133" t="s">
        <v>2417</v>
      </c>
      <c r="Y317" s="133" t="s">
        <v>2417</v>
      </c>
      <c r="Z317" s="133" t="s">
        <v>2417</v>
      </c>
      <c r="AA317" s="133" t="s">
        <v>2417</v>
      </c>
      <c r="AB317" s="133" t="s">
        <v>2417</v>
      </c>
      <c r="AC317" s="133" t="s">
        <v>2417</v>
      </c>
      <c r="AD317" s="133" t="s">
        <v>2417</v>
      </c>
      <c r="AE317" s="154"/>
    </row>
    <row r="318" spans="1:31" ht="20.399999999999999" hidden="1" outlineLevel="2">
      <c r="A318" s="68" t="s">
        <v>1091</v>
      </c>
      <c r="B318" s="82" t="s">
        <v>1098</v>
      </c>
      <c r="C318" s="387" t="s">
        <v>1107</v>
      </c>
      <c r="D318" s="351"/>
      <c r="E318" s="133" t="s">
        <v>2417</v>
      </c>
      <c r="F318" s="133" t="s">
        <v>2417</v>
      </c>
      <c r="G318" s="133" t="s">
        <v>2417</v>
      </c>
      <c r="H318" s="133" t="s">
        <v>2417</v>
      </c>
      <c r="I318" s="134" t="s">
        <v>2418</v>
      </c>
      <c r="J318" s="133" t="s">
        <v>2490</v>
      </c>
      <c r="K318" s="133" t="s">
        <v>2417</v>
      </c>
      <c r="L318" s="133" t="s">
        <v>2417</v>
      </c>
      <c r="M318" s="133" t="s">
        <v>2417</v>
      </c>
      <c r="N318" s="133" t="s">
        <v>2417</v>
      </c>
      <c r="O318" s="133" t="s">
        <v>2417</v>
      </c>
      <c r="P318" s="133" t="s">
        <v>2477</v>
      </c>
      <c r="Q318" s="133" t="s">
        <v>2417</v>
      </c>
      <c r="R318" s="133" t="s">
        <v>2417</v>
      </c>
      <c r="S318" s="133" t="s">
        <v>2417</v>
      </c>
      <c r="T318" s="133" t="s">
        <v>2417</v>
      </c>
      <c r="U318" s="133" t="s">
        <v>2417</v>
      </c>
      <c r="V318" s="133" t="s">
        <v>2417</v>
      </c>
      <c r="W318" s="133" t="s">
        <v>2417</v>
      </c>
      <c r="X318" s="133" t="s">
        <v>2417</v>
      </c>
      <c r="Y318" s="133" t="s">
        <v>2417</v>
      </c>
      <c r="Z318" s="133" t="s">
        <v>2417</v>
      </c>
      <c r="AA318" s="133" t="s">
        <v>2417</v>
      </c>
      <c r="AB318" s="133" t="s">
        <v>2417</v>
      </c>
      <c r="AC318" s="133" t="s">
        <v>2417</v>
      </c>
      <c r="AD318" s="133" t="s">
        <v>2417</v>
      </c>
      <c r="AE318" s="144"/>
    </row>
    <row r="319" spans="1:31" ht="20.399999999999999" hidden="1" outlineLevel="2">
      <c r="A319" s="68" t="s">
        <v>1094</v>
      </c>
      <c r="B319" s="83" t="s">
        <v>1108</v>
      </c>
      <c r="C319" s="387" t="s">
        <v>1109</v>
      </c>
      <c r="D319" s="351"/>
      <c r="E319" s="133" t="s">
        <v>2417</v>
      </c>
      <c r="F319" s="133" t="s">
        <v>2417</v>
      </c>
      <c r="G319" s="133" t="s">
        <v>2417</v>
      </c>
      <c r="H319" s="133" t="s">
        <v>2417</v>
      </c>
      <c r="I319" s="134" t="s">
        <v>2418</v>
      </c>
      <c r="J319" s="133" t="s">
        <v>2490</v>
      </c>
      <c r="K319" s="133" t="s">
        <v>2417</v>
      </c>
      <c r="L319" s="133" t="s">
        <v>2417</v>
      </c>
      <c r="M319" s="133" t="s">
        <v>2417</v>
      </c>
      <c r="N319" s="133" t="s">
        <v>2417</v>
      </c>
      <c r="O319" s="133" t="s">
        <v>2417</v>
      </c>
      <c r="P319" s="133" t="s">
        <v>2477</v>
      </c>
      <c r="Q319" s="133" t="s">
        <v>2417</v>
      </c>
      <c r="R319" s="133" t="s">
        <v>2417</v>
      </c>
      <c r="S319" s="133" t="s">
        <v>2417</v>
      </c>
      <c r="T319" s="133" t="s">
        <v>2417</v>
      </c>
      <c r="U319" s="133" t="s">
        <v>2417</v>
      </c>
      <c r="V319" s="133" t="s">
        <v>2417</v>
      </c>
      <c r="W319" s="133" t="s">
        <v>2417</v>
      </c>
      <c r="X319" s="133" t="s">
        <v>2417</v>
      </c>
      <c r="Y319" s="133" t="s">
        <v>2417</v>
      </c>
      <c r="Z319" s="133" t="s">
        <v>2417</v>
      </c>
      <c r="AA319" s="133" t="s">
        <v>2417</v>
      </c>
      <c r="AB319" s="133" t="s">
        <v>2417</v>
      </c>
      <c r="AC319" s="133" t="s">
        <v>2417</v>
      </c>
      <c r="AD319" s="133" t="s">
        <v>2417</v>
      </c>
      <c r="AE319" s="151"/>
    </row>
    <row r="320" spans="1:31" ht="13.2" hidden="1" outlineLevel="2">
      <c r="A320" s="68" t="s">
        <v>1097</v>
      </c>
      <c r="B320" s="63" t="s">
        <v>1103</v>
      </c>
      <c r="C320" s="387" t="s">
        <v>1104</v>
      </c>
      <c r="D320" s="351"/>
      <c r="E320" s="133" t="s">
        <v>2417</v>
      </c>
      <c r="F320" s="133" t="s">
        <v>2417</v>
      </c>
      <c r="G320" s="133" t="s">
        <v>2417</v>
      </c>
      <c r="H320" s="133" t="s">
        <v>2417</v>
      </c>
      <c r="I320" s="134" t="s">
        <v>2418</v>
      </c>
      <c r="J320" s="133" t="s">
        <v>2490</v>
      </c>
      <c r="K320" s="133" t="s">
        <v>2417</v>
      </c>
      <c r="L320" s="133" t="s">
        <v>2417</v>
      </c>
      <c r="M320" s="133" t="s">
        <v>2417</v>
      </c>
      <c r="N320" s="133" t="s">
        <v>2417</v>
      </c>
      <c r="O320" s="133" t="s">
        <v>2417</v>
      </c>
      <c r="P320" s="133" t="s">
        <v>2477</v>
      </c>
      <c r="Q320" s="133" t="s">
        <v>2417</v>
      </c>
      <c r="R320" s="133" t="s">
        <v>2417</v>
      </c>
      <c r="S320" s="133" t="s">
        <v>2417</v>
      </c>
      <c r="T320" s="133" t="s">
        <v>2417</v>
      </c>
      <c r="U320" s="133" t="s">
        <v>2417</v>
      </c>
      <c r="V320" s="133" t="s">
        <v>2417</v>
      </c>
      <c r="W320" s="133" t="s">
        <v>2417</v>
      </c>
      <c r="X320" s="133" t="s">
        <v>2417</v>
      </c>
      <c r="Y320" s="133" t="s">
        <v>2417</v>
      </c>
      <c r="Z320" s="133" t="s">
        <v>2417</v>
      </c>
      <c r="AA320" s="133" t="s">
        <v>2417</v>
      </c>
      <c r="AB320" s="133" t="s">
        <v>2417</v>
      </c>
      <c r="AC320" s="133" t="s">
        <v>2417</v>
      </c>
      <c r="AD320" s="133" t="s">
        <v>2417</v>
      </c>
      <c r="AE320" s="151"/>
    </row>
    <row r="321" spans="1:31" ht="13.2" hidden="1" outlineLevel="1">
      <c r="A321" s="384" t="s">
        <v>2508</v>
      </c>
      <c r="B321" s="350"/>
      <c r="C321" s="350"/>
      <c r="D321" s="351"/>
      <c r="E321" s="133" t="s">
        <v>2417</v>
      </c>
      <c r="F321" s="133" t="s">
        <v>2417</v>
      </c>
      <c r="G321" s="133" t="s">
        <v>2417</v>
      </c>
      <c r="H321" s="133" t="s">
        <v>2417</v>
      </c>
      <c r="I321" s="134" t="s">
        <v>2418</v>
      </c>
      <c r="J321" s="133" t="s">
        <v>2493</v>
      </c>
      <c r="K321" s="133" t="s">
        <v>2417</v>
      </c>
      <c r="L321" s="133" t="s">
        <v>2417</v>
      </c>
      <c r="M321" s="133" t="s">
        <v>2417</v>
      </c>
      <c r="N321" s="133" t="s">
        <v>2417</v>
      </c>
      <c r="O321" s="133" t="s">
        <v>2417</v>
      </c>
      <c r="P321" s="133" t="s">
        <v>2477</v>
      </c>
      <c r="Q321" s="133" t="s">
        <v>2417</v>
      </c>
      <c r="R321" s="133" t="s">
        <v>2417</v>
      </c>
      <c r="S321" s="133" t="s">
        <v>2417</v>
      </c>
      <c r="T321" s="133" t="s">
        <v>2417</v>
      </c>
      <c r="U321" s="133" t="s">
        <v>2417</v>
      </c>
      <c r="V321" s="133" t="s">
        <v>2417</v>
      </c>
      <c r="W321" s="133" t="s">
        <v>2417</v>
      </c>
      <c r="X321" s="133" t="s">
        <v>2417</v>
      </c>
      <c r="Y321" s="133" t="s">
        <v>2417</v>
      </c>
      <c r="Z321" s="133" t="s">
        <v>2417</v>
      </c>
      <c r="AA321" s="133" t="s">
        <v>2417</v>
      </c>
      <c r="AB321" s="133" t="s">
        <v>2417</v>
      </c>
      <c r="AC321" s="133" t="s">
        <v>2417</v>
      </c>
      <c r="AD321" s="133" t="s">
        <v>2417</v>
      </c>
      <c r="AE321" s="152"/>
    </row>
    <row r="322" spans="1:31" ht="13.2" hidden="1" outlineLevel="2">
      <c r="A322" s="68" t="s">
        <v>67</v>
      </c>
      <c r="B322" s="81"/>
      <c r="C322" s="396" t="s">
        <v>2509</v>
      </c>
      <c r="D322" s="351"/>
      <c r="E322" s="133" t="s">
        <v>2417</v>
      </c>
      <c r="F322" s="133" t="s">
        <v>2417</v>
      </c>
      <c r="G322" s="133" t="s">
        <v>2417</v>
      </c>
      <c r="H322" s="133" t="s">
        <v>2417</v>
      </c>
      <c r="I322" s="134" t="s">
        <v>2418</v>
      </c>
      <c r="J322" s="133" t="s">
        <v>2493</v>
      </c>
      <c r="K322" s="133" t="s">
        <v>2417</v>
      </c>
      <c r="L322" s="133" t="s">
        <v>2397</v>
      </c>
      <c r="M322" s="133" t="s">
        <v>2417</v>
      </c>
      <c r="N322" s="133" t="s">
        <v>2417</v>
      </c>
      <c r="O322" s="133" t="s">
        <v>2417</v>
      </c>
      <c r="P322" s="133" t="s">
        <v>2477</v>
      </c>
      <c r="Q322" s="133" t="s">
        <v>2417</v>
      </c>
      <c r="R322" s="133" t="s">
        <v>2417</v>
      </c>
      <c r="S322" s="133" t="s">
        <v>2417</v>
      </c>
      <c r="T322" s="133" t="s">
        <v>2417</v>
      </c>
      <c r="U322" s="133" t="s">
        <v>2417</v>
      </c>
      <c r="V322" s="133" t="s">
        <v>2417</v>
      </c>
      <c r="W322" s="133" t="s">
        <v>2417</v>
      </c>
      <c r="X322" s="133" t="s">
        <v>2417</v>
      </c>
      <c r="Y322" s="133" t="s">
        <v>2417</v>
      </c>
      <c r="Z322" s="133" t="s">
        <v>2417</v>
      </c>
      <c r="AA322" s="133" t="s">
        <v>2417</v>
      </c>
      <c r="AB322" s="133" t="s">
        <v>2417</v>
      </c>
      <c r="AC322" s="133" t="s">
        <v>2417</v>
      </c>
      <c r="AD322" s="133" t="s">
        <v>2417</v>
      </c>
      <c r="AE322" s="154"/>
    </row>
    <row r="323" spans="1:31" ht="20.399999999999999" hidden="1" outlineLevel="2">
      <c r="A323" s="68" t="s">
        <v>1091</v>
      </c>
      <c r="B323" s="82" t="s">
        <v>1098</v>
      </c>
      <c r="C323" s="387" t="s">
        <v>1107</v>
      </c>
      <c r="D323" s="351"/>
      <c r="E323" s="133" t="s">
        <v>2417</v>
      </c>
      <c r="F323" s="133" t="s">
        <v>2417</v>
      </c>
      <c r="G323" s="133" t="s">
        <v>2417</v>
      </c>
      <c r="H323" s="133" t="s">
        <v>2417</v>
      </c>
      <c r="I323" s="134" t="s">
        <v>2418</v>
      </c>
      <c r="J323" s="133" t="s">
        <v>2493</v>
      </c>
      <c r="K323" s="133" t="s">
        <v>2417</v>
      </c>
      <c r="L323" s="133" t="s">
        <v>2417</v>
      </c>
      <c r="M323" s="133" t="s">
        <v>2417</v>
      </c>
      <c r="N323" s="133" t="s">
        <v>2417</v>
      </c>
      <c r="O323" s="133" t="s">
        <v>2417</v>
      </c>
      <c r="P323" s="133" t="s">
        <v>2477</v>
      </c>
      <c r="Q323" s="133" t="s">
        <v>2417</v>
      </c>
      <c r="R323" s="133" t="s">
        <v>2417</v>
      </c>
      <c r="S323" s="133" t="s">
        <v>2417</v>
      </c>
      <c r="T323" s="133" t="s">
        <v>2417</v>
      </c>
      <c r="U323" s="133" t="s">
        <v>2417</v>
      </c>
      <c r="V323" s="133" t="s">
        <v>2417</v>
      </c>
      <c r="W323" s="133" t="s">
        <v>2417</v>
      </c>
      <c r="X323" s="133" t="s">
        <v>2417</v>
      </c>
      <c r="Y323" s="133" t="s">
        <v>2417</v>
      </c>
      <c r="Z323" s="133" t="s">
        <v>2417</v>
      </c>
      <c r="AA323" s="133" t="s">
        <v>2417</v>
      </c>
      <c r="AB323" s="133" t="s">
        <v>2417</v>
      </c>
      <c r="AC323" s="133" t="s">
        <v>2417</v>
      </c>
      <c r="AD323" s="133" t="s">
        <v>2417</v>
      </c>
      <c r="AE323" s="144"/>
    </row>
    <row r="324" spans="1:31" ht="20.399999999999999" hidden="1" outlineLevel="2">
      <c r="A324" s="68" t="s">
        <v>1094</v>
      </c>
      <c r="B324" s="83" t="s">
        <v>1108</v>
      </c>
      <c r="C324" s="387" t="s">
        <v>1109</v>
      </c>
      <c r="D324" s="351"/>
      <c r="E324" s="133" t="s">
        <v>2417</v>
      </c>
      <c r="F324" s="133" t="s">
        <v>2417</v>
      </c>
      <c r="G324" s="133" t="s">
        <v>2417</v>
      </c>
      <c r="H324" s="133" t="s">
        <v>2417</v>
      </c>
      <c r="I324" s="134" t="s">
        <v>2418</v>
      </c>
      <c r="J324" s="133" t="s">
        <v>2493</v>
      </c>
      <c r="K324" s="133" t="s">
        <v>2417</v>
      </c>
      <c r="L324" s="133" t="s">
        <v>2417</v>
      </c>
      <c r="M324" s="133" t="s">
        <v>2417</v>
      </c>
      <c r="N324" s="133" t="s">
        <v>2417</v>
      </c>
      <c r="O324" s="133" t="s">
        <v>2417</v>
      </c>
      <c r="P324" s="133" t="s">
        <v>2477</v>
      </c>
      <c r="Q324" s="133" t="s">
        <v>2417</v>
      </c>
      <c r="R324" s="133" t="s">
        <v>2417</v>
      </c>
      <c r="S324" s="133" t="s">
        <v>2417</v>
      </c>
      <c r="T324" s="133" t="s">
        <v>2417</v>
      </c>
      <c r="U324" s="133" t="s">
        <v>2417</v>
      </c>
      <c r="V324" s="133" t="s">
        <v>2417</v>
      </c>
      <c r="W324" s="133" t="s">
        <v>2417</v>
      </c>
      <c r="X324" s="133" t="s">
        <v>2417</v>
      </c>
      <c r="Y324" s="133" t="s">
        <v>2417</v>
      </c>
      <c r="Z324" s="133" t="s">
        <v>2417</v>
      </c>
      <c r="AA324" s="133" t="s">
        <v>2417</v>
      </c>
      <c r="AB324" s="133" t="s">
        <v>2417</v>
      </c>
      <c r="AC324" s="133" t="s">
        <v>2417</v>
      </c>
      <c r="AD324" s="133" t="s">
        <v>2417</v>
      </c>
      <c r="AE324" s="151"/>
    </row>
    <row r="325" spans="1:31" ht="13.2" hidden="1" outlineLevel="2">
      <c r="A325" s="68" t="s">
        <v>1097</v>
      </c>
      <c r="B325" s="63" t="s">
        <v>1103</v>
      </c>
      <c r="C325" s="387" t="s">
        <v>1104</v>
      </c>
      <c r="D325" s="351"/>
      <c r="E325" s="133" t="s">
        <v>2417</v>
      </c>
      <c r="F325" s="133" t="s">
        <v>2417</v>
      </c>
      <c r="G325" s="133" t="s">
        <v>2417</v>
      </c>
      <c r="H325" s="133" t="s">
        <v>2417</v>
      </c>
      <c r="I325" s="134" t="s">
        <v>2418</v>
      </c>
      <c r="J325" s="133" t="s">
        <v>2493</v>
      </c>
      <c r="K325" s="133" t="s">
        <v>2417</v>
      </c>
      <c r="L325" s="133" t="s">
        <v>2417</v>
      </c>
      <c r="M325" s="133" t="s">
        <v>2417</v>
      </c>
      <c r="N325" s="133" t="s">
        <v>2417</v>
      </c>
      <c r="O325" s="133" t="s">
        <v>2417</v>
      </c>
      <c r="P325" s="133" t="s">
        <v>2477</v>
      </c>
      <c r="Q325" s="133" t="s">
        <v>2417</v>
      </c>
      <c r="R325" s="133" t="s">
        <v>2417</v>
      </c>
      <c r="S325" s="133" t="s">
        <v>2417</v>
      </c>
      <c r="T325" s="133" t="s">
        <v>2417</v>
      </c>
      <c r="U325" s="133" t="s">
        <v>2417</v>
      </c>
      <c r="V325" s="133" t="s">
        <v>2417</v>
      </c>
      <c r="W325" s="133" t="s">
        <v>2417</v>
      </c>
      <c r="X325" s="133" t="s">
        <v>2417</v>
      </c>
      <c r="Y325" s="133" t="s">
        <v>2417</v>
      </c>
      <c r="Z325" s="133" t="s">
        <v>2417</v>
      </c>
      <c r="AA325" s="133" t="s">
        <v>2417</v>
      </c>
      <c r="AB325" s="133" t="s">
        <v>2417</v>
      </c>
      <c r="AC325" s="133" t="s">
        <v>2417</v>
      </c>
      <c r="AD325" s="133" t="s">
        <v>2417</v>
      </c>
      <c r="AE325" s="151"/>
    </row>
    <row r="326" spans="1:31" ht="13.2" outlineLevel="1">
      <c r="A326" s="384" t="s">
        <v>1105</v>
      </c>
      <c r="B326" s="350"/>
      <c r="C326" s="350"/>
      <c r="D326" s="351"/>
      <c r="E326" s="133" t="s">
        <v>2417</v>
      </c>
      <c r="F326" s="133" t="s">
        <v>2417</v>
      </c>
      <c r="G326" s="133" t="s">
        <v>2417</v>
      </c>
      <c r="H326" s="133" t="s">
        <v>2417</v>
      </c>
      <c r="I326" s="134" t="s">
        <v>2418</v>
      </c>
      <c r="J326" s="133" t="s">
        <v>3</v>
      </c>
      <c r="K326" s="133" t="s">
        <v>2417</v>
      </c>
      <c r="L326" s="133" t="s">
        <v>2417</v>
      </c>
      <c r="M326" s="133" t="s">
        <v>2417</v>
      </c>
      <c r="N326" s="133" t="s">
        <v>2417</v>
      </c>
      <c r="O326" s="133" t="s">
        <v>2417</v>
      </c>
      <c r="P326" s="133" t="s">
        <v>2477</v>
      </c>
      <c r="Q326" s="133" t="s">
        <v>2417</v>
      </c>
      <c r="R326" s="133" t="s">
        <v>2417</v>
      </c>
      <c r="S326" s="133" t="s">
        <v>2417</v>
      </c>
      <c r="T326" s="133" t="s">
        <v>2417</v>
      </c>
      <c r="U326" s="133" t="s">
        <v>2417</v>
      </c>
      <c r="V326" s="133" t="s">
        <v>2417</v>
      </c>
      <c r="W326" s="133" t="s">
        <v>2417</v>
      </c>
      <c r="X326" s="133" t="s">
        <v>2417</v>
      </c>
      <c r="Y326" s="133" t="s">
        <v>2417</v>
      </c>
      <c r="Z326" s="133" t="s">
        <v>2417</v>
      </c>
      <c r="AA326" s="133" t="s">
        <v>2417</v>
      </c>
      <c r="AB326" s="133" t="s">
        <v>2417</v>
      </c>
      <c r="AC326" s="133" t="s">
        <v>2417</v>
      </c>
      <c r="AD326" s="133" t="s">
        <v>2417</v>
      </c>
      <c r="AE326" s="152"/>
    </row>
    <row r="327" spans="1:31" ht="13.2" outlineLevel="2">
      <c r="A327" s="68" t="s">
        <v>67</v>
      </c>
      <c r="B327" s="81"/>
      <c r="C327" s="396" t="s">
        <v>2510</v>
      </c>
      <c r="D327" s="351"/>
      <c r="E327" s="133" t="s">
        <v>2417</v>
      </c>
      <c r="F327" s="133" t="s">
        <v>2417</v>
      </c>
      <c r="G327" s="133" t="s">
        <v>2417</v>
      </c>
      <c r="H327" s="133" t="s">
        <v>2417</v>
      </c>
      <c r="I327" s="134" t="s">
        <v>2418</v>
      </c>
      <c r="J327" s="133" t="s">
        <v>3</v>
      </c>
      <c r="K327" s="133" t="s">
        <v>2417</v>
      </c>
      <c r="L327" s="133" t="s">
        <v>2397</v>
      </c>
      <c r="M327" s="133" t="s">
        <v>2417</v>
      </c>
      <c r="N327" s="133" t="s">
        <v>2417</v>
      </c>
      <c r="O327" s="133" t="s">
        <v>2417</v>
      </c>
      <c r="P327" s="133" t="s">
        <v>2477</v>
      </c>
      <c r="Q327" s="133" t="s">
        <v>2417</v>
      </c>
      <c r="R327" s="133" t="s">
        <v>2417</v>
      </c>
      <c r="S327" s="133" t="s">
        <v>2417</v>
      </c>
      <c r="T327" s="133" t="s">
        <v>2417</v>
      </c>
      <c r="U327" s="133" t="s">
        <v>2417</v>
      </c>
      <c r="V327" s="133" t="s">
        <v>2417</v>
      </c>
      <c r="W327" s="133" t="s">
        <v>2417</v>
      </c>
      <c r="X327" s="133" t="s">
        <v>2417</v>
      </c>
      <c r="Y327" s="133" t="s">
        <v>2417</v>
      </c>
      <c r="Z327" s="133" t="s">
        <v>2417</v>
      </c>
      <c r="AA327" s="133" t="s">
        <v>2417</v>
      </c>
      <c r="AB327" s="133" t="s">
        <v>2417</v>
      </c>
      <c r="AC327" s="133" t="s">
        <v>2417</v>
      </c>
      <c r="AD327" s="133" t="s">
        <v>2417</v>
      </c>
      <c r="AE327" s="154"/>
    </row>
    <row r="328" spans="1:31" ht="20.399999999999999" outlineLevel="2">
      <c r="A328" s="68" t="s">
        <v>1091</v>
      </c>
      <c r="B328" s="82" t="s">
        <v>1098</v>
      </c>
      <c r="C328" s="387" t="s">
        <v>1107</v>
      </c>
      <c r="D328" s="351"/>
      <c r="E328" s="133" t="s">
        <v>2417</v>
      </c>
      <c r="F328" s="133" t="s">
        <v>2417</v>
      </c>
      <c r="G328" s="133" t="s">
        <v>2417</v>
      </c>
      <c r="H328" s="133" t="s">
        <v>2417</v>
      </c>
      <c r="I328" s="134" t="s">
        <v>2418</v>
      </c>
      <c r="J328" s="133" t="s">
        <v>3</v>
      </c>
      <c r="K328" s="133" t="s">
        <v>2417</v>
      </c>
      <c r="L328" s="133" t="s">
        <v>2417</v>
      </c>
      <c r="M328" s="133" t="s">
        <v>2417</v>
      </c>
      <c r="N328" s="133" t="s">
        <v>2417</v>
      </c>
      <c r="O328" s="133" t="s">
        <v>2417</v>
      </c>
      <c r="P328" s="133" t="s">
        <v>2477</v>
      </c>
      <c r="Q328" s="133" t="s">
        <v>2417</v>
      </c>
      <c r="R328" s="133" t="s">
        <v>2417</v>
      </c>
      <c r="S328" s="133" t="s">
        <v>2417</v>
      </c>
      <c r="T328" s="133" t="s">
        <v>2417</v>
      </c>
      <c r="U328" s="133" t="s">
        <v>2417</v>
      </c>
      <c r="V328" s="133" t="s">
        <v>2417</v>
      </c>
      <c r="W328" s="133" t="s">
        <v>2417</v>
      </c>
      <c r="X328" s="133" t="s">
        <v>2417</v>
      </c>
      <c r="Y328" s="133" t="s">
        <v>2417</v>
      </c>
      <c r="Z328" s="133" t="s">
        <v>2417</v>
      </c>
      <c r="AA328" s="133" t="s">
        <v>2417</v>
      </c>
      <c r="AB328" s="133" t="s">
        <v>2417</v>
      </c>
      <c r="AC328" s="133" t="s">
        <v>2417</v>
      </c>
      <c r="AD328" s="133" t="s">
        <v>2417</v>
      </c>
      <c r="AE328" s="144"/>
    </row>
    <row r="329" spans="1:31" ht="20.399999999999999" outlineLevel="2">
      <c r="A329" s="68" t="s">
        <v>1094</v>
      </c>
      <c r="B329" s="83" t="s">
        <v>1108</v>
      </c>
      <c r="C329" s="387" t="s">
        <v>1109</v>
      </c>
      <c r="D329" s="351"/>
      <c r="E329" s="133" t="s">
        <v>2417</v>
      </c>
      <c r="F329" s="133" t="s">
        <v>2417</v>
      </c>
      <c r="G329" s="133" t="s">
        <v>2417</v>
      </c>
      <c r="H329" s="133" t="s">
        <v>2417</v>
      </c>
      <c r="I329" s="134" t="s">
        <v>2418</v>
      </c>
      <c r="J329" s="133" t="s">
        <v>3</v>
      </c>
      <c r="K329" s="133" t="s">
        <v>2417</v>
      </c>
      <c r="L329" s="133" t="s">
        <v>2417</v>
      </c>
      <c r="M329" s="133" t="s">
        <v>2417</v>
      </c>
      <c r="N329" s="133" t="s">
        <v>2417</v>
      </c>
      <c r="O329" s="133" t="s">
        <v>2417</v>
      </c>
      <c r="P329" s="133" t="s">
        <v>2477</v>
      </c>
      <c r="Q329" s="133" t="s">
        <v>2417</v>
      </c>
      <c r="R329" s="133" t="s">
        <v>2417</v>
      </c>
      <c r="S329" s="133" t="s">
        <v>2417</v>
      </c>
      <c r="T329" s="133" t="s">
        <v>2417</v>
      </c>
      <c r="U329" s="133" t="s">
        <v>2417</v>
      </c>
      <c r="V329" s="133" t="s">
        <v>2417</v>
      </c>
      <c r="W329" s="133" t="s">
        <v>2417</v>
      </c>
      <c r="X329" s="133" t="s">
        <v>2417</v>
      </c>
      <c r="Y329" s="133" t="s">
        <v>2417</v>
      </c>
      <c r="Z329" s="133" t="s">
        <v>2417</v>
      </c>
      <c r="AA329" s="133" t="s">
        <v>2417</v>
      </c>
      <c r="AB329" s="133" t="s">
        <v>2417</v>
      </c>
      <c r="AC329" s="133" t="s">
        <v>2417</v>
      </c>
      <c r="AD329" s="133" t="s">
        <v>2417</v>
      </c>
      <c r="AE329" s="151"/>
    </row>
    <row r="330" spans="1:31" ht="13.2" outlineLevel="2">
      <c r="A330" s="68" t="s">
        <v>1097</v>
      </c>
      <c r="B330" s="63" t="s">
        <v>1103</v>
      </c>
      <c r="C330" s="387" t="s">
        <v>1104</v>
      </c>
      <c r="D330" s="351"/>
      <c r="E330" s="133" t="s">
        <v>2417</v>
      </c>
      <c r="F330" s="133" t="s">
        <v>2417</v>
      </c>
      <c r="G330" s="133" t="s">
        <v>2417</v>
      </c>
      <c r="H330" s="133" t="s">
        <v>2417</v>
      </c>
      <c r="I330" s="134" t="s">
        <v>2418</v>
      </c>
      <c r="J330" s="133" t="s">
        <v>3</v>
      </c>
      <c r="K330" s="133" t="s">
        <v>2417</v>
      </c>
      <c r="L330" s="133" t="s">
        <v>2417</v>
      </c>
      <c r="M330" s="133" t="s">
        <v>2417</v>
      </c>
      <c r="N330" s="133" t="s">
        <v>2417</v>
      </c>
      <c r="O330" s="133" t="s">
        <v>2417</v>
      </c>
      <c r="P330" s="133" t="s">
        <v>2477</v>
      </c>
      <c r="Q330" s="133" t="s">
        <v>2417</v>
      </c>
      <c r="R330" s="133" t="s">
        <v>2417</v>
      </c>
      <c r="S330" s="133" t="s">
        <v>2417</v>
      </c>
      <c r="T330" s="133" t="s">
        <v>2417</v>
      </c>
      <c r="U330" s="133" t="s">
        <v>2417</v>
      </c>
      <c r="V330" s="133" t="s">
        <v>2417</v>
      </c>
      <c r="W330" s="133" t="s">
        <v>2417</v>
      </c>
      <c r="X330" s="133" t="s">
        <v>2417</v>
      </c>
      <c r="Y330" s="133" t="s">
        <v>2417</v>
      </c>
      <c r="Z330" s="133" t="s">
        <v>2417</v>
      </c>
      <c r="AA330" s="133" t="s">
        <v>2417</v>
      </c>
      <c r="AB330" s="133" t="s">
        <v>2417</v>
      </c>
      <c r="AC330" s="133" t="s">
        <v>2417</v>
      </c>
      <c r="AD330" s="133" t="s">
        <v>2417</v>
      </c>
      <c r="AE330" s="151"/>
    </row>
    <row r="331" spans="1:31" ht="13.2" hidden="1" outlineLevel="1">
      <c r="A331" s="386" t="s">
        <v>2511</v>
      </c>
      <c r="B331" s="350"/>
      <c r="C331" s="350"/>
      <c r="D331" s="351"/>
      <c r="E331" s="133" t="s">
        <v>2417</v>
      </c>
      <c r="F331" s="133" t="s">
        <v>2417</v>
      </c>
      <c r="G331" s="133" t="s">
        <v>2417</v>
      </c>
      <c r="H331" s="133" t="s">
        <v>2417</v>
      </c>
      <c r="I331" s="134" t="s">
        <v>2418</v>
      </c>
      <c r="J331" s="133" t="s">
        <v>2497</v>
      </c>
      <c r="K331" s="133" t="s">
        <v>2417</v>
      </c>
      <c r="L331" s="133" t="s">
        <v>2417</v>
      </c>
      <c r="M331" s="133" t="s">
        <v>2417</v>
      </c>
      <c r="N331" s="133" t="s">
        <v>2417</v>
      </c>
      <c r="O331" s="133" t="s">
        <v>2417</v>
      </c>
      <c r="P331" s="133" t="s">
        <v>2477</v>
      </c>
      <c r="Q331" s="133" t="s">
        <v>2417</v>
      </c>
      <c r="R331" s="133" t="s">
        <v>2417</v>
      </c>
      <c r="S331" s="133" t="s">
        <v>2417</v>
      </c>
      <c r="T331" s="133" t="s">
        <v>2417</v>
      </c>
      <c r="U331" s="133" t="s">
        <v>2417</v>
      </c>
      <c r="V331" s="133" t="s">
        <v>2417</v>
      </c>
      <c r="W331" s="133" t="s">
        <v>2417</v>
      </c>
      <c r="X331" s="133" t="s">
        <v>2417</v>
      </c>
      <c r="Y331" s="133" t="s">
        <v>2417</v>
      </c>
      <c r="Z331" s="133" t="s">
        <v>2417</v>
      </c>
      <c r="AA331" s="133" t="s">
        <v>2417</v>
      </c>
      <c r="AB331" s="133" t="s">
        <v>2417</v>
      </c>
      <c r="AC331" s="133" t="s">
        <v>2417</v>
      </c>
      <c r="AD331" s="133" t="s">
        <v>2417</v>
      </c>
      <c r="AE331" s="155"/>
    </row>
    <row r="332" spans="1:31" ht="13.2" hidden="1" outlineLevel="2">
      <c r="A332" s="68" t="s">
        <v>67</v>
      </c>
      <c r="B332" s="81"/>
      <c r="C332" s="396" t="s">
        <v>2512</v>
      </c>
      <c r="D332" s="351"/>
      <c r="E332" s="133" t="s">
        <v>2417</v>
      </c>
      <c r="F332" s="133" t="s">
        <v>2417</v>
      </c>
      <c r="G332" s="133" t="s">
        <v>2417</v>
      </c>
      <c r="H332" s="133" t="s">
        <v>2417</v>
      </c>
      <c r="I332" s="134" t="s">
        <v>2418</v>
      </c>
      <c r="J332" s="133" t="s">
        <v>2497</v>
      </c>
      <c r="K332" s="133" t="s">
        <v>2417</v>
      </c>
      <c r="L332" s="133" t="s">
        <v>2397</v>
      </c>
      <c r="M332" s="133" t="s">
        <v>2417</v>
      </c>
      <c r="N332" s="133" t="s">
        <v>2417</v>
      </c>
      <c r="O332" s="133" t="s">
        <v>2417</v>
      </c>
      <c r="P332" s="133" t="s">
        <v>2477</v>
      </c>
      <c r="Q332" s="133" t="s">
        <v>2417</v>
      </c>
      <c r="R332" s="133" t="s">
        <v>2417</v>
      </c>
      <c r="S332" s="133" t="s">
        <v>2417</v>
      </c>
      <c r="T332" s="133" t="s">
        <v>2417</v>
      </c>
      <c r="U332" s="133" t="s">
        <v>2417</v>
      </c>
      <c r="V332" s="133" t="s">
        <v>2417</v>
      </c>
      <c r="W332" s="133" t="s">
        <v>2417</v>
      </c>
      <c r="X332" s="133" t="s">
        <v>2417</v>
      </c>
      <c r="Y332" s="133" t="s">
        <v>2417</v>
      </c>
      <c r="Z332" s="133" t="s">
        <v>2417</v>
      </c>
      <c r="AA332" s="133" t="s">
        <v>2417</v>
      </c>
      <c r="AB332" s="133" t="s">
        <v>2417</v>
      </c>
      <c r="AC332" s="133" t="s">
        <v>2417</v>
      </c>
      <c r="AD332" s="133" t="s">
        <v>2417</v>
      </c>
      <c r="AE332" s="154"/>
    </row>
    <row r="333" spans="1:31" ht="20.399999999999999" hidden="1" outlineLevel="2">
      <c r="A333" s="68" t="s">
        <v>1091</v>
      </c>
      <c r="B333" s="82" t="s">
        <v>1098</v>
      </c>
      <c r="C333" s="387" t="s">
        <v>1107</v>
      </c>
      <c r="D333" s="351"/>
      <c r="E333" s="133" t="s">
        <v>2417</v>
      </c>
      <c r="F333" s="133" t="s">
        <v>2417</v>
      </c>
      <c r="G333" s="133" t="s">
        <v>2417</v>
      </c>
      <c r="H333" s="133" t="s">
        <v>2417</v>
      </c>
      <c r="I333" s="134" t="s">
        <v>2418</v>
      </c>
      <c r="J333" s="133" t="s">
        <v>2497</v>
      </c>
      <c r="K333" s="133" t="s">
        <v>2417</v>
      </c>
      <c r="L333" s="133" t="s">
        <v>2417</v>
      </c>
      <c r="M333" s="133" t="s">
        <v>2417</v>
      </c>
      <c r="N333" s="133" t="s">
        <v>2417</v>
      </c>
      <c r="O333" s="133" t="s">
        <v>2417</v>
      </c>
      <c r="P333" s="133" t="s">
        <v>2477</v>
      </c>
      <c r="Q333" s="133" t="s">
        <v>2417</v>
      </c>
      <c r="R333" s="133" t="s">
        <v>2417</v>
      </c>
      <c r="S333" s="133" t="s">
        <v>2417</v>
      </c>
      <c r="T333" s="133" t="s">
        <v>2417</v>
      </c>
      <c r="U333" s="133" t="s">
        <v>2417</v>
      </c>
      <c r="V333" s="133" t="s">
        <v>2417</v>
      </c>
      <c r="W333" s="133" t="s">
        <v>2417</v>
      </c>
      <c r="X333" s="133" t="s">
        <v>2417</v>
      </c>
      <c r="Y333" s="133" t="s">
        <v>2417</v>
      </c>
      <c r="Z333" s="133" t="s">
        <v>2417</v>
      </c>
      <c r="AA333" s="133" t="s">
        <v>2417</v>
      </c>
      <c r="AB333" s="133" t="s">
        <v>2417</v>
      </c>
      <c r="AC333" s="133" t="s">
        <v>2417</v>
      </c>
      <c r="AD333" s="133" t="s">
        <v>2417</v>
      </c>
      <c r="AE333" s="144"/>
    </row>
    <row r="334" spans="1:31" ht="20.399999999999999" hidden="1" outlineLevel="2">
      <c r="A334" s="68" t="s">
        <v>1094</v>
      </c>
      <c r="B334" s="83" t="s">
        <v>1108</v>
      </c>
      <c r="C334" s="387" t="s">
        <v>1109</v>
      </c>
      <c r="D334" s="351"/>
      <c r="E334" s="133" t="s">
        <v>2417</v>
      </c>
      <c r="F334" s="133" t="s">
        <v>2417</v>
      </c>
      <c r="G334" s="133" t="s">
        <v>2417</v>
      </c>
      <c r="H334" s="133" t="s">
        <v>2417</v>
      </c>
      <c r="I334" s="134" t="s">
        <v>2418</v>
      </c>
      <c r="J334" s="133" t="s">
        <v>2497</v>
      </c>
      <c r="K334" s="133" t="s">
        <v>2417</v>
      </c>
      <c r="L334" s="133" t="s">
        <v>2417</v>
      </c>
      <c r="M334" s="133" t="s">
        <v>2417</v>
      </c>
      <c r="N334" s="133" t="s">
        <v>2417</v>
      </c>
      <c r="O334" s="133" t="s">
        <v>2417</v>
      </c>
      <c r="P334" s="133" t="s">
        <v>2477</v>
      </c>
      <c r="Q334" s="133" t="s">
        <v>2417</v>
      </c>
      <c r="R334" s="133" t="s">
        <v>2417</v>
      </c>
      <c r="S334" s="133" t="s">
        <v>2417</v>
      </c>
      <c r="T334" s="133" t="s">
        <v>2417</v>
      </c>
      <c r="U334" s="133" t="s">
        <v>2417</v>
      </c>
      <c r="V334" s="133" t="s">
        <v>2417</v>
      </c>
      <c r="W334" s="133" t="s">
        <v>2417</v>
      </c>
      <c r="X334" s="133" t="s">
        <v>2417</v>
      </c>
      <c r="Y334" s="133" t="s">
        <v>2417</v>
      </c>
      <c r="Z334" s="133" t="s">
        <v>2417</v>
      </c>
      <c r="AA334" s="133" t="s">
        <v>2417</v>
      </c>
      <c r="AB334" s="133" t="s">
        <v>2417</v>
      </c>
      <c r="AC334" s="133" t="s">
        <v>2417</v>
      </c>
      <c r="AD334" s="133" t="s">
        <v>2417</v>
      </c>
      <c r="AE334" s="151"/>
    </row>
    <row r="335" spans="1:31" ht="13.2" hidden="1" outlineLevel="2">
      <c r="A335" s="68" t="s">
        <v>1097</v>
      </c>
      <c r="B335" s="63" t="s">
        <v>1103</v>
      </c>
      <c r="C335" s="387" t="s">
        <v>1104</v>
      </c>
      <c r="D335" s="351"/>
      <c r="E335" s="133" t="s">
        <v>2417</v>
      </c>
      <c r="F335" s="133" t="s">
        <v>2417</v>
      </c>
      <c r="G335" s="133" t="s">
        <v>2417</v>
      </c>
      <c r="H335" s="133" t="s">
        <v>2417</v>
      </c>
      <c r="I335" s="134" t="s">
        <v>2418</v>
      </c>
      <c r="J335" s="133" t="s">
        <v>2497</v>
      </c>
      <c r="K335" s="133" t="s">
        <v>2417</v>
      </c>
      <c r="L335" s="133" t="s">
        <v>2417</v>
      </c>
      <c r="M335" s="133" t="s">
        <v>2417</v>
      </c>
      <c r="N335" s="133" t="s">
        <v>2417</v>
      </c>
      <c r="O335" s="133" t="s">
        <v>2417</v>
      </c>
      <c r="P335" s="133" t="s">
        <v>2477</v>
      </c>
      <c r="Q335" s="133" t="s">
        <v>2417</v>
      </c>
      <c r="R335" s="133" t="s">
        <v>2417</v>
      </c>
      <c r="S335" s="133" t="s">
        <v>2417</v>
      </c>
      <c r="T335" s="133" t="s">
        <v>2417</v>
      </c>
      <c r="U335" s="133" t="s">
        <v>2417</v>
      </c>
      <c r="V335" s="133" t="s">
        <v>2417</v>
      </c>
      <c r="W335" s="133" t="s">
        <v>2417</v>
      </c>
      <c r="X335" s="133" t="s">
        <v>2417</v>
      </c>
      <c r="Y335" s="133" t="s">
        <v>2417</v>
      </c>
      <c r="Z335" s="133" t="s">
        <v>2417</v>
      </c>
      <c r="AA335" s="133" t="s">
        <v>2417</v>
      </c>
      <c r="AB335" s="133" t="s">
        <v>2417</v>
      </c>
      <c r="AC335" s="133" t="s">
        <v>2417</v>
      </c>
      <c r="AD335" s="133" t="s">
        <v>2417</v>
      </c>
      <c r="AE335" s="151"/>
    </row>
    <row r="336" spans="1:31" ht="13.2" hidden="1" outlineLevel="1">
      <c r="A336" s="384" t="s">
        <v>2513</v>
      </c>
      <c r="B336" s="350"/>
      <c r="C336" s="350"/>
      <c r="D336" s="351"/>
      <c r="E336" s="133" t="s">
        <v>2417</v>
      </c>
      <c r="F336" s="133" t="s">
        <v>2417</v>
      </c>
      <c r="G336" s="133" t="s">
        <v>2417</v>
      </c>
      <c r="H336" s="133" t="s">
        <v>2417</v>
      </c>
      <c r="I336" s="134" t="s">
        <v>2418</v>
      </c>
      <c r="J336" s="133" t="s">
        <v>2500</v>
      </c>
      <c r="K336" s="133" t="s">
        <v>2417</v>
      </c>
      <c r="L336" s="133" t="s">
        <v>2417</v>
      </c>
      <c r="M336" s="133" t="s">
        <v>2417</v>
      </c>
      <c r="N336" s="133" t="s">
        <v>2417</v>
      </c>
      <c r="O336" s="133" t="s">
        <v>2417</v>
      </c>
      <c r="P336" s="133" t="s">
        <v>2477</v>
      </c>
      <c r="Q336" s="133" t="s">
        <v>2417</v>
      </c>
      <c r="R336" s="133" t="s">
        <v>2417</v>
      </c>
      <c r="S336" s="133" t="s">
        <v>2417</v>
      </c>
      <c r="T336" s="133" t="s">
        <v>2417</v>
      </c>
      <c r="U336" s="133" t="s">
        <v>2417</v>
      </c>
      <c r="V336" s="133" t="s">
        <v>2417</v>
      </c>
      <c r="W336" s="133" t="s">
        <v>2417</v>
      </c>
      <c r="X336" s="133" t="s">
        <v>2417</v>
      </c>
      <c r="Y336" s="133" t="s">
        <v>2417</v>
      </c>
      <c r="Z336" s="133" t="s">
        <v>2417</v>
      </c>
      <c r="AA336" s="133" t="s">
        <v>2417</v>
      </c>
      <c r="AB336" s="133" t="s">
        <v>2417</v>
      </c>
      <c r="AC336" s="133" t="s">
        <v>2417</v>
      </c>
      <c r="AD336" s="133" t="s">
        <v>2417</v>
      </c>
      <c r="AE336" s="152"/>
    </row>
    <row r="337" spans="1:31" ht="13.2" hidden="1" outlineLevel="2">
      <c r="A337" s="68" t="s">
        <v>67</v>
      </c>
      <c r="B337" s="65"/>
      <c r="C337" s="396" t="s">
        <v>2514</v>
      </c>
      <c r="D337" s="351"/>
      <c r="E337" s="133" t="s">
        <v>2417</v>
      </c>
      <c r="F337" s="133" t="s">
        <v>2417</v>
      </c>
      <c r="G337" s="133" t="s">
        <v>2417</v>
      </c>
      <c r="H337" s="133" t="s">
        <v>2417</v>
      </c>
      <c r="I337" s="134" t="s">
        <v>2418</v>
      </c>
      <c r="J337" s="133" t="s">
        <v>2500</v>
      </c>
      <c r="K337" s="133" t="s">
        <v>2417</v>
      </c>
      <c r="L337" s="133" t="s">
        <v>2397</v>
      </c>
      <c r="M337" s="133" t="s">
        <v>2417</v>
      </c>
      <c r="N337" s="133" t="s">
        <v>2417</v>
      </c>
      <c r="O337" s="133" t="s">
        <v>2417</v>
      </c>
      <c r="P337" s="133" t="s">
        <v>2477</v>
      </c>
      <c r="Q337" s="133" t="s">
        <v>2417</v>
      </c>
      <c r="R337" s="133" t="s">
        <v>2417</v>
      </c>
      <c r="S337" s="133" t="s">
        <v>2417</v>
      </c>
      <c r="T337" s="133" t="s">
        <v>2417</v>
      </c>
      <c r="U337" s="133" t="s">
        <v>2417</v>
      </c>
      <c r="V337" s="133" t="s">
        <v>2417</v>
      </c>
      <c r="W337" s="133" t="s">
        <v>2417</v>
      </c>
      <c r="X337" s="133" t="s">
        <v>2417</v>
      </c>
      <c r="Y337" s="133" t="s">
        <v>2417</v>
      </c>
      <c r="Z337" s="133" t="s">
        <v>2417</v>
      </c>
      <c r="AA337" s="133" t="s">
        <v>2417</v>
      </c>
      <c r="AB337" s="133" t="s">
        <v>2417</v>
      </c>
      <c r="AC337" s="133" t="s">
        <v>2417</v>
      </c>
      <c r="AD337" s="133" t="s">
        <v>2417</v>
      </c>
      <c r="AE337" s="154"/>
    </row>
    <row r="338" spans="1:31" ht="20.399999999999999" hidden="1" outlineLevel="2">
      <c r="A338" s="68" t="s">
        <v>1091</v>
      </c>
      <c r="B338" s="82" t="s">
        <v>1098</v>
      </c>
      <c r="C338" s="387" t="s">
        <v>1107</v>
      </c>
      <c r="D338" s="351"/>
      <c r="E338" s="133" t="s">
        <v>2417</v>
      </c>
      <c r="F338" s="133" t="s">
        <v>2417</v>
      </c>
      <c r="G338" s="133" t="s">
        <v>2417</v>
      </c>
      <c r="H338" s="133" t="s">
        <v>2417</v>
      </c>
      <c r="I338" s="134" t="s">
        <v>2418</v>
      </c>
      <c r="J338" s="133" t="s">
        <v>2500</v>
      </c>
      <c r="K338" s="133" t="s">
        <v>2417</v>
      </c>
      <c r="L338" s="133" t="s">
        <v>2417</v>
      </c>
      <c r="M338" s="133" t="s">
        <v>2417</v>
      </c>
      <c r="N338" s="133" t="s">
        <v>2417</v>
      </c>
      <c r="O338" s="133" t="s">
        <v>2417</v>
      </c>
      <c r="P338" s="133" t="s">
        <v>2477</v>
      </c>
      <c r="Q338" s="133" t="s">
        <v>2417</v>
      </c>
      <c r="R338" s="133" t="s">
        <v>2417</v>
      </c>
      <c r="S338" s="133" t="s">
        <v>2417</v>
      </c>
      <c r="T338" s="133" t="s">
        <v>2417</v>
      </c>
      <c r="U338" s="133" t="s">
        <v>2417</v>
      </c>
      <c r="V338" s="133" t="s">
        <v>2417</v>
      </c>
      <c r="W338" s="133" t="s">
        <v>2417</v>
      </c>
      <c r="X338" s="133" t="s">
        <v>2417</v>
      </c>
      <c r="Y338" s="133" t="s">
        <v>2417</v>
      </c>
      <c r="Z338" s="133" t="s">
        <v>2417</v>
      </c>
      <c r="AA338" s="133" t="s">
        <v>2417</v>
      </c>
      <c r="AB338" s="133" t="s">
        <v>2417</v>
      </c>
      <c r="AC338" s="133" t="s">
        <v>2417</v>
      </c>
      <c r="AD338" s="133" t="s">
        <v>2417</v>
      </c>
      <c r="AE338" s="144"/>
    </row>
    <row r="339" spans="1:31" ht="20.399999999999999" hidden="1" outlineLevel="2">
      <c r="A339" s="68" t="s">
        <v>1094</v>
      </c>
      <c r="B339" s="83" t="s">
        <v>1108</v>
      </c>
      <c r="C339" s="387" t="s">
        <v>1109</v>
      </c>
      <c r="D339" s="351"/>
      <c r="E339" s="133" t="s">
        <v>2417</v>
      </c>
      <c r="F339" s="133" t="s">
        <v>2417</v>
      </c>
      <c r="G339" s="133" t="s">
        <v>2417</v>
      </c>
      <c r="H339" s="133" t="s">
        <v>2417</v>
      </c>
      <c r="I339" s="134" t="s">
        <v>2418</v>
      </c>
      <c r="J339" s="133" t="s">
        <v>2500</v>
      </c>
      <c r="K339" s="133" t="s">
        <v>2417</v>
      </c>
      <c r="L339" s="133" t="s">
        <v>2417</v>
      </c>
      <c r="M339" s="133" t="s">
        <v>2417</v>
      </c>
      <c r="N339" s="133" t="s">
        <v>2417</v>
      </c>
      <c r="O339" s="133" t="s">
        <v>2417</v>
      </c>
      <c r="P339" s="133" t="s">
        <v>2477</v>
      </c>
      <c r="Q339" s="133" t="s">
        <v>2417</v>
      </c>
      <c r="R339" s="133" t="s">
        <v>2417</v>
      </c>
      <c r="S339" s="133" t="s">
        <v>2417</v>
      </c>
      <c r="T339" s="133" t="s">
        <v>2417</v>
      </c>
      <c r="U339" s="133" t="s">
        <v>2417</v>
      </c>
      <c r="V339" s="133" t="s">
        <v>2417</v>
      </c>
      <c r="W339" s="133" t="s">
        <v>2417</v>
      </c>
      <c r="X339" s="133" t="s">
        <v>2417</v>
      </c>
      <c r="Y339" s="133" t="s">
        <v>2417</v>
      </c>
      <c r="Z339" s="133" t="s">
        <v>2417</v>
      </c>
      <c r="AA339" s="133" t="s">
        <v>2417</v>
      </c>
      <c r="AB339" s="133" t="s">
        <v>2417</v>
      </c>
      <c r="AC339" s="133" t="s">
        <v>2417</v>
      </c>
      <c r="AD339" s="133" t="s">
        <v>2417</v>
      </c>
      <c r="AE339" s="151"/>
    </row>
    <row r="340" spans="1:31" ht="13.2" hidden="1" outlineLevel="2">
      <c r="A340" s="68" t="s">
        <v>1097</v>
      </c>
      <c r="B340" s="63" t="s">
        <v>1103</v>
      </c>
      <c r="C340" s="387" t="s">
        <v>1104</v>
      </c>
      <c r="D340" s="351"/>
      <c r="E340" s="133" t="s">
        <v>2417</v>
      </c>
      <c r="F340" s="133" t="s">
        <v>2417</v>
      </c>
      <c r="G340" s="133" t="s">
        <v>2417</v>
      </c>
      <c r="H340" s="133" t="s">
        <v>2417</v>
      </c>
      <c r="I340" s="134" t="s">
        <v>2418</v>
      </c>
      <c r="J340" s="133" t="s">
        <v>2500</v>
      </c>
      <c r="K340" s="133" t="s">
        <v>2417</v>
      </c>
      <c r="L340" s="133" t="s">
        <v>2417</v>
      </c>
      <c r="M340" s="133" t="s">
        <v>2417</v>
      </c>
      <c r="N340" s="133" t="s">
        <v>2417</v>
      </c>
      <c r="O340" s="133" t="s">
        <v>2417</v>
      </c>
      <c r="P340" s="133" t="s">
        <v>2477</v>
      </c>
      <c r="Q340" s="133" t="s">
        <v>2417</v>
      </c>
      <c r="R340" s="133" t="s">
        <v>2417</v>
      </c>
      <c r="S340" s="133" t="s">
        <v>2417</v>
      </c>
      <c r="T340" s="133" t="s">
        <v>2417</v>
      </c>
      <c r="U340" s="133" t="s">
        <v>2417</v>
      </c>
      <c r="V340" s="133" t="s">
        <v>2417</v>
      </c>
      <c r="W340" s="133" t="s">
        <v>2417</v>
      </c>
      <c r="X340" s="133" t="s">
        <v>2417</v>
      </c>
      <c r="Y340" s="133" t="s">
        <v>2417</v>
      </c>
      <c r="Z340" s="133" t="s">
        <v>2417</v>
      </c>
      <c r="AA340" s="133" t="s">
        <v>2417</v>
      </c>
      <c r="AB340" s="133" t="s">
        <v>2417</v>
      </c>
      <c r="AC340" s="133" t="s">
        <v>2417</v>
      </c>
      <c r="AD340" s="133" t="s">
        <v>2417</v>
      </c>
      <c r="AE340" s="151"/>
    </row>
    <row r="341" spans="1:31" ht="13.2" outlineLevel="1">
      <c r="A341" s="386" t="s">
        <v>1110</v>
      </c>
      <c r="B341" s="350"/>
      <c r="C341" s="350"/>
      <c r="D341" s="351"/>
      <c r="E341" s="133" t="s">
        <v>2417</v>
      </c>
      <c r="F341" s="133" t="s">
        <v>2417</v>
      </c>
      <c r="G341" s="133" t="s">
        <v>2417</v>
      </c>
      <c r="H341" s="133" t="s">
        <v>2417</v>
      </c>
      <c r="I341" s="134" t="s">
        <v>2418</v>
      </c>
      <c r="J341" s="133" t="s">
        <v>2417</v>
      </c>
      <c r="K341" s="133" t="s">
        <v>2417</v>
      </c>
      <c r="L341" s="133" t="s">
        <v>2417</v>
      </c>
      <c r="M341" s="133" t="s">
        <v>2417</v>
      </c>
      <c r="N341" s="133" t="s">
        <v>2417</v>
      </c>
      <c r="O341" s="133" t="s">
        <v>2417</v>
      </c>
      <c r="P341" s="133" t="s">
        <v>2417</v>
      </c>
      <c r="Q341" s="133" t="s">
        <v>2417</v>
      </c>
      <c r="R341" s="133" t="s">
        <v>2417</v>
      </c>
      <c r="S341" s="133" t="s">
        <v>2417</v>
      </c>
      <c r="T341" s="133" t="s">
        <v>2417</v>
      </c>
      <c r="U341" s="133" t="s">
        <v>2417</v>
      </c>
      <c r="V341" s="133" t="s">
        <v>2417</v>
      </c>
      <c r="W341" s="133" t="s">
        <v>2417</v>
      </c>
      <c r="X341" s="133" t="s">
        <v>2417</v>
      </c>
      <c r="Y341" s="133" t="s">
        <v>2417</v>
      </c>
      <c r="Z341" s="133" t="s">
        <v>2417</v>
      </c>
      <c r="AA341" s="133" t="s">
        <v>2417</v>
      </c>
      <c r="AB341" s="133" t="s">
        <v>2417</v>
      </c>
      <c r="AC341" s="133" t="s">
        <v>2417</v>
      </c>
      <c r="AD341" s="133" t="s">
        <v>2417</v>
      </c>
      <c r="AE341" s="153"/>
    </row>
    <row r="342" spans="1:31" ht="13.2" hidden="1" outlineLevel="1">
      <c r="A342" s="386" t="s">
        <v>2515</v>
      </c>
      <c r="B342" s="350"/>
      <c r="C342" s="350"/>
      <c r="D342" s="351"/>
      <c r="E342" s="133" t="s">
        <v>2417</v>
      </c>
      <c r="F342" s="156" t="s">
        <v>2417</v>
      </c>
      <c r="G342" s="137" t="s">
        <v>2457</v>
      </c>
      <c r="H342" s="133" t="s">
        <v>2417</v>
      </c>
      <c r="I342" s="134" t="s">
        <v>2418</v>
      </c>
      <c r="J342" s="133" t="s">
        <v>2417</v>
      </c>
      <c r="K342" s="133" t="s">
        <v>2417</v>
      </c>
      <c r="L342" s="153" t="s">
        <v>2417</v>
      </c>
      <c r="M342" s="133" t="s">
        <v>2417</v>
      </c>
      <c r="N342" s="133" t="s">
        <v>2417</v>
      </c>
      <c r="O342" s="133" t="s">
        <v>2417</v>
      </c>
      <c r="P342" s="133" t="s">
        <v>2417</v>
      </c>
      <c r="Q342" s="133" t="s">
        <v>2417</v>
      </c>
      <c r="R342" s="133" t="s">
        <v>2417</v>
      </c>
      <c r="S342" s="133" t="s">
        <v>2417</v>
      </c>
      <c r="T342" s="133" t="s">
        <v>2417</v>
      </c>
      <c r="U342" s="133" t="s">
        <v>2417</v>
      </c>
      <c r="V342" s="133" t="s">
        <v>2417</v>
      </c>
      <c r="W342" s="133" t="s">
        <v>2417</v>
      </c>
      <c r="X342" s="133" t="s">
        <v>2417</v>
      </c>
      <c r="Y342" s="133" t="s">
        <v>2417</v>
      </c>
      <c r="Z342" s="133" t="s">
        <v>2417</v>
      </c>
      <c r="AA342" s="133" t="s">
        <v>2417</v>
      </c>
      <c r="AB342" s="133" t="s">
        <v>2417</v>
      </c>
      <c r="AC342" s="133" t="s">
        <v>2417</v>
      </c>
      <c r="AD342" s="133" t="s">
        <v>2417</v>
      </c>
      <c r="AE342" s="153"/>
    </row>
    <row r="343" spans="1:31" ht="13.2" hidden="1" outlineLevel="2">
      <c r="A343" s="68" t="s">
        <v>117</v>
      </c>
      <c r="B343" s="65"/>
      <c r="C343" s="360" t="s">
        <v>2516</v>
      </c>
      <c r="D343" s="351"/>
      <c r="E343" s="133" t="s">
        <v>2417</v>
      </c>
      <c r="F343" s="156" t="s">
        <v>2417</v>
      </c>
      <c r="G343" s="137" t="s">
        <v>2457</v>
      </c>
      <c r="H343" s="133" t="s">
        <v>2417</v>
      </c>
      <c r="I343" s="134" t="s">
        <v>2418</v>
      </c>
      <c r="J343" s="133" t="s">
        <v>2417</v>
      </c>
      <c r="K343" s="133" t="s">
        <v>2417</v>
      </c>
      <c r="L343" s="133" t="s">
        <v>2397</v>
      </c>
      <c r="M343" s="133" t="s">
        <v>2417</v>
      </c>
      <c r="N343" s="133" t="s">
        <v>2417</v>
      </c>
      <c r="O343" s="133" t="s">
        <v>2417</v>
      </c>
      <c r="P343" s="133" t="s">
        <v>2417</v>
      </c>
      <c r="Q343" s="133" t="s">
        <v>2417</v>
      </c>
      <c r="R343" s="133" t="s">
        <v>2417</v>
      </c>
      <c r="S343" s="133" t="s">
        <v>2417</v>
      </c>
      <c r="T343" s="133" t="s">
        <v>2417</v>
      </c>
      <c r="U343" s="133" t="s">
        <v>2417</v>
      </c>
      <c r="V343" s="133" t="s">
        <v>2417</v>
      </c>
      <c r="W343" s="133" t="s">
        <v>2417</v>
      </c>
      <c r="X343" s="133" t="s">
        <v>2417</v>
      </c>
      <c r="Y343" s="133" t="s">
        <v>2417</v>
      </c>
      <c r="Z343" s="133" t="s">
        <v>2417</v>
      </c>
      <c r="AA343" s="133" t="s">
        <v>2417</v>
      </c>
      <c r="AB343" s="133" t="s">
        <v>2417</v>
      </c>
      <c r="AC343" s="133" t="s">
        <v>2417</v>
      </c>
      <c r="AD343" s="133" t="s">
        <v>2417</v>
      </c>
      <c r="AE343" s="137"/>
    </row>
    <row r="344" spans="1:31" ht="13.2" outlineLevel="1">
      <c r="A344" s="386" t="s">
        <v>1111</v>
      </c>
      <c r="B344" s="350"/>
      <c r="C344" s="350"/>
      <c r="D344" s="351"/>
      <c r="E344" s="133" t="s">
        <v>2417</v>
      </c>
      <c r="F344" s="156" t="s">
        <v>2417</v>
      </c>
      <c r="G344" s="137" t="s">
        <v>5</v>
      </c>
      <c r="H344" s="133" t="s">
        <v>2417</v>
      </c>
      <c r="I344" s="134" t="s">
        <v>2418</v>
      </c>
      <c r="J344" s="133" t="s">
        <v>2417</v>
      </c>
      <c r="K344" s="133" t="s">
        <v>2417</v>
      </c>
      <c r="L344" s="155" t="s">
        <v>2417</v>
      </c>
      <c r="M344" s="133" t="s">
        <v>2417</v>
      </c>
      <c r="N344" s="133" t="s">
        <v>2417</v>
      </c>
      <c r="O344" s="133" t="s">
        <v>2417</v>
      </c>
      <c r="P344" s="133" t="s">
        <v>2417</v>
      </c>
      <c r="Q344" s="133" t="s">
        <v>2417</v>
      </c>
      <c r="R344" s="133" t="s">
        <v>2417</v>
      </c>
      <c r="S344" s="133" t="s">
        <v>2417</v>
      </c>
      <c r="T344" s="133" t="s">
        <v>2417</v>
      </c>
      <c r="U344" s="133" t="s">
        <v>2417</v>
      </c>
      <c r="V344" s="133" t="s">
        <v>2417</v>
      </c>
      <c r="W344" s="133" t="s">
        <v>2417</v>
      </c>
      <c r="X344" s="133" t="s">
        <v>2417</v>
      </c>
      <c r="Y344" s="133" t="s">
        <v>2417</v>
      </c>
      <c r="Z344" s="133" t="s">
        <v>2417</v>
      </c>
      <c r="AA344" s="133" t="s">
        <v>2417</v>
      </c>
      <c r="AB344" s="133" t="s">
        <v>2417</v>
      </c>
      <c r="AC344" s="133" t="s">
        <v>2417</v>
      </c>
      <c r="AD344" s="133" t="s">
        <v>2417</v>
      </c>
      <c r="AE344" s="155"/>
    </row>
    <row r="345" spans="1:31" ht="13.2" outlineLevel="2">
      <c r="A345" s="68" t="s">
        <v>117</v>
      </c>
      <c r="B345" s="64"/>
      <c r="C345" s="360" t="s">
        <v>2517</v>
      </c>
      <c r="D345" s="351"/>
      <c r="E345" s="133" t="s">
        <v>2417</v>
      </c>
      <c r="F345" s="156" t="s">
        <v>2417</v>
      </c>
      <c r="G345" s="137" t="s">
        <v>5</v>
      </c>
      <c r="H345" s="133" t="s">
        <v>2417</v>
      </c>
      <c r="I345" s="134" t="s">
        <v>2418</v>
      </c>
      <c r="J345" s="133" t="s">
        <v>2417</v>
      </c>
      <c r="K345" s="133" t="s">
        <v>2417</v>
      </c>
      <c r="L345" s="133" t="s">
        <v>2397</v>
      </c>
      <c r="M345" s="133" t="s">
        <v>2417</v>
      </c>
      <c r="N345" s="133" t="s">
        <v>2417</v>
      </c>
      <c r="O345" s="133" t="s">
        <v>2417</v>
      </c>
      <c r="P345" s="133" t="s">
        <v>2417</v>
      </c>
      <c r="Q345" s="133" t="s">
        <v>2417</v>
      </c>
      <c r="R345" s="133" t="s">
        <v>2417</v>
      </c>
      <c r="S345" s="133" t="s">
        <v>2417</v>
      </c>
      <c r="T345" s="133" t="s">
        <v>2417</v>
      </c>
      <c r="U345" s="133" t="s">
        <v>2417</v>
      </c>
      <c r="V345" s="133" t="s">
        <v>2417</v>
      </c>
      <c r="W345" s="133" t="s">
        <v>2417</v>
      </c>
      <c r="X345" s="133" t="s">
        <v>2417</v>
      </c>
      <c r="Y345" s="133" t="s">
        <v>2417</v>
      </c>
      <c r="Z345" s="133" t="s">
        <v>2417</v>
      </c>
      <c r="AA345" s="133" t="s">
        <v>2417</v>
      </c>
      <c r="AB345" s="133" t="s">
        <v>2417</v>
      </c>
      <c r="AC345" s="133" t="s">
        <v>2417</v>
      </c>
      <c r="AD345" s="133" t="s">
        <v>2417</v>
      </c>
      <c r="AE345" s="137"/>
    </row>
    <row r="346" spans="1:31" ht="13.2" hidden="1" outlineLevel="1">
      <c r="A346" s="386" t="s">
        <v>2518</v>
      </c>
      <c r="B346" s="350"/>
      <c r="C346" s="350"/>
      <c r="D346" s="351"/>
      <c r="E346" s="133" t="s">
        <v>2417</v>
      </c>
      <c r="F346" s="156" t="s">
        <v>2417</v>
      </c>
      <c r="G346" s="137" t="s">
        <v>2519</v>
      </c>
      <c r="H346" s="133" t="s">
        <v>2417</v>
      </c>
      <c r="I346" s="134" t="s">
        <v>2418</v>
      </c>
      <c r="J346" s="133" t="s">
        <v>2417</v>
      </c>
      <c r="K346" s="133" t="s">
        <v>2417</v>
      </c>
      <c r="L346" s="155" t="s">
        <v>2417</v>
      </c>
      <c r="M346" s="133" t="s">
        <v>2417</v>
      </c>
      <c r="N346" s="133" t="s">
        <v>2417</v>
      </c>
      <c r="O346" s="133" t="s">
        <v>2417</v>
      </c>
      <c r="P346" s="133" t="s">
        <v>2417</v>
      </c>
      <c r="Q346" s="133" t="s">
        <v>2417</v>
      </c>
      <c r="R346" s="133" t="s">
        <v>2417</v>
      </c>
      <c r="S346" s="133" t="s">
        <v>2417</v>
      </c>
      <c r="T346" s="133" t="s">
        <v>2417</v>
      </c>
      <c r="U346" s="133" t="s">
        <v>2417</v>
      </c>
      <c r="V346" s="133" t="s">
        <v>2417</v>
      </c>
      <c r="W346" s="133" t="s">
        <v>2417</v>
      </c>
      <c r="X346" s="133" t="s">
        <v>2417</v>
      </c>
      <c r="Y346" s="133" t="s">
        <v>2417</v>
      </c>
      <c r="Z346" s="133" t="s">
        <v>2417</v>
      </c>
      <c r="AA346" s="133" t="s">
        <v>2417</v>
      </c>
      <c r="AB346" s="133" t="s">
        <v>2417</v>
      </c>
      <c r="AC346" s="133" t="s">
        <v>2417</v>
      </c>
      <c r="AD346" s="133" t="s">
        <v>2417</v>
      </c>
      <c r="AE346" s="155"/>
    </row>
    <row r="347" spans="1:31" ht="13.2" hidden="1" outlineLevel="2">
      <c r="A347" s="68" t="s">
        <v>117</v>
      </c>
      <c r="B347" s="64"/>
      <c r="C347" s="360" t="s">
        <v>2520</v>
      </c>
      <c r="D347" s="351"/>
      <c r="E347" s="133" t="s">
        <v>2417</v>
      </c>
      <c r="F347" s="156" t="s">
        <v>2417</v>
      </c>
      <c r="G347" s="137" t="s">
        <v>2519</v>
      </c>
      <c r="H347" s="133" t="s">
        <v>2417</v>
      </c>
      <c r="I347" s="134" t="s">
        <v>2418</v>
      </c>
      <c r="J347" s="133" t="s">
        <v>2417</v>
      </c>
      <c r="K347" s="133" t="s">
        <v>2417</v>
      </c>
      <c r="L347" s="133" t="s">
        <v>2397</v>
      </c>
      <c r="M347" s="133" t="s">
        <v>2417</v>
      </c>
      <c r="N347" s="133" t="s">
        <v>2417</v>
      </c>
      <c r="O347" s="133" t="s">
        <v>2417</v>
      </c>
      <c r="P347" s="133" t="s">
        <v>2417</v>
      </c>
      <c r="Q347" s="133" t="s">
        <v>2417</v>
      </c>
      <c r="R347" s="133" t="s">
        <v>2417</v>
      </c>
      <c r="S347" s="133" t="s">
        <v>2417</v>
      </c>
      <c r="T347" s="133" t="s">
        <v>2417</v>
      </c>
      <c r="U347" s="133" t="s">
        <v>2417</v>
      </c>
      <c r="V347" s="133" t="s">
        <v>2417</v>
      </c>
      <c r="W347" s="133" t="s">
        <v>2417</v>
      </c>
      <c r="X347" s="133" t="s">
        <v>2417</v>
      </c>
      <c r="Y347" s="133" t="s">
        <v>2417</v>
      </c>
      <c r="Z347" s="133" t="s">
        <v>2417</v>
      </c>
      <c r="AA347" s="133" t="s">
        <v>2417</v>
      </c>
      <c r="AB347" s="133" t="s">
        <v>2417</v>
      </c>
      <c r="AC347" s="133" t="s">
        <v>2417</v>
      </c>
      <c r="AD347" s="133" t="s">
        <v>2417</v>
      </c>
      <c r="AE347" s="137"/>
    </row>
    <row r="348" spans="1:31" ht="13.2" outlineLevel="2">
      <c r="A348" s="68" t="s">
        <v>1113</v>
      </c>
      <c r="B348" s="64" t="s">
        <v>1114</v>
      </c>
      <c r="C348" s="387" t="s">
        <v>1115</v>
      </c>
      <c r="D348" s="351"/>
      <c r="E348" s="133" t="s">
        <v>2417</v>
      </c>
      <c r="F348" s="132" t="s">
        <v>2417</v>
      </c>
      <c r="G348" s="144" t="s">
        <v>2417</v>
      </c>
      <c r="H348" s="132" t="s">
        <v>2417</v>
      </c>
      <c r="I348" s="134" t="s">
        <v>2418</v>
      </c>
      <c r="J348" s="132" t="s">
        <v>2417</v>
      </c>
      <c r="K348" s="132" t="s">
        <v>2417</v>
      </c>
      <c r="L348" s="132" t="s">
        <v>2417</v>
      </c>
      <c r="M348" s="133" t="s">
        <v>2417</v>
      </c>
      <c r="N348" s="133" t="s">
        <v>2417</v>
      </c>
      <c r="O348" s="133" t="s">
        <v>2417</v>
      </c>
      <c r="P348" s="132" t="s">
        <v>2417</v>
      </c>
      <c r="Q348" s="133" t="s">
        <v>2417</v>
      </c>
      <c r="R348" s="133" t="s">
        <v>2417</v>
      </c>
      <c r="S348" s="132" t="s">
        <v>2417</v>
      </c>
      <c r="T348" s="132" t="s">
        <v>2417</v>
      </c>
      <c r="U348" s="132" t="s">
        <v>2417</v>
      </c>
      <c r="V348" s="132" t="s">
        <v>2417</v>
      </c>
      <c r="W348" s="132" t="s">
        <v>2417</v>
      </c>
      <c r="X348" s="132" t="s">
        <v>2417</v>
      </c>
      <c r="Y348" s="132" t="s">
        <v>2417</v>
      </c>
      <c r="Z348" s="132" t="s">
        <v>2417</v>
      </c>
      <c r="AA348" s="133" t="s">
        <v>2417</v>
      </c>
      <c r="AB348" s="133" t="s">
        <v>2417</v>
      </c>
      <c r="AC348" s="133" t="s">
        <v>2417</v>
      </c>
      <c r="AD348" s="133" t="s">
        <v>2417</v>
      </c>
      <c r="AE348" s="151"/>
    </row>
    <row r="349" spans="1:31" ht="13.2" outlineLevel="2">
      <c r="A349" s="68" t="s">
        <v>1116</v>
      </c>
      <c r="B349" s="64" t="s">
        <v>1117</v>
      </c>
      <c r="C349" s="387" t="s">
        <v>1115</v>
      </c>
      <c r="D349" s="351"/>
      <c r="E349" s="133" t="s">
        <v>2417</v>
      </c>
      <c r="F349" s="132" t="s">
        <v>2417</v>
      </c>
      <c r="G349" s="144" t="s">
        <v>2417</v>
      </c>
      <c r="H349" s="132" t="s">
        <v>2417</v>
      </c>
      <c r="I349" s="134" t="s">
        <v>2418</v>
      </c>
      <c r="J349" s="132" t="s">
        <v>2417</v>
      </c>
      <c r="K349" s="132" t="s">
        <v>2417</v>
      </c>
      <c r="L349" s="132" t="s">
        <v>2417</v>
      </c>
      <c r="M349" s="133" t="s">
        <v>2417</v>
      </c>
      <c r="N349" s="133" t="s">
        <v>2417</v>
      </c>
      <c r="O349" s="133" t="s">
        <v>2417</v>
      </c>
      <c r="P349" s="132" t="s">
        <v>2417</v>
      </c>
      <c r="Q349" s="133" t="s">
        <v>2417</v>
      </c>
      <c r="R349" s="133" t="s">
        <v>2417</v>
      </c>
      <c r="S349" s="132" t="s">
        <v>2417</v>
      </c>
      <c r="T349" s="132" t="s">
        <v>2417</v>
      </c>
      <c r="U349" s="132" t="s">
        <v>2417</v>
      </c>
      <c r="V349" s="132" t="s">
        <v>2417</v>
      </c>
      <c r="W349" s="132" t="s">
        <v>2417</v>
      </c>
      <c r="X349" s="132" t="s">
        <v>2417</v>
      </c>
      <c r="Y349" s="132" t="s">
        <v>2417</v>
      </c>
      <c r="Z349" s="132" t="s">
        <v>2417</v>
      </c>
      <c r="AA349" s="133" t="s">
        <v>2417</v>
      </c>
      <c r="AB349" s="133" t="s">
        <v>2417</v>
      </c>
      <c r="AC349" s="133" t="s">
        <v>2417</v>
      </c>
      <c r="AD349" s="133" t="s">
        <v>2417</v>
      </c>
      <c r="AE349" s="151"/>
    </row>
    <row r="350" spans="1:31" ht="13.2" outlineLevel="2">
      <c r="A350" s="68" t="s">
        <v>1118</v>
      </c>
      <c r="B350" s="64" t="s">
        <v>1119</v>
      </c>
      <c r="C350" s="387" t="s">
        <v>1115</v>
      </c>
      <c r="D350" s="351"/>
      <c r="E350" s="133" t="s">
        <v>2417</v>
      </c>
      <c r="F350" s="132" t="s">
        <v>2417</v>
      </c>
      <c r="G350" s="144" t="s">
        <v>2417</v>
      </c>
      <c r="H350" s="132" t="s">
        <v>2417</v>
      </c>
      <c r="I350" s="134" t="s">
        <v>2418</v>
      </c>
      <c r="J350" s="132" t="s">
        <v>2417</v>
      </c>
      <c r="K350" s="132" t="s">
        <v>2417</v>
      </c>
      <c r="L350" s="132" t="s">
        <v>2417</v>
      </c>
      <c r="M350" s="133" t="s">
        <v>2417</v>
      </c>
      <c r="N350" s="133" t="s">
        <v>2417</v>
      </c>
      <c r="O350" s="133" t="s">
        <v>2417</v>
      </c>
      <c r="P350" s="132" t="s">
        <v>2417</v>
      </c>
      <c r="Q350" s="133" t="s">
        <v>2417</v>
      </c>
      <c r="R350" s="133" t="s">
        <v>2417</v>
      </c>
      <c r="S350" s="132" t="s">
        <v>2417</v>
      </c>
      <c r="T350" s="132" t="s">
        <v>2417</v>
      </c>
      <c r="U350" s="132" t="s">
        <v>2417</v>
      </c>
      <c r="V350" s="132" t="s">
        <v>2417</v>
      </c>
      <c r="W350" s="132" t="s">
        <v>2417</v>
      </c>
      <c r="X350" s="132" t="s">
        <v>2417</v>
      </c>
      <c r="Y350" s="132" t="s">
        <v>2417</v>
      </c>
      <c r="Z350" s="132" t="s">
        <v>2417</v>
      </c>
      <c r="AA350" s="133" t="s">
        <v>2417</v>
      </c>
      <c r="AB350" s="133" t="s">
        <v>2417</v>
      </c>
      <c r="AC350" s="133" t="s">
        <v>2417</v>
      </c>
      <c r="AD350" s="133" t="s">
        <v>2417</v>
      </c>
      <c r="AE350" s="151"/>
    </row>
    <row r="351" spans="1:31" ht="13.2" outlineLevel="2">
      <c r="A351" s="68" t="s">
        <v>1120</v>
      </c>
      <c r="B351" s="64" t="s">
        <v>1121</v>
      </c>
      <c r="C351" s="387" t="s">
        <v>1115</v>
      </c>
      <c r="D351" s="351"/>
      <c r="E351" s="133" t="s">
        <v>2417</v>
      </c>
      <c r="F351" s="132" t="s">
        <v>2417</v>
      </c>
      <c r="G351" s="144" t="s">
        <v>2417</v>
      </c>
      <c r="H351" s="132" t="s">
        <v>2417</v>
      </c>
      <c r="I351" s="134" t="s">
        <v>2418</v>
      </c>
      <c r="J351" s="132" t="s">
        <v>2417</v>
      </c>
      <c r="K351" s="132" t="s">
        <v>2417</v>
      </c>
      <c r="L351" s="132" t="s">
        <v>2417</v>
      </c>
      <c r="M351" s="133" t="s">
        <v>2417</v>
      </c>
      <c r="N351" s="133" t="s">
        <v>2417</v>
      </c>
      <c r="O351" s="133" t="s">
        <v>2417</v>
      </c>
      <c r="P351" s="132" t="s">
        <v>2417</v>
      </c>
      <c r="Q351" s="133" t="s">
        <v>2417</v>
      </c>
      <c r="R351" s="133" t="s">
        <v>2417</v>
      </c>
      <c r="S351" s="132" t="s">
        <v>2417</v>
      </c>
      <c r="T351" s="132" t="s">
        <v>2417</v>
      </c>
      <c r="U351" s="132" t="s">
        <v>2417</v>
      </c>
      <c r="V351" s="132" t="s">
        <v>2417</v>
      </c>
      <c r="W351" s="132" t="s">
        <v>2417</v>
      </c>
      <c r="X351" s="132" t="s">
        <v>2417</v>
      </c>
      <c r="Y351" s="132" t="s">
        <v>2417</v>
      </c>
      <c r="Z351" s="132" t="s">
        <v>2417</v>
      </c>
      <c r="AA351" s="133" t="s">
        <v>2417</v>
      </c>
      <c r="AB351" s="133" t="s">
        <v>2417</v>
      </c>
      <c r="AC351" s="133" t="s">
        <v>2417</v>
      </c>
      <c r="AD351" s="133" t="s">
        <v>2417</v>
      </c>
      <c r="AE351" s="151"/>
    </row>
    <row r="352" spans="1:31" ht="13.2" outlineLevel="2">
      <c r="A352" s="68" t="s">
        <v>1122</v>
      </c>
      <c r="B352" s="64" t="s">
        <v>1123</v>
      </c>
      <c r="C352" s="387" t="s">
        <v>1115</v>
      </c>
      <c r="D352" s="351"/>
      <c r="E352" s="133" t="s">
        <v>2417</v>
      </c>
      <c r="F352" s="132" t="s">
        <v>2417</v>
      </c>
      <c r="G352" s="144" t="s">
        <v>2417</v>
      </c>
      <c r="H352" s="132" t="s">
        <v>2417</v>
      </c>
      <c r="I352" s="134" t="s">
        <v>2418</v>
      </c>
      <c r="J352" s="132" t="s">
        <v>2417</v>
      </c>
      <c r="K352" s="132" t="s">
        <v>2417</v>
      </c>
      <c r="L352" s="132" t="s">
        <v>2417</v>
      </c>
      <c r="M352" s="133" t="s">
        <v>2417</v>
      </c>
      <c r="N352" s="133" t="s">
        <v>2417</v>
      </c>
      <c r="O352" s="133" t="s">
        <v>2417</v>
      </c>
      <c r="P352" s="132" t="s">
        <v>2417</v>
      </c>
      <c r="Q352" s="133" t="s">
        <v>2417</v>
      </c>
      <c r="R352" s="133" t="s">
        <v>2417</v>
      </c>
      <c r="S352" s="132" t="s">
        <v>2417</v>
      </c>
      <c r="T352" s="132" t="s">
        <v>2417</v>
      </c>
      <c r="U352" s="132" t="s">
        <v>2417</v>
      </c>
      <c r="V352" s="132" t="s">
        <v>2417</v>
      </c>
      <c r="W352" s="132" t="s">
        <v>2417</v>
      </c>
      <c r="X352" s="132" t="s">
        <v>2417</v>
      </c>
      <c r="Y352" s="132" t="s">
        <v>2417</v>
      </c>
      <c r="Z352" s="132" t="s">
        <v>2417</v>
      </c>
      <c r="AA352" s="133" t="s">
        <v>2417</v>
      </c>
      <c r="AB352" s="133" t="s">
        <v>2417</v>
      </c>
      <c r="AC352" s="133" t="s">
        <v>2417</v>
      </c>
      <c r="AD352" s="133" t="s">
        <v>2417</v>
      </c>
      <c r="AE352" s="151"/>
    </row>
    <row r="353" spans="1:31" ht="13.2" outlineLevel="2">
      <c r="A353" s="68" t="s">
        <v>1124</v>
      </c>
      <c r="B353" s="64" t="s">
        <v>1125</v>
      </c>
      <c r="C353" s="387" t="s">
        <v>1115</v>
      </c>
      <c r="D353" s="351"/>
      <c r="E353" s="133" t="s">
        <v>2417</v>
      </c>
      <c r="F353" s="132" t="s">
        <v>2417</v>
      </c>
      <c r="G353" s="144" t="s">
        <v>2417</v>
      </c>
      <c r="H353" s="132" t="s">
        <v>2417</v>
      </c>
      <c r="I353" s="134" t="s">
        <v>2418</v>
      </c>
      <c r="J353" s="132" t="s">
        <v>2417</v>
      </c>
      <c r="K353" s="132" t="s">
        <v>2417</v>
      </c>
      <c r="L353" s="132" t="s">
        <v>2417</v>
      </c>
      <c r="M353" s="133" t="s">
        <v>2417</v>
      </c>
      <c r="N353" s="133" t="s">
        <v>2417</v>
      </c>
      <c r="O353" s="133" t="s">
        <v>2417</v>
      </c>
      <c r="P353" s="132" t="s">
        <v>2417</v>
      </c>
      <c r="Q353" s="133" t="s">
        <v>2417</v>
      </c>
      <c r="R353" s="133" t="s">
        <v>2417</v>
      </c>
      <c r="S353" s="132" t="s">
        <v>2417</v>
      </c>
      <c r="T353" s="132" t="s">
        <v>2417</v>
      </c>
      <c r="U353" s="132" t="s">
        <v>2417</v>
      </c>
      <c r="V353" s="132" t="s">
        <v>2417</v>
      </c>
      <c r="W353" s="132" t="s">
        <v>2417</v>
      </c>
      <c r="X353" s="132" t="s">
        <v>2417</v>
      </c>
      <c r="Y353" s="132" t="s">
        <v>2417</v>
      </c>
      <c r="Z353" s="132" t="s">
        <v>2417</v>
      </c>
      <c r="AA353" s="133" t="s">
        <v>2417</v>
      </c>
      <c r="AB353" s="133" t="s">
        <v>2417</v>
      </c>
      <c r="AC353" s="133" t="s">
        <v>2417</v>
      </c>
      <c r="AD353" s="133" t="s">
        <v>2417</v>
      </c>
      <c r="AE353" s="151"/>
    </row>
    <row r="354" spans="1:31" ht="13.2" outlineLevel="2">
      <c r="A354" s="68" t="s">
        <v>1126</v>
      </c>
      <c r="B354" s="64" t="s">
        <v>1127</v>
      </c>
      <c r="C354" s="387" t="s">
        <v>1115</v>
      </c>
      <c r="D354" s="351"/>
      <c r="E354" s="133" t="s">
        <v>2417</v>
      </c>
      <c r="F354" s="132" t="s">
        <v>2417</v>
      </c>
      <c r="G354" s="144" t="s">
        <v>2417</v>
      </c>
      <c r="H354" s="132" t="s">
        <v>2417</v>
      </c>
      <c r="I354" s="134" t="s">
        <v>2418</v>
      </c>
      <c r="J354" s="132" t="s">
        <v>2417</v>
      </c>
      <c r="K354" s="132" t="s">
        <v>2417</v>
      </c>
      <c r="L354" s="132" t="s">
        <v>2417</v>
      </c>
      <c r="M354" s="133" t="s">
        <v>2417</v>
      </c>
      <c r="N354" s="133" t="s">
        <v>2417</v>
      </c>
      <c r="O354" s="133" t="s">
        <v>2417</v>
      </c>
      <c r="P354" s="132" t="s">
        <v>2417</v>
      </c>
      <c r="Q354" s="133" t="s">
        <v>2417</v>
      </c>
      <c r="R354" s="133" t="s">
        <v>2417</v>
      </c>
      <c r="S354" s="132" t="s">
        <v>2417</v>
      </c>
      <c r="T354" s="132" t="s">
        <v>2417</v>
      </c>
      <c r="U354" s="132" t="s">
        <v>2417</v>
      </c>
      <c r="V354" s="132" t="s">
        <v>2417</v>
      </c>
      <c r="W354" s="132" t="s">
        <v>2417</v>
      </c>
      <c r="X354" s="132" t="s">
        <v>2417</v>
      </c>
      <c r="Y354" s="132" t="s">
        <v>2417</v>
      </c>
      <c r="Z354" s="132" t="s">
        <v>2417</v>
      </c>
      <c r="AA354" s="133" t="s">
        <v>2417</v>
      </c>
      <c r="AB354" s="133" t="s">
        <v>2417</v>
      </c>
      <c r="AC354" s="133" t="s">
        <v>2417</v>
      </c>
      <c r="AD354" s="133" t="s">
        <v>2417</v>
      </c>
      <c r="AE354" s="151"/>
    </row>
    <row r="355" spans="1:31" ht="13.2" outlineLevel="2">
      <c r="A355" s="68" t="s">
        <v>1128</v>
      </c>
      <c r="B355" s="64" t="s">
        <v>1129</v>
      </c>
      <c r="C355" s="387" t="s">
        <v>1115</v>
      </c>
      <c r="D355" s="351"/>
      <c r="E355" s="133" t="s">
        <v>2417</v>
      </c>
      <c r="F355" s="132" t="s">
        <v>2417</v>
      </c>
      <c r="G355" s="144" t="s">
        <v>2417</v>
      </c>
      <c r="H355" s="132" t="s">
        <v>2417</v>
      </c>
      <c r="I355" s="134" t="s">
        <v>2418</v>
      </c>
      <c r="J355" s="132" t="s">
        <v>2417</v>
      </c>
      <c r="K355" s="132" t="s">
        <v>2417</v>
      </c>
      <c r="L355" s="132" t="s">
        <v>2417</v>
      </c>
      <c r="M355" s="133" t="s">
        <v>2417</v>
      </c>
      <c r="N355" s="133" t="s">
        <v>2417</v>
      </c>
      <c r="O355" s="133" t="s">
        <v>2417</v>
      </c>
      <c r="P355" s="132" t="s">
        <v>2417</v>
      </c>
      <c r="Q355" s="133" t="s">
        <v>2417</v>
      </c>
      <c r="R355" s="133" t="s">
        <v>2417</v>
      </c>
      <c r="S355" s="132" t="s">
        <v>2417</v>
      </c>
      <c r="T355" s="132" t="s">
        <v>2417</v>
      </c>
      <c r="U355" s="132" t="s">
        <v>2417</v>
      </c>
      <c r="V355" s="132" t="s">
        <v>2417</v>
      </c>
      <c r="W355" s="132" t="s">
        <v>2417</v>
      </c>
      <c r="X355" s="132" t="s">
        <v>2417</v>
      </c>
      <c r="Y355" s="132" t="s">
        <v>2417</v>
      </c>
      <c r="Z355" s="132" t="s">
        <v>2417</v>
      </c>
      <c r="AA355" s="133" t="s">
        <v>2417</v>
      </c>
      <c r="AB355" s="133" t="s">
        <v>2417</v>
      </c>
      <c r="AC355" s="133" t="s">
        <v>2417</v>
      </c>
      <c r="AD355" s="133" t="s">
        <v>2417</v>
      </c>
      <c r="AE355" s="151"/>
    </row>
    <row r="356" spans="1:31" ht="13.2" outlineLevel="2">
      <c r="A356" s="68" t="s">
        <v>1130</v>
      </c>
      <c r="B356" s="64" t="s">
        <v>1131</v>
      </c>
      <c r="C356" s="387" t="s">
        <v>1115</v>
      </c>
      <c r="D356" s="351"/>
      <c r="E356" s="133" t="s">
        <v>2417</v>
      </c>
      <c r="F356" s="132" t="s">
        <v>2417</v>
      </c>
      <c r="G356" s="144" t="s">
        <v>2417</v>
      </c>
      <c r="H356" s="132" t="s">
        <v>2417</v>
      </c>
      <c r="I356" s="134" t="s">
        <v>2418</v>
      </c>
      <c r="J356" s="132" t="s">
        <v>2417</v>
      </c>
      <c r="K356" s="132" t="s">
        <v>2417</v>
      </c>
      <c r="L356" s="132" t="s">
        <v>2417</v>
      </c>
      <c r="M356" s="133" t="s">
        <v>2417</v>
      </c>
      <c r="N356" s="133" t="s">
        <v>2417</v>
      </c>
      <c r="O356" s="133" t="s">
        <v>2417</v>
      </c>
      <c r="P356" s="132" t="s">
        <v>2417</v>
      </c>
      <c r="Q356" s="133" t="s">
        <v>2417</v>
      </c>
      <c r="R356" s="133" t="s">
        <v>2417</v>
      </c>
      <c r="S356" s="132" t="s">
        <v>2417</v>
      </c>
      <c r="T356" s="132" t="s">
        <v>2417</v>
      </c>
      <c r="U356" s="132" t="s">
        <v>2417</v>
      </c>
      <c r="V356" s="132" t="s">
        <v>2417</v>
      </c>
      <c r="W356" s="132" t="s">
        <v>2417</v>
      </c>
      <c r="X356" s="132" t="s">
        <v>2417</v>
      </c>
      <c r="Y356" s="132" t="s">
        <v>2417</v>
      </c>
      <c r="Z356" s="132" t="s">
        <v>2417</v>
      </c>
      <c r="AA356" s="133" t="s">
        <v>2417</v>
      </c>
      <c r="AB356" s="133" t="s">
        <v>2417</v>
      </c>
      <c r="AC356" s="133" t="s">
        <v>2417</v>
      </c>
      <c r="AD356" s="133" t="s">
        <v>2417</v>
      </c>
      <c r="AE356" s="151"/>
    </row>
    <row r="357" spans="1:31" ht="13.2" outlineLevel="2">
      <c r="A357" s="68" t="s">
        <v>1132</v>
      </c>
      <c r="B357" s="64" t="s">
        <v>1133</v>
      </c>
      <c r="C357" s="387" t="s">
        <v>1115</v>
      </c>
      <c r="D357" s="351"/>
      <c r="E357" s="133" t="s">
        <v>2417</v>
      </c>
      <c r="F357" s="132" t="s">
        <v>2417</v>
      </c>
      <c r="G357" s="144" t="s">
        <v>2417</v>
      </c>
      <c r="H357" s="132" t="s">
        <v>2417</v>
      </c>
      <c r="I357" s="134" t="s">
        <v>2418</v>
      </c>
      <c r="J357" s="132" t="s">
        <v>2417</v>
      </c>
      <c r="K357" s="132" t="s">
        <v>2417</v>
      </c>
      <c r="L357" s="132" t="s">
        <v>2417</v>
      </c>
      <c r="M357" s="133" t="s">
        <v>2417</v>
      </c>
      <c r="N357" s="133" t="s">
        <v>2417</v>
      </c>
      <c r="O357" s="133" t="s">
        <v>2417</v>
      </c>
      <c r="P357" s="132" t="s">
        <v>2417</v>
      </c>
      <c r="Q357" s="133" t="s">
        <v>2417</v>
      </c>
      <c r="R357" s="133" t="s">
        <v>2417</v>
      </c>
      <c r="S357" s="132" t="s">
        <v>2417</v>
      </c>
      <c r="T357" s="132" t="s">
        <v>2417</v>
      </c>
      <c r="U357" s="132" t="s">
        <v>2417</v>
      </c>
      <c r="V357" s="132" t="s">
        <v>2417</v>
      </c>
      <c r="W357" s="132" t="s">
        <v>2417</v>
      </c>
      <c r="X357" s="132" t="s">
        <v>2417</v>
      </c>
      <c r="Y357" s="132" t="s">
        <v>2417</v>
      </c>
      <c r="Z357" s="132" t="s">
        <v>2417</v>
      </c>
      <c r="AA357" s="133" t="s">
        <v>2417</v>
      </c>
      <c r="AB357" s="133" t="s">
        <v>2417</v>
      </c>
      <c r="AC357" s="133" t="s">
        <v>2417</v>
      </c>
      <c r="AD357" s="133" t="s">
        <v>2417</v>
      </c>
      <c r="AE357" s="151"/>
    </row>
    <row r="358" spans="1:31" ht="13.2" outlineLevel="2">
      <c r="A358" s="68" t="s">
        <v>1134</v>
      </c>
      <c r="B358" s="64" t="s">
        <v>1135</v>
      </c>
      <c r="C358" s="387" t="s">
        <v>1115</v>
      </c>
      <c r="D358" s="351"/>
      <c r="E358" s="133" t="s">
        <v>2417</v>
      </c>
      <c r="F358" s="132" t="s">
        <v>2417</v>
      </c>
      <c r="G358" s="144" t="s">
        <v>2417</v>
      </c>
      <c r="H358" s="132" t="s">
        <v>2417</v>
      </c>
      <c r="I358" s="134" t="s">
        <v>2418</v>
      </c>
      <c r="J358" s="132" t="s">
        <v>2417</v>
      </c>
      <c r="K358" s="132" t="s">
        <v>2417</v>
      </c>
      <c r="L358" s="132" t="s">
        <v>2417</v>
      </c>
      <c r="M358" s="133" t="s">
        <v>2417</v>
      </c>
      <c r="N358" s="133" t="s">
        <v>2417</v>
      </c>
      <c r="O358" s="133" t="s">
        <v>2417</v>
      </c>
      <c r="P358" s="132" t="s">
        <v>2417</v>
      </c>
      <c r="Q358" s="133" t="s">
        <v>2417</v>
      </c>
      <c r="R358" s="133" t="s">
        <v>2417</v>
      </c>
      <c r="S358" s="132" t="s">
        <v>2417</v>
      </c>
      <c r="T358" s="132" t="s">
        <v>2417</v>
      </c>
      <c r="U358" s="132" t="s">
        <v>2417</v>
      </c>
      <c r="V358" s="132" t="s">
        <v>2417</v>
      </c>
      <c r="W358" s="132" t="s">
        <v>2417</v>
      </c>
      <c r="X358" s="132" t="s">
        <v>2417</v>
      </c>
      <c r="Y358" s="132" t="s">
        <v>2417</v>
      </c>
      <c r="Z358" s="132" t="s">
        <v>2417</v>
      </c>
      <c r="AA358" s="133" t="s">
        <v>2417</v>
      </c>
      <c r="AB358" s="133" t="s">
        <v>2417</v>
      </c>
      <c r="AC358" s="133" t="s">
        <v>2417</v>
      </c>
      <c r="AD358" s="133" t="s">
        <v>2417</v>
      </c>
      <c r="AE358" s="151"/>
    </row>
    <row r="359" spans="1:31" ht="13.2" outlineLevel="2">
      <c r="A359" s="68" t="s">
        <v>1136</v>
      </c>
      <c r="B359" s="64" t="s">
        <v>1137</v>
      </c>
      <c r="C359" s="387" t="s">
        <v>1115</v>
      </c>
      <c r="D359" s="351"/>
      <c r="E359" s="133" t="s">
        <v>2417</v>
      </c>
      <c r="F359" s="132" t="s">
        <v>2417</v>
      </c>
      <c r="G359" s="144" t="s">
        <v>2417</v>
      </c>
      <c r="H359" s="132" t="s">
        <v>2417</v>
      </c>
      <c r="I359" s="134" t="s">
        <v>2418</v>
      </c>
      <c r="J359" s="132" t="s">
        <v>2417</v>
      </c>
      <c r="K359" s="132" t="s">
        <v>2417</v>
      </c>
      <c r="L359" s="132" t="s">
        <v>2417</v>
      </c>
      <c r="M359" s="133" t="s">
        <v>2417</v>
      </c>
      <c r="N359" s="133" t="s">
        <v>2417</v>
      </c>
      <c r="O359" s="133" t="s">
        <v>2417</v>
      </c>
      <c r="P359" s="132" t="s">
        <v>2417</v>
      </c>
      <c r="Q359" s="133" t="s">
        <v>2417</v>
      </c>
      <c r="R359" s="133" t="s">
        <v>2417</v>
      </c>
      <c r="S359" s="132" t="s">
        <v>2417</v>
      </c>
      <c r="T359" s="132" t="s">
        <v>2417</v>
      </c>
      <c r="U359" s="132" t="s">
        <v>2417</v>
      </c>
      <c r="V359" s="132" t="s">
        <v>2417</v>
      </c>
      <c r="W359" s="132" t="s">
        <v>2417</v>
      </c>
      <c r="X359" s="132" t="s">
        <v>2417</v>
      </c>
      <c r="Y359" s="132" t="s">
        <v>2417</v>
      </c>
      <c r="Z359" s="132" t="s">
        <v>2417</v>
      </c>
      <c r="AA359" s="133" t="s">
        <v>2417</v>
      </c>
      <c r="AB359" s="133" t="s">
        <v>2417</v>
      </c>
      <c r="AC359" s="133" t="s">
        <v>2417</v>
      </c>
      <c r="AD359" s="133" t="s">
        <v>2417</v>
      </c>
      <c r="AE359" s="151"/>
    </row>
    <row r="360" spans="1:31" ht="13.2" outlineLevel="2">
      <c r="A360" s="68" t="s">
        <v>1138</v>
      </c>
      <c r="B360" s="64" t="s">
        <v>1139</v>
      </c>
      <c r="C360" s="387" t="s">
        <v>1115</v>
      </c>
      <c r="D360" s="351"/>
      <c r="E360" s="133" t="s">
        <v>2417</v>
      </c>
      <c r="F360" s="132" t="s">
        <v>2417</v>
      </c>
      <c r="G360" s="144" t="s">
        <v>2417</v>
      </c>
      <c r="H360" s="132" t="s">
        <v>2417</v>
      </c>
      <c r="I360" s="134" t="s">
        <v>2418</v>
      </c>
      <c r="J360" s="132" t="s">
        <v>2417</v>
      </c>
      <c r="K360" s="132" t="s">
        <v>2417</v>
      </c>
      <c r="L360" s="132" t="s">
        <v>2417</v>
      </c>
      <c r="M360" s="133" t="s">
        <v>2417</v>
      </c>
      <c r="N360" s="133" t="s">
        <v>2417</v>
      </c>
      <c r="O360" s="133" t="s">
        <v>2417</v>
      </c>
      <c r="P360" s="132" t="s">
        <v>2417</v>
      </c>
      <c r="Q360" s="133" t="s">
        <v>2417</v>
      </c>
      <c r="R360" s="133" t="s">
        <v>2417</v>
      </c>
      <c r="S360" s="132" t="s">
        <v>2417</v>
      </c>
      <c r="T360" s="132" t="s">
        <v>2417</v>
      </c>
      <c r="U360" s="132" t="s">
        <v>2417</v>
      </c>
      <c r="V360" s="132" t="s">
        <v>2417</v>
      </c>
      <c r="W360" s="132" t="s">
        <v>2417</v>
      </c>
      <c r="X360" s="132" t="s">
        <v>2417</v>
      </c>
      <c r="Y360" s="132" t="s">
        <v>2417</v>
      </c>
      <c r="Z360" s="132" t="s">
        <v>2417</v>
      </c>
      <c r="AA360" s="133" t="s">
        <v>2417</v>
      </c>
      <c r="AB360" s="133" t="s">
        <v>2417</v>
      </c>
      <c r="AC360" s="133" t="s">
        <v>2417</v>
      </c>
      <c r="AD360" s="133" t="s">
        <v>2417</v>
      </c>
      <c r="AE360" s="151"/>
    </row>
    <row r="361" spans="1:31" ht="13.2" outlineLevel="2">
      <c r="A361" s="68" t="s">
        <v>1140</v>
      </c>
      <c r="B361" s="64" t="s">
        <v>1141</v>
      </c>
      <c r="C361" s="387" t="s">
        <v>1115</v>
      </c>
      <c r="D361" s="351"/>
      <c r="E361" s="133" t="s">
        <v>2417</v>
      </c>
      <c r="F361" s="132" t="s">
        <v>2417</v>
      </c>
      <c r="G361" s="144" t="s">
        <v>2417</v>
      </c>
      <c r="H361" s="132" t="s">
        <v>2417</v>
      </c>
      <c r="I361" s="134" t="s">
        <v>2418</v>
      </c>
      <c r="J361" s="132" t="s">
        <v>2417</v>
      </c>
      <c r="K361" s="132" t="s">
        <v>2417</v>
      </c>
      <c r="L361" s="132" t="s">
        <v>2417</v>
      </c>
      <c r="M361" s="133" t="s">
        <v>2417</v>
      </c>
      <c r="N361" s="133" t="s">
        <v>2417</v>
      </c>
      <c r="O361" s="133" t="s">
        <v>2417</v>
      </c>
      <c r="P361" s="132" t="s">
        <v>2417</v>
      </c>
      <c r="Q361" s="133" t="s">
        <v>2417</v>
      </c>
      <c r="R361" s="133" t="s">
        <v>2417</v>
      </c>
      <c r="S361" s="132" t="s">
        <v>2417</v>
      </c>
      <c r="T361" s="132" t="s">
        <v>2417</v>
      </c>
      <c r="U361" s="132" t="s">
        <v>2417</v>
      </c>
      <c r="V361" s="132" t="s">
        <v>2417</v>
      </c>
      <c r="W361" s="132" t="s">
        <v>2417</v>
      </c>
      <c r="X361" s="132" t="s">
        <v>2417</v>
      </c>
      <c r="Y361" s="132" t="s">
        <v>2417</v>
      </c>
      <c r="Z361" s="132" t="s">
        <v>2417</v>
      </c>
      <c r="AA361" s="133" t="s">
        <v>2417</v>
      </c>
      <c r="AB361" s="133" t="s">
        <v>2417</v>
      </c>
      <c r="AC361" s="133" t="s">
        <v>2417</v>
      </c>
      <c r="AD361" s="133" t="s">
        <v>2417</v>
      </c>
      <c r="AE361" s="151"/>
    </row>
    <row r="362" spans="1:31" ht="13.2" outlineLevel="2">
      <c r="A362" s="68" t="s">
        <v>1142</v>
      </c>
      <c r="B362" s="64" t="s">
        <v>1143</v>
      </c>
      <c r="C362" s="387" t="s">
        <v>1115</v>
      </c>
      <c r="D362" s="351"/>
      <c r="E362" s="133" t="s">
        <v>2417</v>
      </c>
      <c r="F362" s="132" t="s">
        <v>2417</v>
      </c>
      <c r="G362" s="144" t="s">
        <v>2417</v>
      </c>
      <c r="H362" s="132" t="s">
        <v>2417</v>
      </c>
      <c r="I362" s="134" t="s">
        <v>2418</v>
      </c>
      <c r="J362" s="132" t="s">
        <v>2417</v>
      </c>
      <c r="K362" s="132" t="s">
        <v>2417</v>
      </c>
      <c r="L362" s="132" t="s">
        <v>2417</v>
      </c>
      <c r="M362" s="133" t="s">
        <v>2417</v>
      </c>
      <c r="N362" s="133" t="s">
        <v>2417</v>
      </c>
      <c r="O362" s="133" t="s">
        <v>2417</v>
      </c>
      <c r="P362" s="132" t="s">
        <v>2417</v>
      </c>
      <c r="Q362" s="133" t="s">
        <v>2417</v>
      </c>
      <c r="R362" s="133" t="s">
        <v>2417</v>
      </c>
      <c r="S362" s="132" t="s">
        <v>2417</v>
      </c>
      <c r="T362" s="132" t="s">
        <v>2417</v>
      </c>
      <c r="U362" s="132" t="s">
        <v>2417</v>
      </c>
      <c r="V362" s="132" t="s">
        <v>2417</v>
      </c>
      <c r="W362" s="132" t="s">
        <v>2417</v>
      </c>
      <c r="X362" s="132" t="s">
        <v>2417</v>
      </c>
      <c r="Y362" s="132" t="s">
        <v>2417</v>
      </c>
      <c r="Z362" s="132" t="s">
        <v>2417</v>
      </c>
      <c r="AA362" s="133" t="s">
        <v>2417</v>
      </c>
      <c r="AB362" s="133" t="s">
        <v>2417</v>
      </c>
      <c r="AC362" s="133" t="s">
        <v>2417</v>
      </c>
      <c r="AD362" s="133" t="s">
        <v>2417</v>
      </c>
      <c r="AE362" s="151"/>
    </row>
    <row r="363" spans="1:31" ht="13.2" outlineLevel="2">
      <c r="A363" s="68" t="s">
        <v>1144</v>
      </c>
      <c r="B363" s="64" t="s">
        <v>1145</v>
      </c>
      <c r="C363" s="387" t="s">
        <v>1115</v>
      </c>
      <c r="D363" s="351"/>
      <c r="E363" s="133" t="s">
        <v>2417</v>
      </c>
      <c r="F363" s="132" t="s">
        <v>2417</v>
      </c>
      <c r="G363" s="144" t="s">
        <v>2417</v>
      </c>
      <c r="H363" s="132" t="s">
        <v>2417</v>
      </c>
      <c r="I363" s="134" t="s">
        <v>2418</v>
      </c>
      <c r="J363" s="132" t="s">
        <v>2417</v>
      </c>
      <c r="K363" s="132" t="s">
        <v>2417</v>
      </c>
      <c r="L363" s="132" t="s">
        <v>2417</v>
      </c>
      <c r="M363" s="133" t="s">
        <v>2417</v>
      </c>
      <c r="N363" s="133" t="s">
        <v>2417</v>
      </c>
      <c r="O363" s="133" t="s">
        <v>2417</v>
      </c>
      <c r="P363" s="132" t="s">
        <v>2417</v>
      </c>
      <c r="Q363" s="133" t="s">
        <v>2417</v>
      </c>
      <c r="R363" s="133" t="s">
        <v>2417</v>
      </c>
      <c r="S363" s="132" t="s">
        <v>2417</v>
      </c>
      <c r="T363" s="132" t="s">
        <v>2417</v>
      </c>
      <c r="U363" s="132" t="s">
        <v>2417</v>
      </c>
      <c r="V363" s="132" t="s">
        <v>2417</v>
      </c>
      <c r="W363" s="132" t="s">
        <v>2417</v>
      </c>
      <c r="X363" s="132" t="s">
        <v>2417</v>
      </c>
      <c r="Y363" s="132" t="s">
        <v>2417</v>
      </c>
      <c r="Z363" s="132" t="s">
        <v>2417</v>
      </c>
      <c r="AA363" s="133" t="s">
        <v>2417</v>
      </c>
      <c r="AB363" s="133" t="s">
        <v>2417</v>
      </c>
      <c r="AC363" s="133" t="s">
        <v>2417</v>
      </c>
      <c r="AD363" s="133" t="s">
        <v>2417</v>
      </c>
      <c r="AE363" s="151"/>
    </row>
    <row r="364" spans="1:31" ht="13.2" outlineLevel="2">
      <c r="A364" s="68" t="s">
        <v>1146</v>
      </c>
      <c r="B364" s="64" t="s">
        <v>1147</v>
      </c>
      <c r="C364" s="387" t="s">
        <v>1115</v>
      </c>
      <c r="D364" s="351"/>
      <c r="E364" s="133" t="s">
        <v>2417</v>
      </c>
      <c r="F364" s="132" t="s">
        <v>2417</v>
      </c>
      <c r="G364" s="144" t="s">
        <v>2417</v>
      </c>
      <c r="H364" s="132" t="s">
        <v>2417</v>
      </c>
      <c r="I364" s="134" t="s">
        <v>2418</v>
      </c>
      <c r="J364" s="132" t="s">
        <v>2417</v>
      </c>
      <c r="K364" s="132" t="s">
        <v>2417</v>
      </c>
      <c r="L364" s="132" t="s">
        <v>2417</v>
      </c>
      <c r="M364" s="133" t="s">
        <v>2417</v>
      </c>
      <c r="N364" s="133" t="s">
        <v>2417</v>
      </c>
      <c r="O364" s="133" t="s">
        <v>2417</v>
      </c>
      <c r="P364" s="132" t="s">
        <v>2417</v>
      </c>
      <c r="Q364" s="133" t="s">
        <v>2417</v>
      </c>
      <c r="R364" s="133" t="s">
        <v>2417</v>
      </c>
      <c r="S364" s="132" t="s">
        <v>2417</v>
      </c>
      <c r="T364" s="132" t="s">
        <v>2417</v>
      </c>
      <c r="U364" s="132" t="s">
        <v>2417</v>
      </c>
      <c r="V364" s="132" t="s">
        <v>2417</v>
      </c>
      <c r="W364" s="132" t="s">
        <v>2417</v>
      </c>
      <c r="X364" s="132" t="s">
        <v>2417</v>
      </c>
      <c r="Y364" s="132" t="s">
        <v>2417</v>
      </c>
      <c r="Z364" s="132" t="s">
        <v>2417</v>
      </c>
      <c r="AA364" s="133" t="s">
        <v>2417</v>
      </c>
      <c r="AB364" s="133" t="s">
        <v>2417</v>
      </c>
      <c r="AC364" s="133" t="s">
        <v>2417</v>
      </c>
      <c r="AD364" s="133" t="s">
        <v>2417</v>
      </c>
      <c r="AE364" s="151"/>
    </row>
    <row r="365" spans="1:31" ht="13.2" outlineLevel="2">
      <c r="A365" s="68" t="s">
        <v>1148</v>
      </c>
      <c r="B365" s="64" t="s">
        <v>1149</v>
      </c>
      <c r="C365" s="387" t="s">
        <v>1115</v>
      </c>
      <c r="D365" s="351"/>
      <c r="E365" s="133" t="s">
        <v>2417</v>
      </c>
      <c r="F365" s="132" t="s">
        <v>2417</v>
      </c>
      <c r="G365" s="144" t="s">
        <v>2417</v>
      </c>
      <c r="H365" s="132" t="s">
        <v>2417</v>
      </c>
      <c r="I365" s="134" t="s">
        <v>2418</v>
      </c>
      <c r="J365" s="132" t="s">
        <v>2417</v>
      </c>
      <c r="K365" s="132" t="s">
        <v>2417</v>
      </c>
      <c r="L365" s="132" t="s">
        <v>2417</v>
      </c>
      <c r="M365" s="133" t="s">
        <v>2417</v>
      </c>
      <c r="N365" s="133" t="s">
        <v>2417</v>
      </c>
      <c r="O365" s="133" t="s">
        <v>2417</v>
      </c>
      <c r="P365" s="132" t="s">
        <v>2417</v>
      </c>
      <c r="Q365" s="133" t="s">
        <v>2417</v>
      </c>
      <c r="R365" s="133" t="s">
        <v>2417</v>
      </c>
      <c r="S365" s="132" t="s">
        <v>2417</v>
      </c>
      <c r="T365" s="132" t="s">
        <v>2417</v>
      </c>
      <c r="U365" s="132" t="s">
        <v>2417</v>
      </c>
      <c r="V365" s="132" t="s">
        <v>2417</v>
      </c>
      <c r="W365" s="132" t="s">
        <v>2417</v>
      </c>
      <c r="X365" s="132" t="s">
        <v>2417</v>
      </c>
      <c r="Y365" s="132" t="s">
        <v>2417</v>
      </c>
      <c r="Z365" s="132" t="s">
        <v>2417</v>
      </c>
      <c r="AA365" s="133" t="s">
        <v>2417</v>
      </c>
      <c r="AB365" s="133" t="s">
        <v>2417</v>
      </c>
      <c r="AC365" s="133" t="s">
        <v>2417</v>
      </c>
      <c r="AD365" s="133" t="s">
        <v>2417</v>
      </c>
      <c r="AE365" s="151"/>
    </row>
    <row r="366" spans="1:31" ht="13.2" outlineLevel="2">
      <c r="A366" s="68" t="s">
        <v>1150</v>
      </c>
      <c r="B366" s="64" t="s">
        <v>1151</v>
      </c>
      <c r="C366" s="387" t="s">
        <v>1115</v>
      </c>
      <c r="D366" s="351"/>
      <c r="E366" s="133" t="s">
        <v>2417</v>
      </c>
      <c r="F366" s="132" t="s">
        <v>2417</v>
      </c>
      <c r="G366" s="144" t="s">
        <v>2417</v>
      </c>
      <c r="H366" s="132" t="s">
        <v>2417</v>
      </c>
      <c r="I366" s="134" t="s">
        <v>2418</v>
      </c>
      <c r="J366" s="132" t="s">
        <v>2417</v>
      </c>
      <c r="K366" s="132" t="s">
        <v>2417</v>
      </c>
      <c r="L366" s="132" t="s">
        <v>2417</v>
      </c>
      <c r="M366" s="133" t="s">
        <v>2417</v>
      </c>
      <c r="N366" s="133" t="s">
        <v>2417</v>
      </c>
      <c r="O366" s="133" t="s">
        <v>2417</v>
      </c>
      <c r="P366" s="132" t="s">
        <v>2417</v>
      </c>
      <c r="Q366" s="133" t="s">
        <v>2417</v>
      </c>
      <c r="R366" s="133" t="s">
        <v>2417</v>
      </c>
      <c r="S366" s="132" t="s">
        <v>2417</v>
      </c>
      <c r="T366" s="132" t="s">
        <v>2417</v>
      </c>
      <c r="U366" s="132" t="s">
        <v>2417</v>
      </c>
      <c r="V366" s="132" t="s">
        <v>2417</v>
      </c>
      <c r="W366" s="132" t="s">
        <v>2417</v>
      </c>
      <c r="X366" s="132" t="s">
        <v>2417</v>
      </c>
      <c r="Y366" s="132" t="s">
        <v>2417</v>
      </c>
      <c r="Z366" s="132" t="s">
        <v>2417</v>
      </c>
      <c r="AA366" s="133" t="s">
        <v>2417</v>
      </c>
      <c r="AB366" s="133" t="s">
        <v>2417</v>
      </c>
      <c r="AC366" s="133" t="s">
        <v>2417</v>
      </c>
      <c r="AD366" s="133" t="s">
        <v>2417</v>
      </c>
      <c r="AE366" s="151"/>
    </row>
    <row r="367" spans="1:31" ht="13.2" outlineLevel="2">
      <c r="A367" s="68" t="s">
        <v>1152</v>
      </c>
      <c r="B367" s="64" t="s">
        <v>1153</v>
      </c>
      <c r="C367" s="387" t="s">
        <v>1115</v>
      </c>
      <c r="D367" s="351"/>
      <c r="E367" s="133" t="s">
        <v>2417</v>
      </c>
      <c r="F367" s="132" t="s">
        <v>2417</v>
      </c>
      <c r="G367" s="144" t="s">
        <v>2417</v>
      </c>
      <c r="H367" s="132" t="s">
        <v>2417</v>
      </c>
      <c r="I367" s="134" t="s">
        <v>2418</v>
      </c>
      <c r="J367" s="132" t="s">
        <v>2417</v>
      </c>
      <c r="K367" s="132" t="s">
        <v>2417</v>
      </c>
      <c r="L367" s="132" t="s">
        <v>2417</v>
      </c>
      <c r="M367" s="133" t="s">
        <v>2417</v>
      </c>
      <c r="N367" s="133" t="s">
        <v>2417</v>
      </c>
      <c r="O367" s="133" t="s">
        <v>2417</v>
      </c>
      <c r="P367" s="132" t="s">
        <v>2417</v>
      </c>
      <c r="Q367" s="133" t="s">
        <v>2417</v>
      </c>
      <c r="R367" s="133" t="s">
        <v>2417</v>
      </c>
      <c r="S367" s="132" t="s">
        <v>2417</v>
      </c>
      <c r="T367" s="132" t="s">
        <v>2417</v>
      </c>
      <c r="U367" s="132" t="s">
        <v>2417</v>
      </c>
      <c r="V367" s="132" t="s">
        <v>2417</v>
      </c>
      <c r="W367" s="132" t="s">
        <v>2417</v>
      </c>
      <c r="X367" s="132" t="s">
        <v>2417</v>
      </c>
      <c r="Y367" s="132" t="s">
        <v>2417</v>
      </c>
      <c r="Z367" s="132" t="s">
        <v>2417</v>
      </c>
      <c r="AA367" s="133" t="s">
        <v>2417</v>
      </c>
      <c r="AB367" s="133" t="s">
        <v>2417</v>
      </c>
      <c r="AC367" s="133" t="s">
        <v>2417</v>
      </c>
      <c r="AD367" s="133" t="s">
        <v>2417</v>
      </c>
      <c r="AE367" s="151"/>
    </row>
    <row r="368" spans="1:31" ht="13.2" outlineLevel="2">
      <c r="A368" s="68" t="s">
        <v>1154</v>
      </c>
      <c r="B368" s="64" t="s">
        <v>1155</v>
      </c>
      <c r="C368" s="387" t="s">
        <v>1115</v>
      </c>
      <c r="D368" s="351"/>
      <c r="E368" s="133" t="s">
        <v>2417</v>
      </c>
      <c r="F368" s="132" t="s">
        <v>2417</v>
      </c>
      <c r="G368" s="144" t="s">
        <v>2417</v>
      </c>
      <c r="H368" s="132" t="s">
        <v>2417</v>
      </c>
      <c r="I368" s="134" t="s">
        <v>2418</v>
      </c>
      <c r="J368" s="132" t="s">
        <v>2417</v>
      </c>
      <c r="K368" s="132" t="s">
        <v>2417</v>
      </c>
      <c r="L368" s="132" t="s">
        <v>2417</v>
      </c>
      <c r="M368" s="133" t="s">
        <v>2417</v>
      </c>
      <c r="N368" s="133" t="s">
        <v>2417</v>
      </c>
      <c r="O368" s="133" t="s">
        <v>2417</v>
      </c>
      <c r="P368" s="132" t="s">
        <v>2417</v>
      </c>
      <c r="Q368" s="133" t="s">
        <v>2417</v>
      </c>
      <c r="R368" s="133" t="s">
        <v>2417</v>
      </c>
      <c r="S368" s="132" t="s">
        <v>2417</v>
      </c>
      <c r="T368" s="132" t="s">
        <v>2417</v>
      </c>
      <c r="U368" s="132" t="s">
        <v>2417</v>
      </c>
      <c r="V368" s="132" t="s">
        <v>2417</v>
      </c>
      <c r="W368" s="132" t="s">
        <v>2417</v>
      </c>
      <c r="X368" s="132" t="s">
        <v>2417</v>
      </c>
      <c r="Y368" s="132" t="s">
        <v>2417</v>
      </c>
      <c r="Z368" s="132" t="s">
        <v>2417</v>
      </c>
      <c r="AA368" s="133" t="s">
        <v>2417</v>
      </c>
      <c r="AB368" s="133" t="s">
        <v>2417</v>
      </c>
      <c r="AC368" s="133" t="s">
        <v>2417</v>
      </c>
      <c r="AD368" s="133" t="s">
        <v>2417</v>
      </c>
      <c r="AE368" s="151"/>
    </row>
    <row r="369" spans="1:31" ht="13.2" outlineLevel="2">
      <c r="A369" s="68" t="s">
        <v>1156</v>
      </c>
      <c r="B369" s="64" t="s">
        <v>1157</v>
      </c>
      <c r="C369" s="387" t="s">
        <v>1115</v>
      </c>
      <c r="D369" s="351"/>
      <c r="E369" s="133" t="s">
        <v>2417</v>
      </c>
      <c r="F369" s="132" t="s">
        <v>2417</v>
      </c>
      <c r="G369" s="137" t="s">
        <v>2482</v>
      </c>
      <c r="H369" s="132" t="s">
        <v>2417</v>
      </c>
      <c r="I369" s="134" t="s">
        <v>2418</v>
      </c>
      <c r="J369" s="132" t="s">
        <v>2417</v>
      </c>
      <c r="K369" s="132" t="s">
        <v>2417</v>
      </c>
      <c r="L369" s="132" t="s">
        <v>2417</v>
      </c>
      <c r="M369" s="133" t="s">
        <v>2417</v>
      </c>
      <c r="N369" s="133" t="s">
        <v>2417</v>
      </c>
      <c r="O369" s="133" t="s">
        <v>2417</v>
      </c>
      <c r="P369" s="132" t="s">
        <v>2417</v>
      </c>
      <c r="Q369" s="133" t="s">
        <v>2417</v>
      </c>
      <c r="R369" s="133" t="s">
        <v>2417</v>
      </c>
      <c r="S369" s="132" t="s">
        <v>2417</v>
      </c>
      <c r="T369" s="132" t="s">
        <v>2417</v>
      </c>
      <c r="U369" s="132" t="s">
        <v>2417</v>
      </c>
      <c r="V369" s="132" t="s">
        <v>2417</v>
      </c>
      <c r="W369" s="132" t="s">
        <v>2417</v>
      </c>
      <c r="X369" s="132" t="s">
        <v>2417</v>
      </c>
      <c r="Y369" s="132" t="s">
        <v>2417</v>
      </c>
      <c r="Z369" s="132" t="s">
        <v>2417</v>
      </c>
      <c r="AA369" s="133" t="s">
        <v>2417</v>
      </c>
      <c r="AB369" s="133" t="s">
        <v>2417</v>
      </c>
      <c r="AC369" s="133" t="s">
        <v>2417</v>
      </c>
      <c r="AD369" s="133" t="s">
        <v>2417</v>
      </c>
      <c r="AE369" s="151"/>
    </row>
    <row r="370" spans="1:31" ht="13.2" outlineLevel="2">
      <c r="A370" s="84" t="s">
        <v>1158</v>
      </c>
      <c r="B370" s="69" t="s">
        <v>1159</v>
      </c>
      <c r="C370" s="360" t="s">
        <v>1115</v>
      </c>
      <c r="D370" s="351"/>
      <c r="E370" s="133" t="s">
        <v>2417</v>
      </c>
      <c r="F370" s="132" t="s">
        <v>2417</v>
      </c>
      <c r="G370" s="137" t="s">
        <v>2482</v>
      </c>
      <c r="H370" s="132" t="s">
        <v>2417</v>
      </c>
      <c r="I370" s="134" t="s">
        <v>2418</v>
      </c>
      <c r="J370" s="132" t="s">
        <v>2417</v>
      </c>
      <c r="K370" s="132" t="s">
        <v>2417</v>
      </c>
      <c r="L370" s="132" t="s">
        <v>2417</v>
      </c>
      <c r="M370" s="133" t="s">
        <v>2417</v>
      </c>
      <c r="N370" s="133" t="s">
        <v>2417</v>
      </c>
      <c r="O370" s="133" t="s">
        <v>2417</v>
      </c>
      <c r="P370" s="132" t="s">
        <v>2417</v>
      </c>
      <c r="Q370" s="133" t="s">
        <v>2417</v>
      </c>
      <c r="R370" s="133" t="s">
        <v>2417</v>
      </c>
      <c r="S370" s="132" t="s">
        <v>2417</v>
      </c>
      <c r="T370" s="132" t="s">
        <v>2417</v>
      </c>
      <c r="U370" s="132" t="s">
        <v>2417</v>
      </c>
      <c r="V370" s="132" t="s">
        <v>2417</v>
      </c>
      <c r="W370" s="132" t="s">
        <v>2417</v>
      </c>
      <c r="X370" s="132" t="s">
        <v>2417</v>
      </c>
      <c r="Y370" s="132" t="s">
        <v>2417</v>
      </c>
      <c r="Z370" s="132" t="s">
        <v>2417</v>
      </c>
      <c r="AA370" s="133" t="s">
        <v>2417</v>
      </c>
      <c r="AB370" s="133" t="s">
        <v>2417</v>
      </c>
      <c r="AC370" s="133" t="s">
        <v>2417</v>
      </c>
      <c r="AD370" s="133" t="s">
        <v>2417</v>
      </c>
      <c r="AE370" s="149"/>
    </row>
    <row r="371" spans="1:31" ht="13.2" outlineLevel="2">
      <c r="A371" s="84" t="s">
        <v>1160</v>
      </c>
      <c r="B371" s="69" t="s">
        <v>1161</v>
      </c>
      <c r="C371" s="360" t="s">
        <v>1115</v>
      </c>
      <c r="D371" s="351"/>
      <c r="E371" s="133" t="s">
        <v>2417</v>
      </c>
      <c r="F371" s="132" t="s">
        <v>2417</v>
      </c>
      <c r="G371" s="137" t="s">
        <v>2482</v>
      </c>
      <c r="H371" s="132" t="s">
        <v>2417</v>
      </c>
      <c r="I371" s="134" t="s">
        <v>2418</v>
      </c>
      <c r="J371" s="132" t="s">
        <v>2417</v>
      </c>
      <c r="K371" s="132" t="s">
        <v>2417</v>
      </c>
      <c r="L371" s="132" t="s">
        <v>2417</v>
      </c>
      <c r="M371" s="133" t="s">
        <v>2417</v>
      </c>
      <c r="N371" s="133" t="s">
        <v>2417</v>
      </c>
      <c r="O371" s="133" t="s">
        <v>2417</v>
      </c>
      <c r="P371" s="132" t="s">
        <v>2417</v>
      </c>
      <c r="Q371" s="133" t="s">
        <v>2417</v>
      </c>
      <c r="R371" s="133" t="s">
        <v>2417</v>
      </c>
      <c r="S371" s="132" t="s">
        <v>2417</v>
      </c>
      <c r="T371" s="132" t="s">
        <v>2417</v>
      </c>
      <c r="U371" s="132" t="s">
        <v>2417</v>
      </c>
      <c r="V371" s="132" t="s">
        <v>2417</v>
      </c>
      <c r="W371" s="132" t="s">
        <v>2417</v>
      </c>
      <c r="X371" s="132" t="s">
        <v>2417</v>
      </c>
      <c r="Y371" s="132" t="s">
        <v>2417</v>
      </c>
      <c r="Z371" s="132" t="s">
        <v>2417</v>
      </c>
      <c r="AA371" s="133" t="s">
        <v>2417</v>
      </c>
      <c r="AB371" s="133" t="s">
        <v>2417</v>
      </c>
      <c r="AC371" s="133" t="s">
        <v>2417</v>
      </c>
      <c r="AD371" s="133" t="s">
        <v>2417</v>
      </c>
      <c r="AE371" s="149"/>
    </row>
    <row r="372" spans="1:31" ht="13.2" outlineLevel="2">
      <c r="A372" s="84" t="s">
        <v>1162</v>
      </c>
      <c r="B372" s="69" t="s">
        <v>1163</v>
      </c>
      <c r="C372" s="360" t="s">
        <v>1115</v>
      </c>
      <c r="D372" s="351"/>
      <c r="E372" s="133" t="s">
        <v>2417</v>
      </c>
      <c r="F372" s="132" t="s">
        <v>2417</v>
      </c>
      <c r="G372" s="137" t="s">
        <v>2482</v>
      </c>
      <c r="H372" s="132" t="s">
        <v>2417</v>
      </c>
      <c r="I372" s="134" t="s">
        <v>2418</v>
      </c>
      <c r="J372" s="132" t="s">
        <v>2417</v>
      </c>
      <c r="K372" s="132" t="s">
        <v>2417</v>
      </c>
      <c r="L372" s="132" t="s">
        <v>2417</v>
      </c>
      <c r="M372" s="133" t="s">
        <v>2417</v>
      </c>
      <c r="N372" s="133" t="s">
        <v>2417</v>
      </c>
      <c r="O372" s="133" t="s">
        <v>2417</v>
      </c>
      <c r="P372" s="132" t="s">
        <v>2417</v>
      </c>
      <c r="Q372" s="133" t="s">
        <v>2417</v>
      </c>
      <c r="R372" s="133" t="s">
        <v>2417</v>
      </c>
      <c r="S372" s="132" t="s">
        <v>2417</v>
      </c>
      <c r="T372" s="132" t="s">
        <v>2417</v>
      </c>
      <c r="U372" s="132" t="s">
        <v>2417</v>
      </c>
      <c r="V372" s="132" t="s">
        <v>2417</v>
      </c>
      <c r="W372" s="132" t="s">
        <v>2417</v>
      </c>
      <c r="X372" s="132" t="s">
        <v>2417</v>
      </c>
      <c r="Y372" s="132" t="s">
        <v>2417</v>
      </c>
      <c r="Z372" s="132" t="s">
        <v>2417</v>
      </c>
      <c r="AA372" s="133" t="s">
        <v>2417</v>
      </c>
      <c r="AB372" s="133" t="s">
        <v>2417</v>
      </c>
      <c r="AC372" s="133" t="s">
        <v>2417</v>
      </c>
      <c r="AD372" s="133" t="s">
        <v>2417</v>
      </c>
      <c r="AE372" s="149"/>
    </row>
    <row r="373" spans="1:31" ht="13.2" outlineLevel="2">
      <c r="A373" s="84" t="s">
        <v>1164</v>
      </c>
      <c r="B373" s="69" t="s">
        <v>1165</v>
      </c>
      <c r="C373" s="360" t="s">
        <v>1115</v>
      </c>
      <c r="D373" s="351"/>
      <c r="E373" s="133" t="s">
        <v>2417</v>
      </c>
      <c r="F373" s="132" t="s">
        <v>2417</v>
      </c>
      <c r="G373" s="137" t="s">
        <v>2482</v>
      </c>
      <c r="H373" s="132" t="s">
        <v>2417</v>
      </c>
      <c r="I373" s="134" t="s">
        <v>2418</v>
      </c>
      <c r="J373" s="132" t="s">
        <v>2417</v>
      </c>
      <c r="K373" s="132" t="s">
        <v>2417</v>
      </c>
      <c r="L373" s="132" t="s">
        <v>2417</v>
      </c>
      <c r="M373" s="133" t="s">
        <v>2417</v>
      </c>
      <c r="N373" s="133" t="s">
        <v>2417</v>
      </c>
      <c r="O373" s="133" t="s">
        <v>2417</v>
      </c>
      <c r="P373" s="132" t="s">
        <v>2417</v>
      </c>
      <c r="Q373" s="133" t="s">
        <v>2417</v>
      </c>
      <c r="R373" s="133" t="s">
        <v>2417</v>
      </c>
      <c r="S373" s="132" t="s">
        <v>2417</v>
      </c>
      <c r="T373" s="132" t="s">
        <v>2417</v>
      </c>
      <c r="U373" s="132" t="s">
        <v>2417</v>
      </c>
      <c r="V373" s="132" t="s">
        <v>2417</v>
      </c>
      <c r="W373" s="132" t="s">
        <v>2417</v>
      </c>
      <c r="X373" s="132" t="s">
        <v>2417</v>
      </c>
      <c r="Y373" s="132" t="s">
        <v>2417</v>
      </c>
      <c r="Z373" s="132" t="s">
        <v>2417</v>
      </c>
      <c r="AA373" s="133" t="s">
        <v>2417</v>
      </c>
      <c r="AB373" s="133" t="s">
        <v>2417</v>
      </c>
      <c r="AC373" s="133" t="s">
        <v>2417</v>
      </c>
      <c r="AD373" s="133" t="s">
        <v>2417</v>
      </c>
      <c r="AE373" s="149"/>
    </row>
    <row r="374" spans="1:31" ht="13.2" outlineLevel="2">
      <c r="A374" s="84" t="s">
        <v>1166</v>
      </c>
      <c r="B374" s="69" t="s">
        <v>1167</v>
      </c>
      <c r="C374" s="360" t="s">
        <v>1115</v>
      </c>
      <c r="D374" s="351"/>
      <c r="E374" s="133" t="s">
        <v>2417</v>
      </c>
      <c r="F374" s="132" t="s">
        <v>2417</v>
      </c>
      <c r="G374" s="137" t="s">
        <v>2482</v>
      </c>
      <c r="H374" s="132" t="s">
        <v>2417</v>
      </c>
      <c r="I374" s="134" t="s">
        <v>2418</v>
      </c>
      <c r="J374" s="132" t="s">
        <v>2417</v>
      </c>
      <c r="K374" s="132" t="s">
        <v>2417</v>
      </c>
      <c r="L374" s="132" t="s">
        <v>2417</v>
      </c>
      <c r="M374" s="133" t="s">
        <v>2417</v>
      </c>
      <c r="N374" s="133" t="s">
        <v>2417</v>
      </c>
      <c r="O374" s="133" t="s">
        <v>2417</v>
      </c>
      <c r="P374" s="132" t="s">
        <v>2417</v>
      </c>
      <c r="Q374" s="133" t="s">
        <v>2417</v>
      </c>
      <c r="R374" s="133" t="s">
        <v>2417</v>
      </c>
      <c r="S374" s="132" t="s">
        <v>2417</v>
      </c>
      <c r="T374" s="132" t="s">
        <v>2417</v>
      </c>
      <c r="U374" s="132" t="s">
        <v>2417</v>
      </c>
      <c r="V374" s="132" t="s">
        <v>2417</v>
      </c>
      <c r="W374" s="132" t="s">
        <v>2417</v>
      </c>
      <c r="X374" s="132" t="s">
        <v>2417</v>
      </c>
      <c r="Y374" s="132" t="s">
        <v>2417</v>
      </c>
      <c r="Z374" s="132" t="s">
        <v>2417</v>
      </c>
      <c r="AA374" s="133" t="s">
        <v>2417</v>
      </c>
      <c r="AB374" s="133" t="s">
        <v>2417</v>
      </c>
      <c r="AC374" s="133" t="s">
        <v>2417</v>
      </c>
      <c r="AD374" s="133" t="s">
        <v>2417</v>
      </c>
      <c r="AE374" s="149"/>
    </row>
    <row r="375" spans="1:31" ht="13.2" outlineLevel="2">
      <c r="A375" s="84" t="s">
        <v>1168</v>
      </c>
      <c r="B375" s="69" t="s">
        <v>1169</v>
      </c>
      <c r="C375" s="360" t="s">
        <v>1115</v>
      </c>
      <c r="D375" s="351"/>
      <c r="E375" s="133" t="s">
        <v>2417</v>
      </c>
      <c r="F375" s="132" t="s">
        <v>2417</v>
      </c>
      <c r="G375" s="137" t="s">
        <v>2482</v>
      </c>
      <c r="H375" s="132" t="s">
        <v>2417</v>
      </c>
      <c r="I375" s="134" t="s">
        <v>2418</v>
      </c>
      <c r="J375" s="132" t="s">
        <v>2417</v>
      </c>
      <c r="K375" s="132" t="s">
        <v>2417</v>
      </c>
      <c r="L375" s="132" t="s">
        <v>2417</v>
      </c>
      <c r="M375" s="133" t="s">
        <v>2417</v>
      </c>
      <c r="N375" s="133" t="s">
        <v>2417</v>
      </c>
      <c r="O375" s="133" t="s">
        <v>2417</v>
      </c>
      <c r="P375" s="132" t="s">
        <v>2417</v>
      </c>
      <c r="Q375" s="133" t="s">
        <v>2417</v>
      </c>
      <c r="R375" s="133" t="s">
        <v>2417</v>
      </c>
      <c r="S375" s="132" t="s">
        <v>2417</v>
      </c>
      <c r="T375" s="132" t="s">
        <v>2417</v>
      </c>
      <c r="U375" s="132" t="s">
        <v>2417</v>
      </c>
      <c r="V375" s="132" t="s">
        <v>2417</v>
      </c>
      <c r="W375" s="132" t="s">
        <v>2417</v>
      </c>
      <c r="X375" s="132" t="s">
        <v>2417</v>
      </c>
      <c r="Y375" s="132" t="s">
        <v>2417</v>
      </c>
      <c r="Z375" s="132" t="s">
        <v>2417</v>
      </c>
      <c r="AA375" s="133" t="s">
        <v>2417</v>
      </c>
      <c r="AB375" s="133" t="s">
        <v>2417</v>
      </c>
      <c r="AC375" s="133" t="s">
        <v>2417</v>
      </c>
      <c r="AD375" s="133" t="s">
        <v>2417</v>
      </c>
      <c r="AE375" s="149"/>
    </row>
    <row r="376" spans="1:31" ht="13.2" outlineLevel="2">
      <c r="A376" s="84" t="s">
        <v>1170</v>
      </c>
      <c r="B376" s="69" t="s">
        <v>1171</v>
      </c>
      <c r="C376" s="360" t="s">
        <v>1115</v>
      </c>
      <c r="D376" s="351"/>
      <c r="E376" s="133" t="s">
        <v>2417</v>
      </c>
      <c r="F376" s="132" t="s">
        <v>2417</v>
      </c>
      <c r="G376" s="137" t="s">
        <v>2482</v>
      </c>
      <c r="H376" s="132" t="s">
        <v>2417</v>
      </c>
      <c r="I376" s="134" t="s">
        <v>2418</v>
      </c>
      <c r="J376" s="132" t="s">
        <v>2417</v>
      </c>
      <c r="K376" s="132" t="s">
        <v>2417</v>
      </c>
      <c r="L376" s="132" t="s">
        <v>2417</v>
      </c>
      <c r="M376" s="133" t="s">
        <v>2417</v>
      </c>
      <c r="N376" s="133" t="s">
        <v>2417</v>
      </c>
      <c r="O376" s="133" t="s">
        <v>2417</v>
      </c>
      <c r="P376" s="132" t="s">
        <v>2417</v>
      </c>
      <c r="Q376" s="133" t="s">
        <v>2417</v>
      </c>
      <c r="R376" s="133" t="s">
        <v>2417</v>
      </c>
      <c r="S376" s="132" t="s">
        <v>2417</v>
      </c>
      <c r="T376" s="132" t="s">
        <v>2417</v>
      </c>
      <c r="U376" s="132" t="s">
        <v>2417</v>
      </c>
      <c r="V376" s="132" t="s">
        <v>2417</v>
      </c>
      <c r="W376" s="132" t="s">
        <v>2417</v>
      </c>
      <c r="X376" s="132" t="s">
        <v>2417</v>
      </c>
      <c r="Y376" s="132" t="s">
        <v>2417</v>
      </c>
      <c r="Z376" s="132" t="s">
        <v>2417</v>
      </c>
      <c r="AA376" s="133" t="s">
        <v>2417</v>
      </c>
      <c r="AB376" s="133" t="s">
        <v>2417</v>
      </c>
      <c r="AC376" s="133" t="s">
        <v>2417</v>
      </c>
      <c r="AD376" s="133" t="s">
        <v>2417</v>
      </c>
      <c r="AE376" s="149"/>
    </row>
    <row r="377" spans="1:31" ht="13.2" outlineLevel="2">
      <c r="A377" s="84" t="s">
        <v>1172</v>
      </c>
      <c r="B377" s="69" t="s">
        <v>1173</v>
      </c>
      <c r="C377" s="360" t="s">
        <v>1115</v>
      </c>
      <c r="D377" s="351"/>
      <c r="E377" s="133" t="s">
        <v>2417</v>
      </c>
      <c r="F377" s="132" t="s">
        <v>2417</v>
      </c>
      <c r="G377" s="137" t="s">
        <v>2482</v>
      </c>
      <c r="H377" s="132" t="s">
        <v>2417</v>
      </c>
      <c r="I377" s="134" t="s">
        <v>2418</v>
      </c>
      <c r="J377" s="132" t="s">
        <v>2417</v>
      </c>
      <c r="K377" s="132" t="s">
        <v>2417</v>
      </c>
      <c r="L377" s="132" t="s">
        <v>2417</v>
      </c>
      <c r="M377" s="133" t="s">
        <v>2417</v>
      </c>
      <c r="N377" s="133" t="s">
        <v>2417</v>
      </c>
      <c r="O377" s="133" t="s">
        <v>2417</v>
      </c>
      <c r="P377" s="132" t="s">
        <v>2417</v>
      </c>
      <c r="Q377" s="133" t="s">
        <v>2417</v>
      </c>
      <c r="R377" s="133" t="s">
        <v>2417</v>
      </c>
      <c r="S377" s="132" t="s">
        <v>2417</v>
      </c>
      <c r="T377" s="132" t="s">
        <v>2417</v>
      </c>
      <c r="U377" s="132" t="s">
        <v>2417</v>
      </c>
      <c r="V377" s="132" t="s">
        <v>2417</v>
      </c>
      <c r="W377" s="132" t="s">
        <v>2417</v>
      </c>
      <c r="X377" s="132" t="s">
        <v>2417</v>
      </c>
      <c r="Y377" s="132" t="s">
        <v>2417</v>
      </c>
      <c r="Z377" s="132" t="s">
        <v>2417</v>
      </c>
      <c r="AA377" s="133" t="s">
        <v>2417</v>
      </c>
      <c r="AB377" s="133" t="s">
        <v>2417</v>
      </c>
      <c r="AC377" s="133" t="s">
        <v>2417</v>
      </c>
      <c r="AD377" s="133" t="s">
        <v>2417</v>
      </c>
      <c r="AE377" s="149"/>
    </row>
    <row r="378" spans="1:31" ht="13.2" outlineLevel="2">
      <c r="A378" s="84" t="s">
        <v>1174</v>
      </c>
      <c r="B378" s="69" t="s">
        <v>1175</v>
      </c>
      <c r="C378" s="360" t="s">
        <v>1115</v>
      </c>
      <c r="D378" s="351"/>
      <c r="E378" s="133" t="s">
        <v>2417</v>
      </c>
      <c r="F378" s="132" t="s">
        <v>2417</v>
      </c>
      <c r="G378" s="137" t="s">
        <v>2482</v>
      </c>
      <c r="H378" s="132" t="s">
        <v>2417</v>
      </c>
      <c r="I378" s="134" t="s">
        <v>2418</v>
      </c>
      <c r="J378" s="132" t="s">
        <v>2417</v>
      </c>
      <c r="K378" s="132" t="s">
        <v>2417</v>
      </c>
      <c r="L378" s="132" t="s">
        <v>2417</v>
      </c>
      <c r="M378" s="133" t="s">
        <v>2417</v>
      </c>
      <c r="N378" s="133" t="s">
        <v>2417</v>
      </c>
      <c r="O378" s="133" t="s">
        <v>2417</v>
      </c>
      <c r="P378" s="132" t="s">
        <v>2417</v>
      </c>
      <c r="Q378" s="133" t="s">
        <v>2417</v>
      </c>
      <c r="R378" s="133" t="s">
        <v>2417</v>
      </c>
      <c r="S378" s="132" t="s">
        <v>2417</v>
      </c>
      <c r="T378" s="132" t="s">
        <v>2417</v>
      </c>
      <c r="U378" s="132" t="s">
        <v>2417</v>
      </c>
      <c r="V378" s="132" t="s">
        <v>2417</v>
      </c>
      <c r="W378" s="132" t="s">
        <v>2417</v>
      </c>
      <c r="X378" s="132" t="s">
        <v>2417</v>
      </c>
      <c r="Y378" s="132" t="s">
        <v>2417</v>
      </c>
      <c r="Z378" s="132" t="s">
        <v>2417</v>
      </c>
      <c r="AA378" s="133" t="s">
        <v>2417</v>
      </c>
      <c r="AB378" s="133" t="s">
        <v>2417</v>
      </c>
      <c r="AC378" s="133" t="s">
        <v>2417</v>
      </c>
      <c r="AD378" s="133" t="s">
        <v>2417</v>
      </c>
      <c r="AE378" s="149"/>
    </row>
    <row r="379" spans="1:31" ht="13.2" outlineLevel="2">
      <c r="A379" s="84" t="s">
        <v>1176</v>
      </c>
      <c r="B379" s="69" t="s">
        <v>1177</v>
      </c>
      <c r="C379" s="360" t="s">
        <v>1115</v>
      </c>
      <c r="D379" s="351"/>
      <c r="E379" s="133" t="s">
        <v>2417</v>
      </c>
      <c r="F379" s="132" t="s">
        <v>2417</v>
      </c>
      <c r="G379" s="137" t="s">
        <v>2482</v>
      </c>
      <c r="H379" s="132" t="s">
        <v>2417</v>
      </c>
      <c r="I379" s="134" t="s">
        <v>2418</v>
      </c>
      <c r="J379" s="132" t="s">
        <v>2417</v>
      </c>
      <c r="K379" s="132" t="s">
        <v>2417</v>
      </c>
      <c r="L379" s="132" t="s">
        <v>2417</v>
      </c>
      <c r="M379" s="133" t="s">
        <v>2417</v>
      </c>
      <c r="N379" s="133" t="s">
        <v>2417</v>
      </c>
      <c r="O379" s="133" t="s">
        <v>2417</v>
      </c>
      <c r="P379" s="132" t="s">
        <v>2417</v>
      </c>
      <c r="Q379" s="133" t="s">
        <v>2417</v>
      </c>
      <c r="R379" s="133" t="s">
        <v>2417</v>
      </c>
      <c r="S379" s="132" t="s">
        <v>2417</v>
      </c>
      <c r="T379" s="132" t="s">
        <v>2417</v>
      </c>
      <c r="U379" s="132" t="s">
        <v>2417</v>
      </c>
      <c r="V379" s="132" t="s">
        <v>2417</v>
      </c>
      <c r="W379" s="132" t="s">
        <v>2417</v>
      </c>
      <c r="X379" s="132" t="s">
        <v>2417</v>
      </c>
      <c r="Y379" s="132" t="s">
        <v>2417</v>
      </c>
      <c r="Z379" s="132" t="s">
        <v>2417</v>
      </c>
      <c r="AA379" s="133" t="s">
        <v>2417</v>
      </c>
      <c r="AB379" s="133" t="s">
        <v>2417</v>
      </c>
      <c r="AC379" s="133" t="s">
        <v>2417</v>
      </c>
      <c r="AD379" s="133" t="s">
        <v>2417</v>
      </c>
      <c r="AE379" s="149"/>
    </row>
    <row r="380" spans="1:31" ht="13.2" outlineLevel="2">
      <c r="A380" s="84" t="s">
        <v>1178</v>
      </c>
      <c r="B380" s="69" t="s">
        <v>1179</v>
      </c>
      <c r="C380" s="360" t="s">
        <v>1115</v>
      </c>
      <c r="D380" s="351"/>
      <c r="E380" s="133" t="s">
        <v>2417</v>
      </c>
      <c r="F380" s="132" t="s">
        <v>2417</v>
      </c>
      <c r="G380" s="137" t="s">
        <v>2482</v>
      </c>
      <c r="H380" s="132" t="s">
        <v>2417</v>
      </c>
      <c r="I380" s="134" t="s">
        <v>2418</v>
      </c>
      <c r="J380" s="132" t="s">
        <v>2417</v>
      </c>
      <c r="K380" s="132" t="s">
        <v>2417</v>
      </c>
      <c r="L380" s="132" t="s">
        <v>2417</v>
      </c>
      <c r="M380" s="133" t="s">
        <v>2417</v>
      </c>
      <c r="N380" s="133" t="s">
        <v>2417</v>
      </c>
      <c r="O380" s="133" t="s">
        <v>2417</v>
      </c>
      <c r="P380" s="132" t="s">
        <v>2417</v>
      </c>
      <c r="Q380" s="133" t="s">
        <v>2417</v>
      </c>
      <c r="R380" s="133" t="s">
        <v>2417</v>
      </c>
      <c r="S380" s="132" t="s">
        <v>2417</v>
      </c>
      <c r="T380" s="132" t="s">
        <v>2417</v>
      </c>
      <c r="U380" s="132" t="s">
        <v>2417</v>
      </c>
      <c r="V380" s="132" t="s">
        <v>2417</v>
      </c>
      <c r="W380" s="132" t="s">
        <v>2417</v>
      </c>
      <c r="X380" s="132" t="s">
        <v>2417</v>
      </c>
      <c r="Y380" s="132" t="s">
        <v>2417</v>
      </c>
      <c r="Z380" s="132" t="s">
        <v>2417</v>
      </c>
      <c r="AA380" s="133" t="s">
        <v>2417</v>
      </c>
      <c r="AB380" s="133" t="s">
        <v>2417</v>
      </c>
      <c r="AC380" s="133" t="s">
        <v>2417</v>
      </c>
      <c r="AD380" s="133" t="s">
        <v>2417</v>
      </c>
      <c r="AE380" s="149"/>
    </row>
    <row r="381" spans="1:31" ht="13.2" outlineLevel="2">
      <c r="A381" s="84" t="s">
        <v>1180</v>
      </c>
      <c r="B381" s="69" t="s">
        <v>1181</v>
      </c>
      <c r="C381" s="360" t="s">
        <v>1115</v>
      </c>
      <c r="D381" s="351"/>
      <c r="E381" s="133" t="s">
        <v>2417</v>
      </c>
      <c r="F381" s="132" t="s">
        <v>2417</v>
      </c>
      <c r="G381" s="137" t="s">
        <v>2482</v>
      </c>
      <c r="H381" s="132" t="s">
        <v>2417</v>
      </c>
      <c r="I381" s="134" t="s">
        <v>2418</v>
      </c>
      <c r="J381" s="132" t="s">
        <v>2417</v>
      </c>
      <c r="K381" s="132" t="s">
        <v>2417</v>
      </c>
      <c r="L381" s="132" t="s">
        <v>2417</v>
      </c>
      <c r="M381" s="133" t="s">
        <v>2417</v>
      </c>
      <c r="N381" s="133" t="s">
        <v>2417</v>
      </c>
      <c r="O381" s="133" t="s">
        <v>2417</v>
      </c>
      <c r="P381" s="132" t="s">
        <v>2417</v>
      </c>
      <c r="Q381" s="133" t="s">
        <v>2417</v>
      </c>
      <c r="R381" s="133" t="s">
        <v>2417</v>
      </c>
      <c r="S381" s="132" t="s">
        <v>2417</v>
      </c>
      <c r="T381" s="132" t="s">
        <v>2417</v>
      </c>
      <c r="U381" s="132" t="s">
        <v>2417</v>
      </c>
      <c r="V381" s="132" t="s">
        <v>2417</v>
      </c>
      <c r="W381" s="132" t="s">
        <v>2417</v>
      </c>
      <c r="X381" s="132" t="s">
        <v>2417</v>
      </c>
      <c r="Y381" s="132" t="s">
        <v>2417</v>
      </c>
      <c r="Z381" s="132" t="s">
        <v>2417</v>
      </c>
      <c r="AA381" s="133" t="s">
        <v>2417</v>
      </c>
      <c r="AB381" s="133" t="s">
        <v>2417</v>
      </c>
      <c r="AC381" s="133" t="s">
        <v>2417</v>
      </c>
      <c r="AD381" s="133" t="s">
        <v>2417</v>
      </c>
      <c r="AE381" s="149"/>
    </row>
    <row r="382" spans="1:31" ht="13.2" outlineLevel="2">
      <c r="A382" s="84" t="s">
        <v>1182</v>
      </c>
      <c r="B382" s="69" t="s">
        <v>1183</v>
      </c>
      <c r="C382" s="360" t="s">
        <v>1115</v>
      </c>
      <c r="D382" s="351"/>
      <c r="E382" s="133" t="s">
        <v>2417</v>
      </c>
      <c r="F382" s="132" t="s">
        <v>2417</v>
      </c>
      <c r="G382" s="137" t="s">
        <v>2482</v>
      </c>
      <c r="H382" s="132" t="s">
        <v>2417</v>
      </c>
      <c r="I382" s="134" t="s">
        <v>2418</v>
      </c>
      <c r="J382" s="132" t="s">
        <v>2417</v>
      </c>
      <c r="K382" s="132" t="s">
        <v>2417</v>
      </c>
      <c r="L382" s="132" t="s">
        <v>2417</v>
      </c>
      <c r="M382" s="133" t="s">
        <v>2417</v>
      </c>
      <c r="N382" s="133" t="s">
        <v>2417</v>
      </c>
      <c r="O382" s="133" t="s">
        <v>2417</v>
      </c>
      <c r="P382" s="132" t="s">
        <v>2417</v>
      </c>
      <c r="Q382" s="133" t="s">
        <v>2417</v>
      </c>
      <c r="R382" s="133" t="s">
        <v>2417</v>
      </c>
      <c r="S382" s="132" t="s">
        <v>2417</v>
      </c>
      <c r="T382" s="132" t="s">
        <v>2417</v>
      </c>
      <c r="U382" s="132" t="s">
        <v>2417</v>
      </c>
      <c r="V382" s="132" t="s">
        <v>2417</v>
      </c>
      <c r="W382" s="132" t="s">
        <v>2417</v>
      </c>
      <c r="X382" s="132" t="s">
        <v>2417</v>
      </c>
      <c r="Y382" s="132" t="s">
        <v>2417</v>
      </c>
      <c r="Z382" s="132" t="s">
        <v>2417</v>
      </c>
      <c r="AA382" s="133" t="s">
        <v>2417</v>
      </c>
      <c r="AB382" s="133" t="s">
        <v>2417</v>
      </c>
      <c r="AC382" s="133" t="s">
        <v>2417</v>
      </c>
      <c r="AD382" s="133" t="s">
        <v>2417</v>
      </c>
      <c r="AE382" s="149"/>
    </row>
    <row r="383" spans="1:31" ht="13.2" outlineLevel="2">
      <c r="A383" s="84" t="s">
        <v>1184</v>
      </c>
      <c r="B383" s="69" t="s">
        <v>1185</v>
      </c>
      <c r="C383" s="360" t="s">
        <v>1115</v>
      </c>
      <c r="D383" s="351"/>
      <c r="E383" s="133" t="s">
        <v>2417</v>
      </c>
      <c r="F383" s="132" t="s">
        <v>2417</v>
      </c>
      <c r="G383" s="137" t="s">
        <v>2482</v>
      </c>
      <c r="H383" s="132" t="s">
        <v>2417</v>
      </c>
      <c r="I383" s="134" t="s">
        <v>2418</v>
      </c>
      <c r="J383" s="132" t="s">
        <v>2417</v>
      </c>
      <c r="K383" s="132" t="s">
        <v>2417</v>
      </c>
      <c r="L383" s="132" t="s">
        <v>2417</v>
      </c>
      <c r="M383" s="133" t="s">
        <v>2417</v>
      </c>
      <c r="N383" s="133" t="s">
        <v>2417</v>
      </c>
      <c r="O383" s="133" t="s">
        <v>2417</v>
      </c>
      <c r="P383" s="132" t="s">
        <v>2417</v>
      </c>
      <c r="Q383" s="133" t="s">
        <v>2417</v>
      </c>
      <c r="R383" s="133" t="s">
        <v>2417</v>
      </c>
      <c r="S383" s="132" t="s">
        <v>2417</v>
      </c>
      <c r="T383" s="132" t="s">
        <v>2417</v>
      </c>
      <c r="U383" s="132" t="s">
        <v>2417</v>
      </c>
      <c r="V383" s="132" t="s">
        <v>2417</v>
      </c>
      <c r="W383" s="132" t="s">
        <v>2417</v>
      </c>
      <c r="X383" s="132" t="s">
        <v>2417</v>
      </c>
      <c r="Y383" s="132" t="s">
        <v>2417</v>
      </c>
      <c r="Z383" s="132" t="s">
        <v>2417</v>
      </c>
      <c r="AA383" s="133" t="s">
        <v>2417</v>
      </c>
      <c r="AB383" s="133" t="s">
        <v>2417</v>
      </c>
      <c r="AC383" s="133" t="s">
        <v>2417</v>
      </c>
      <c r="AD383" s="133" t="s">
        <v>2417</v>
      </c>
      <c r="AE383" s="149"/>
    </row>
    <row r="384" spans="1:31" ht="13.2" outlineLevel="2">
      <c r="A384" s="84" t="s">
        <v>1186</v>
      </c>
      <c r="B384" s="69" t="s">
        <v>1187</v>
      </c>
      <c r="C384" s="360" t="s">
        <v>1115</v>
      </c>
      <c r="D384" s="351"/>
      <c r="E384" s="133" t="s">
        <v>2417</v>
      </c>
      <c r="F384" s="132" t="s">
        <v>2417</v>
      </c>
      <c r="G384" s="137" t="s">
        <v>2482</v>
      </c>
      <c r="H384" s="132" t="s">
        <v>2417</v>
      </c>
      <c r="I384" s="134" t="s">
        <v>2418</v>
      </c>
      <c r="J384" s="132" t="s">
        <v>2417</v>
      </c>
      <c r="K384" s="132" t="s">
        <v>2417</v>
      </c>
      <c r="L384" s="132" t="s">
        <v>2417</v>
      </c>
      <c r="M384" s="133" t="s">
        <v>2417</v>
      </c>
      <c r="N384" s="133" t="s">
        <v>2417</v>
      </c>
      <c r="O384" s="133" t="s">
        <v>2417</v>
      </c>
      <c r="P384" s="132" t="s">
        <v>2417</v>
      </c>
      <c r="Q384" s="133" t="s">
        <v>2417</v>
      </c>
      <c r="R384" s="133" t="s">
        <v>2417</v>
      </c>
      <c r="S384" s="132" t="s">
        <v>2417</v>
      </c>
      <c r="T384" s="132" t="s">
        <v>2417</v>
      </c>
      <c r="U384" s="132" t="s">
        <v>2417</v>
      </c>
      <c r="V384" s="132" t="s">
        <v>2417</v>
      </c>
      <c r="W384" s="132" t="s">
        <v>2417</v>
      </c>
      <c r="X384" s="132" t="s">
        <v>2417</v>
      </c>
      <c r="Y384" s="132" t="s">
        <v>2417</v>
      </c>
      <c r="Z384" s="132" t="s">
        <v>2417</v>
      </c>
      <c r="AA384" s="133" t="s">
        <v>2417</v>
      </c>
      <c r="AB384" s="133" t="s">
        <v>2417</v>
      </c>
      <c r="AC384" s="133" t="s">
        <v>2417</v>
      </c>
      <c r="AD384" s="133" t="s">
        <v>2417</v>
      </c>
      <c r="AE384" s="149"/>
    </row>
    <row r="385" spans="1:31" ht="13.2" outlineLevel="2">
      <c r="A385" s="84" t="s">
        <v>1188</v>
      </c>
      <c r="B385" s="69" t="s">
        <v>1189</v>
      </c>
      <c r="C385" s="360" t="s">
        <v>1115</v>
      </c>
      <c r="D385" s="351"/>
      <c r="E385" s="133" t="s">
        <v>2417</v>
      </c>
      <c r="F385" s="132" t="s">
        <v>2417</v>
      </c>
      <c r="G385" s="137" t="s">
        <v>2482</v>
      </c>
      <c r="H385" s="132" t="s">
        <v>2417</v>
      </c>
      <c r="I385" s="134" t="s">
        <v>2418</v>
      </c>
      <c r="J385" s="132" t="s">
        <v>2417</v>
      </c>
      <c r="K385" s="132" t="s">
        <v>2417</v>
      </c>
      <c r="L385" s="132" t="s">
        <v>2417</v>
      </c>
      <c r="M385" s="133" t="s">
        <v>2417</v>
      </c>
      <c r="N385" s="133" t="s">
        <v>2417</v>
      </c>
      <c r="O385" s="133" t="s">
        <v>2417</v>
      </c>
      <c r="P385" s="132" t="s">
        <v>2417</v>
      </c>
      <c r="Q385" s="133" t="s">
        <v>2417</v>
      </c>
      <c r="R385" s="133" t="s">
        <v>2417</v>
      </c>
      <c r="S385" s="132" t="s">
        <v>2417</v>
      </c>
      <c r="T385" s="132" t="s">
        <v>2417</v>
      </c>
      <c r="U385" s="132" t="s">
        <v>2417</v>
      </c>
      <c r="V385" s="132" t="s">
        <v>2417</v>
      </c>
      <c r="W385" s="132" t="s">
        <v>2417</v>
      </c>
      <c r="X385" s="132" t="s">
        <v>2417</v>
      </c>
      <c r="Y385" s="132" t="s">
        <v>2417</v>
      </c>
      <c r="Z385" s="132" t="s">
        <v>2417</v>
      </c>
      <c r="AA385" s="133" t="s">
        <v>2417</v>
      </c>
      <c r="AB385" s="133" t="s">
        <v>2417</v>
      </c>
      <c r="AC385" s="133" t="s">
        <v>2417</v>
      </c>
      <c r="AD385" s="133" t="s">
        <v>2417</v>
      </c>
      <c r="AE385" s="149"/>
    </row>
    <row r="386" spans="1:31" ht="13.2" outlineLevel="2">
      <c r="A386" s="84" t="s">
        <v>1190</v>
      </c>
      <c r="B386" s="69" t="s">
        <v>1191</v>
      </c>
      <c r="C386" s="360" t="s">
        <v>1115</v>
      </c>
      <c r="D386" s="351"/>
      <c r="E386" s="133" t="s">
        <v>2417</v>
      </c>
      <c r="F386" s="132" t="s">
        <v>2417</v>
      </c>
      <c r="G386" s="137" t="s">
        <v>2482</v>
      </c>
      <c r="H386" s="132" t="s">
        <v>2417</v>
      </c>
      <c r="I386" s="134" t="s">
        <v>2418</v>
      </c>
      <c r="J386" s="132" t="s">
        <v>2417</v>
      </c>
      <c r="K386" s="132" t="s">
        <v>2417</v>
      </c>
      <c r="L386" s="132" t="s">
        <v>2417</v>
      </c>
      <c r="M386" s="133" t="s">
        <v>2417</v>
      </c>
      <c r="N386" s="133" t="s">
        <v>2417</v>
      </c>
      <c r="O386" s="133" t="s">
        <v>2417</v>
      </c>
      <c r="P386" s="132" t="s">
        <v>2417</v>
      </c>
      <c r="Q386" s="133" t="s">
        <v>2417</v>
      </c>
      <c r="R386" s="133" t="s">
        <v>2417</v>
      </c>
      <c r="S386" s="132" t="s">
        <v>2417</v>
      </c>
      <c r="T386" s="132" t="s">
        <v>2417</v>
      </c>
      <c r="U386" s="132" t="s">
        <v>2417</v>
      </c>
      <c r="V386" s="132" t="s">
        <v>2417</v>
      </c>
      <c r="W386" s="132" t="s">
        <v>2417</v>
      </c>
      <c r="X386" s="132" t="s">
        <v>2417</v>
      </c>
      <c r="Y386" s="132" t="s">
        <v>2417</v>
      </c>
      <c r="Z386" s="132" t="s">
        <v>2417</v>
      </c>
      <c r="AA386" s="133" t="s">
        <v>2417</v>
      </c>
      <c r="AB386" s="133" t="s">
        <v>2417</v>
      </c>
      <c r="AC386" s="133" t="s">
        <v>2417</v>
      </c>
      <c r="AD386" s="133" t="s">
        <v>2417</v>
      </c>
      <c r="AE386" s="149"/>
    </row>
    <row r="387" spans="1:31" ht="13.2" outlineLevel="2">
      <c r="A387" s="84" t="s">
        <v>1192</v>
      </c>
      <c r="B387" s="69" t="s">
        <v>1193</v>
      </c>
      <c r="C387" s="360" t="s">
        <v>1115</v>
      </c>
      <c r="D387" s="351"/>
      <c r="E387" s="133" t="s">
        <v>2417</v>
      </c>
      <c r="F387" s="132" t="s">
        <v>2417</v>
      </c>
      <c r="G387" s="137" t="s">
        <v>2482</v>
      </c>
      <c r="H387" s="132" t="s">
        <v>2417</v>
      </c>
      <c r="I387" s="134" t="s">
        <v>2418</v>
      </c>
      <c r="J387" s="132" t="s">
        <v>2417</v>
      </c>
      <c r="K387" s="132" t="s">
        <v>2417</v>
      </c>
      <c r="L387" s="132" t="s">
        <v>2417</v>
      </c>
      <c r="M387" s="133" t="s">
        <v>2417</v>
      </c>
      <c r="N387" s="133" t="s">
        <v>2417</v>
      </c>
      <c r="O387" s="133" t="s">
        <v>2417</v>
      </c>
      <c r="P387" s="132" t="s">
        <v>2417</v>
      </c>
      <c r="Q387" s="133" t="s">
        <v>2417</v>
      </c>
      <c r="R387" s="133" t="s">
        <v>2417</v>
      </c>
      <c r="S387" s="132" t="s">
        <v>2417</v>
      </c>
      <c r="T387" s="132" t="s">
        <v>2417</v>
      </c>
      <c r="U387" s="132" t="s">
        <v>2417</v>
      </c>
      <c r="V387" s="132" t="s">
        <v>2417</v>
      </c>
      <c r="W387" s="132" t="s">
        <v>2417</v>
      </c>
      <c r="X387" s="132" t="s">
        <v>2417</v>
      </c>
      <c r="Y387" s="132" t="s">
        <v>2417</v>
      </c>
      <c r="Z387" s="132" t="s">
        <v>2417</v>
      </c>
      <c r="AA387" s="133" t="s">
        <v>2417</v>
      </c>
      <c r="AB387" s="133" t="s">
        <v>2417</v>
      </c>
      <c r="AC387" s="133" t="s">
        <v>2417</v>
      </c>
      <c r="AD387" s="133" t="s">
        <v>2417</v>
      </c>
      <c r="AE387" s="149"/>
    </row>
    <row r="388" spans="1:31" ht="13.2" outlineLevel="2">
      <c r="A388" s="84" t="s">
        <v>1194</v>
      </c>
      <c r="B388" s="69" t="s">
        <v>1195</v>
      </c>
      <c r="C388" s="360" t="s">
        <v>1115</v>
      </c>
      <c r="D388" s="351"/>
      <c r="E388" s="133" t="s">
        <v>2417</v>
      </c>
      <c r="F388" s="132" t="s">
        <v>2417</v>
      </c>
      <c r="G388" s="137" t="s">
        <v>2482</v>
      </c>
      <c r="H388" s="132" t="s">
        <v>2417</v>
      </c>
      <c r="I388" s="134" t="s">
        <v>2418</v>
      </c>
      <c r="J388" s="132" t="s">
        <v>2417</v>
      </c>
      <c r="K388" s="132" t="s">
        <v>2417</v>
      </c>
      <c r="L388" s="132" t="s">
        <v>2417</v>
      </c>
      <c r="M388" s="133" t="s">
        <v>2417</v>
      </c>
      <c r="N388" s="133" t="s">
        <v>2417</v>
      </c>
      <c r="O388" s="133" t="s">
        <v>2417</v>
      </c>
      <c r="P388" s="132" t="s">
        <v>2417</v>
      </c>
      <c r="Q388" s="133" t="s">
        <v>2417</v>
      </c>
      <c r="R388" s="133" t="s">
        <v>2417</v>
      </c>
      <c r="S388" s="132" t="s">
        <v>2417</v>
      </c>
      <c r="T388" s="132" t="s">
        <v>2417</v>
      </c>
      <c r="U388" s="132" t="s">
        <v>2417</v>
      </c>
      <c r="V388" s="132" t="s">
        <v>2417</v>
      </c>
      <c r="W388" s="132" t="s">
        <v>2417</v>
      </c>
      <c r="X388" s="132" t="s">
        <v>2417</v>
      </c>
      <c r="Y388" s="132" t="s">
        <v>2417</v>
      </c>
      <c r="Z388" s="132" t="s">
        <v>2417</v>
      </c>
      <c r="AA388" s="133" t="s">
        <v>2417</v>
      </c>
      <c r="AB388" s="133" t="s">
        <v>2417</v>
      </c>
      <c r="AC388" s="133" t="s">
        <v>2417</v>
      </c>
      <c r="AD388" s="133" t="s">
        <v>2417</v>
      </c>
      <c r="AE388" s="149"/>
    </row>
    <row r="389" spans="1:31" ht="13.2" outlineLevel="2">
      <c r="A389" s="84" t="s">
        <v>1196</v>
      </c>
      <c r="B389" s="69" t="s">
        <v>1197</v>
      </c>
      <c r="C389" s="360" t="s">
        <v>1115</v>
      </c>
      <c r="D389" s="351"/>
      <c r="E389" s="133" t="s">
        <v>2417</v>
      </c>
      <c r="F389" s="132" t="s">
        <v>2417</v>
      </c>
      <c r="G389" s="137" t="s">
        <v>2482</v>
      </c>
      <c r="H389" s="132" t="s">
        <v>2417</v>
      </c>
      <c r="I389" s="134" t="s">
        <v>2418</v>
      </c>
      <c r="J389" s="132" t="s">
        <v>2417</v>
      </c>
      <c r="K389" s="132" t="s">
        <v>2417</v>
      </c>
      <c r="L389" s="132" t="s">
        <v>2417</v>
      </c>
      <c r="M389" s="133" t="s">
        <v>2417</v>
      </c>
      <c r="N389" s="133" t="s">
        <v>2417</v>
      </c>
      <c r="O389" s="133" t="s">
        <v>2417</v>
      </c>
      <c r="P389" s="132" t="s">
        <v>2417</v>
      </c>
      <c r="Q389" s="133" t="s">
        <v>2417</v>
      </c>
      <c r="R389" s="133" t="s">
        <v>2417</v>
      </c>
      <c r="S389" s="132" t="s">
        <v>2417</v>
      </c>
      <c r="T389" s="132" t="s">
        <v>2417</v>
      </c>
      <c r="U389" s="132" t="s">
        <v>2417</v>
      </c>
      <c r="V389" s="132" t="s">
        <v>2417</v>
      </c>
      <c r="W389" s="132" t="s">
        <v>2417</v>
      </c>
      <c r="X389" s="132" t="s">
        <v>2417</v>
      </c>
      <c r="Y389" s="132" t="s">
        <v>2417</v>
      </c>
      <c r="Z389" s="132" t="s">
        <v>2417</v>
      </c>
      <c r="AA389" s="133" t="s">
        <v>2417</v>
      </c>
      <c r="AB389" s="133" t="s">
        <v>2417</v>
      </c>
      <c r="AC389" s="133" t="s">
        <v>2417</v>
      </c>
      <c r="AD389" s="133" t="s">
        <v>2417</v>
      </c>
      <c r="AE389" s="149"/>
    </row>
    <row r="390" spans="1:31" ht="13.2" outlineLevel="2">
      <c r="A390" s="84" t="s">
        <v>1198</v>
      </c>
      <c r="B390" s="69" t="s">
        <v>1199</v>
      </c>
      <c r="C390" s="360" t="s">
        <v>1115</v>
      </c>
      <c r="D390" s="351"/>
      <c r="E390" s="133" t="s">
        <v>2417</v>
      </c>
      <c r="F390" s="132" t="s">
        <v>2417</v>
      </c>
      <c r="G390" s="137" t="s">
        <v>2482</v>
      </c>
      <c r="H390" s="132" t="s">
        <v>2417</v>
      </c>
      <c r="I390" s="134" t="s">
        <v>2418</v>
      </c>
      <c r="J390" s="132" t="s">
        <v>2417</v>
      </c>
      <c r="K390" s="132" t="s">
        <v>2417</v>
      </c>
      <c r="L390" s="132" t="s">
        <v>2417</v>
      </c>
      <c r="M390" s="133" t="s">
        <v>2417</v>
      </c>
      <c r="N390" s="133" t="s">
        <v>2417</v>
      </c>
      <c r="O390" s="133" t="s">
        <v>2417</v>
      </c>
      <c r="P390" s="132" t="s">
        <v>2417</v>
      </c>
      <c r="Q390" s="133" t="s">
        <v>2417</v>
      </c>
      <c r="R390" s="133" t="s">
        <v>2417</v>
      </c>
      <c r="S390" s="132" t="s">
        <v>2417</v>
      </c>
      <c r="T390" s="132" t="s">
        <v>2417</v>
      </c>
      <c r="U390" s="132" t="s">
        <v>2417</v>
      </c>
      <c r="V390" s="132" t="s">
        <v>2417</v>
      </c>
      <c r="W390" s="132" t="s">
        <v>2417</v>
      </c>
      <c r="X390" s="132" t="s">
        <v>2417</v>
      </c>
      <c r="Y390" s="132" t="s">
        <v>2417</v>
      </c>
      <c r="Z390" s="132" t="s">
        <v>2417</v>
      </c>
      <c r="AA390" s="133" t="s">
        <v>2417</v>
      </c>
      <c r="AB390" s="133" t="s">
        <v>2417</v>
      </c>
      <c r="AC390" s="133" t="s">
        <v>2417</v>
      </c>
      <c r="AD390" s="133" t="s">
        <v>2417</v>
      </c>
      <c r="AE390" s="149"/>
    </row>
    <row r="391" spans="1:31" ht="13.2" outlineLevel="2">
      <c r="A391" s="84" t="s">
        <v>1200</v>
      </c>
      <c r="B391" s="69" t="s">
        <v>1201</v>
      </c>
      <c r="C391" s="360" t="s">
        <v>1115</v>
      </c>
      <c r="D391" s="351"/>
      <c r="E391" s="133" t="s">
        <v>2417</v>
      </c>
      <c r="F391" s="132" t="s">
        <v>2417</v>
      </c>
      <c r="G391" s="137" t="s">
        <v>2482</v>
      </c>
      <c r="H391" s="132" t="s">
        <v>2417</v>
      </c>
      <c r="I391" s="134" t="s">
        <v>2418</v>
      </c>
      <c r="J391" s="132" t="s">
        <v>2417</v>
      </c>
      <c r="K391" s="132" t="s">
        <v>2417</v>
      </c>
      <c r="L391" s="132" t="s">
        <v>2417</v>
      </c>
      <c r="M391" s="133" t="s">
        <v>2417</v>
      </c>
      <c r="N391" s="133" t="s">
        <v>2417</v>
      </c>
      <c r="O391" s="133" t="s">
        <v>2417</v>
      </c>
      <c r="P391" s="132" t="s">
        <v>2417</v>
      </c>
      <c r="Q391" s="133" t="s">
        <v>2417</v>
      </c>
      <c r="R391" s="133" t="s">
        <v>2417</v>
      </c>
      <c r="S391" s="132" t="s">
        <v>2417</v>
      </c>
      <c r="T391" s="132" t="s">
        <v>2417</v>
      </c>
      <c r="U391" s="132" t="s">
        <v>2417</v>
      </c>
      <c r="V391" s="132" t="s">
        <v>2417</v>
      </c>
      <c r="W391" s="132" t="s">
        <v>2417</v>
      </c>
      <c r="X391" s="132" t="s">
        <v>2417</v>
      </c>
      <c r="Y391" s="132" t="s">
        <v>2417</v>
      </c>
      <c r="Z391" s="132" t="s">
        <v>2417</v>
      </c>
      <c r="AA391" s="133" t="s">
        <v>2417</v>
      </c>
      <c r="AB391" s="133" t="s">
        <v>2417</v>
      </c>
      <c r="AC391" s="133" t="s">
        <v>2417</v>
      </c>
      <c r="AD391" s="133" t="s">
        <v>2417</v>
      </c>
      <c r="AE391" s="149"/>
    </row>
    <row r="392" spans="1:31" ht="13.2" outlineLevel="2">
      <c r="A392" s="68" t="s">
        <v>1202</v>
      </c>
      <c r="B392" s="62" t="s">
        <v>1203</v>
      </c>
      <c r="C392" s="387" t="s">
        <v>2521</v>
      </c>
      <c r="D392" s="351"/>
      <c r="E392" s="133" t="s">
        <v>2417</v>
      </c>
      <c r="F392" s="132" t="s">
        <v>2417</v>
      </c>
      <c r="G392" s="144" t="s">
        <v>2417</v>
      </c>
      <c r="H392" s="132" t="s">
        <v>2417</v>
      </c>
      <c r="I392" s="134" t="s">
        <v>2418</v>
      </c>
      <c r="J392" s="132" t="s">
        <v>2417</v>
      </c>
      <c r="K392" s="132" t="s">
        <v>2417</v>
      </c>
      <c r="L392" s="132" t="s">
        <v>2417</v>
      </c>
      <c r="M392" s="133" t="s">
        <v>2417</v>
      </c>
      <c r="N392" s="133" t="s">
        <v>2417</v>
      </c>
      <c r="O392" s="133" t="s">
        <v>2417</v>
      </c>
      <c r="P392" s="132" t="s">
        <v>2417</v>
      </c>
      <c r="Q392" s="133" t="s">
        <v>2417</v>
      </c>
      <c r="R392" s="133" t="s">
        <v>2417</v>
      </c>
      <c r="S392" s="132" t="s">
        <v>2417</v>
      </c>
      <c r="T392" s="132" t="s">
        <v>2417</v>
      </c>
      <c r="U392" s="132" t="s">
        <v>2417</v>
      </c>
      <c r="V392" s="132" t="s">
        <v>2417</v>
      </c>
      <c r="W392" s="132" t="s">
        <v>2417</v>
      </c>
      <c r="X392" s="132" t="s">
        <v>2417</v>
      </c>
      <c r="Y392" s="132" t="s">
        <v>2417</v>
      </c>
      <c r="Z392" s="132" t="s">
        <v>2417</v>
      </c>
      <c r="AA392" s="133" t="s">
        <v>2417</v>
      </c>
      <c r="AB392" s="133" t="s">
        <v>2417</v>
      </c>
      <c r="AC392" s="133" t="s">
        <v>2417</v>
      </c>
      <c r="AD392" s="133" t="s">
        <v>2417</v>
      </c>
      <c r="AE392" s="151"/>
    </row>
    <row r="393" spans="1:31" ht="13.2" outlineLevel="2">
      <c r="A393" s="68" t="s">
        <v>1205</v>
      </c>
      <c r="B393" s="62" t="s">
        <v>1206</v>
      </c>
      <c r="C393" s="387" t="s">
        <v>2522</v>
      </c>
      <c r="D393" s="351"/>
      <c r="E393" s="133" t="s">
        <v>2417</v>
      </c>
      <c r="F393" s="132" t="s">
        <v>2417</v>
      </c>
      <c r="G393" s="144" t="s">
        <v>2417</v>
      </c>
      <c r="H393" s="132" t="s">
        <v>2417</v>
      </c>
      <c r="I393" s="134" t="s">
        <v>2418</v>
      </c>
      <c r="J393" s="132" t="s">
        <v>2417</v>
      </c>
      <c r="K393" s="132" t="s">
        <v>2417</v>
      </c>
      <c r="L393" s="132" t="s">
        <v>2417</v>
      </c>
      <c r="M393" s="133" t="s">
        <v>2417</v>
      </c>
      <c r="N393" s="133" t="s">
        <v>2417</v>
      </c>
      <c r="O393" s="133" t="s">
        <v>2417</v>
      </c>
      <c r="P393" s="132" t="s">
        <v>2417</v>
      </c>
      <c r="Q393" s="133" t="s">
        <v>2417</v>
      </c>
      <c r="R393" s="133" t="s">
        <v>2417</v>
      </c>
      <c r="S393" s="132" t="s">
        <v>2417</v>
      </c>
      <c r="T393" s="132" t="s">
        <v>2417</v>
      </c>
      <c r="U393" s="132" t="s">
        <v>2417</v>
      </c>
      <c r="V393" s="132" t="s">
        <v>2417</v>
      </c>
      <c r="W393" s="132" t="s">
        <v>2417</v>
      </c>
      <c r="X393" s="132" t="s">
        <v>2417</v>
      </c>
      <c r="Y393" s="132" t="s">
        <v>2417</v>
      </c>
      <c r="Z393" s="132" t="s">
        <v>2417</v>
      </c>
      <c r="AA393" s="133" t="s">
        <v>2417</v>
      </c>
      <c r="AB393" s="133" t="s">
        <v>2417</v>
      </c>
      <c r="AC393" s="133" t="s">
        <v>2417</v>
      </c>
      <c r="AD393" s="133" t="s">
        <v>2417</v>
      </c>
      <c r="AE393" s="151"/>
    </row>
    <row r="394" spans="1:31" ht="13.2" outlineLevel="2">
      <c r="A394" s="68" t="s">
        <v>1208</v>
      </c>
      <c r="B394" s="62" t="s">
        <v>1209</v>
      </c>
      <c r="C394" s="387" t="s">
        <v>2523</v>
      </c>
      <c r="D394" s="351"/>
      <c r="E394" s="133" t="s">
        <v>2417</v>
      </c>
      <c r="F394" s="132" t="s">
        <v>2417</v>
      </c>
      <c r="G394" s="144" t="s">
        <v>2417</v>
      </c>
      <c r="H394" s="132" t="s">
        <v>2417</v>
      </c>
      <c r="I394" s="134" t="s">
        <v>2418</v>
      </c>
      <c r="J394" s="132" t="s">
        <v>2417</v>
      </c>
      <c r="K394" s="132" t="s">
        <v>2417</v>
      </c>
      <c r="L394" s="132" t="s">
        <v>2417</v>
      </c>
      <c r="M394" s="133" t="s">
        <v>2417</v>
      </c>
      <c r="N394" s="133" t="s">
        <v>2417</v>
      </c>
      <c r="O394" s="133" t="s">
        <v>2417</v>
      </c>
      <c r="P394" s="132" t="s">
        <v>2417</v>
      </c>
      <c r="Q394" s="133" t="s">
        <v>2417</v>
      </c>
      <c r="R394" s="133" t="s">
        <v>2417</v>
      </c>
      <c r="S394" s="132" t="s">
        <v>2417</v>
      </c>
      <c r="T394" s="132" t="s">
        <v>2417</v>
      </c>
      <c r="U394" s="132" t="s">
        <v>2417</v>
      </c>
      <c r="V394" s="132" t="s">
        <v>2417</v>
      </c>
      <c r="W394" s="132" t="s">
        <v>2417</v>
      </c>
      <c r="X394" s="132" t="s">
        <v>2417</v>
      </c>
      <c r="Y394" s="132" t="s">
        <v>2417</v>
      </c>
      <c r="Z394" s="132" t="s">
        <v>2417</v>
      </c>
      <c r="AA394" s="133" t="s">
        <v>2417</v>
      </c>
      <c r="AB394" s="133" t="s">
        <v>2417</v>
      </c>
      <c r="AC394" s="133" t="s">
        <v>2417</v>
      </c>
      <c r="AD394" s="133" t="s">
        <v>2417</v>
      </c>
      <c r="AE394" s="151"/>
    </row>
    <row r="395" spans="1:31" ht="13.2" outlineLevel="2">
      <c r="A395" s="68" t="s">
        <v>1211</v>
      </c>
      <c r="B395" s="62" t="s">
        <v>1212</v>
      </c>
      <c r="C395" s="387" t="s">
        <v>2524</v>
      </c>
      <c r="D395" s="351"/>
      <c r="E395" s="133" t="s">
        <v>2417</v>
      </c>
      <c r="F395" s="132" t="s">
        <v>2417</v>
      </c>
      <c r="G395" s="144" t="s">
        <v>2417</v>
      </c>
      <c r="H395" s="132" t="s">
        <v>2417</v>
      </c>
      <c r="I395" s="134" t="s">
        <v>2418</v>
      </c>
      <c r="J395" s="132" t="s">
        <v>2417</v>
      </c>
      <c r="K395" s="132" t="s">
        <v>2417</v>
      </c>
      <c r="L395" s="132" t="s">
        <v>2417</v>
      </c>
      <c r="M395" s="133" t="s">
        <v>2417</v>
      </c>
      <c r="N395" s="133" t="s">
        <v>2417</v>
      </c>
      <c r="O395" s="133" t="s">
        <v>2417</v>
      </c>
      <c r="P395" s="132" t="s">
        <v>2417</v>
      </c>
      <c r="Q395" s="133" t="s">
        <v>2417</v>
      </c>
      <c r="R395" s="133" t="s">
        <v>2417</v>
      </c>
      <c r="S395" s="132" t="s">
        <v>2417</v>
      </c>
      <c r="T395" s="132" t="s">
        <v>2417</v>
      </c>
      <c r="U395" s="132" t="s">
        <v>2417</v>
      </c>
      <c r="V395" s="132" t="s">
        <v>2417</v>
      </c>
      <c r="W395" s="132" t="s">
        <v>2417</v>
      </c>
      <c r="X395" s="132" t="s">
        <v>2417</v>
      </c>
      <c r="Y395" s="132" t="s">
        <v>2417</v>
      </c>
      <c r="Z395" s="132" t="s">
        <v>2417</v>
      </c>
      <c r="AA395" s="133" t="s">
        <v>2417</v>
      </c>
      <c r="AB395" s="133" t="s">
        <v>2417</v>
      </c>
      <c r="AC395" s="133" t="s">
        <v>2417</v>
      </c>
      <c r="AD395" s="133" t="s">
        <v>2417</v>
      </c>
      <c r="AE395" s="151"/>
    </row>
    <row r="396" spans="1:31" ht="13.2" outlineLevel="1">
      <c r="A396" s="386" t="s">
        <v>1214</v>
      </c>
      <c r="B396" s="350"/>
      <c r="C396" s="350"/>
      <c r="D396" s="351"/>
      <c r="E396" s="133" t="s">
        <v>2417</v>
      </c>
      <c r="F396" s="133" t="s">
        <v>2417</v>
      </c>
      <c r="G396" s="133" t="s">
        <v>2417</v>
      </c>
      <c r="H396" s="133" t="s">
        <v>2417</v>
      </c>
      <c r="I396" s="134" t="s">
        <v>2418</v>
      </c>
      <c r="J396" s="133" t="s">
        <v>2417</v>
      </c>
      <c r="K396" s="133" t="s">
        <v>2417</v>
      </c>
      <c r="L396" s="133" t="s">
        <v>2417</v>
      </c>
      <c r="M396" s="133" t="s">
        <v>2417</v>
      </c>
      <c r="N396" s="133" t="s">
        <v>2417</v>
      </c>
      <c r="O396" s="133" t="s">
        <v>2417</v>
      </c>
      <c r="P396" s="133" t="s">
        <v>2417</v>
      </c>
      <c r="Q396" s="133" t="s">
        <v>2417</v>
      </c>
      <c r="R396" s="133" t="s">
        <v>2417</v>
      </c>
      <c r="S396" s="133" t="s">
        <v>2417</v>
      </c>
      <c r="T396" s="133" t="s">
        <v>2417</v>
      </c>
      <c r="U396" s="133" t="s">
        <v>2417</v>
      </c>
      <c r="V396" s="133" t="s">
        <v>2417</v>
      </c>
      <c r="W396" s="133" t="s">
        <v>2417</v>
      </c>
      <c r="X396" s="133" t="s">
        <v>2417</v>
      </c>
      <c r="Y396" s="133" t="s">
        <v>2417</v>
      </c>
      <c r="Z396" s="133" t="s">
        <v>2417</v>
      </c>
      <c r="AA396" s="133" t="s">
        <v>2417</v>
      </c>
      <c r="AB396" s="133" t="s">
        <v>2417</v>
      </c>
      <c r="AC396" s="133" t="s">
        <v>2417</v>
      </c>
      <c r="AD396" s="133" t="s">
        <v>2417</v>
      </c>
      <c r="AE396" s="153"/>
    </row>
    <row r="397" spans="1:31" ht="13.2" outlineLevel="1">
      <c r="A397" s="385" t="s">
        <v>1215</v>
      </c>
      <c r="B397" s="350"/>
      <c r="C397" s="350"/>
      <c r="D397" s="351"/>
      <c r="E397" s="133" t="s">
        <v>2525</v>
      </c>
      <c r="F397" s="133" t="s">
        <v>2417</v>
      </c>
      <c r="G397" s="133" t="s">
        <v>2417</v>
      </c>
      <c r="H397" s="133" t="s">
        <v>2417</v>
      </c>
      <c r="I397" s="134" t="s">
        <v>2418</v>
      </c>
      <c r="J397" s="133" t="s">
        <v>2417</v>
      </c>
      <c r="K397" s="133" t="s">
        <v>2417</v>
      </c>
      <c r="L397" s="133" t="s">
        <v>2417</v>
      </c>
      <c r="M397" s="133" t="s">
        <v>2417</v>
      </c>
      <c r="N397" s="133" t="s">
        <v>2417</v>
      </c>
      <c r="O397" s="133" t="s">
        <v>2417</v>
      </c>
      <c r="P397" s="133" t="s">
        <v>2417</v>
      </c>
      <c r="Q397" s="133" t="s">
        <v>2417</v>
      </c>
      <c r="R397" s="133" t="s">
        <v>2417</v>
      </c>
      <c r="S397" s="133" t="s">
        <v>2417</v>
      </c>
      <c r="T397" s="133" t="s">
        <v>2417</v>
      </c>
      <c r="U397" s="133" t="s">
        <v>2417</v>
      </c>
      <c r="V397" s="133" t="s">
        <v>2417</v>
      </c>
      <c r="W397" s="133" t="s">
        <v>2417</v>
      </c>
      <c r="X397" s="133" t="s">
        <v>2417</v>
      </c>
      <c r="Y397" s="133" t="s">
        <v>2417</v>
      </c>
      <c r="Z397" s="133" t="s">
        <v>2417</v>
      </c>
      <c r="AA397" s="133" t="s">
        <v>2417</v>
      </c>
      <c r="AB397" s="133" t="s">
        <v>2417</v>
      </c>
      <c r="AC397" s="133" t="s">
        <v>2417</v>
      </c>
      <c r="AD397" s="133" t="s">
        <v>2417</v>
      </c>
      <c r="AE397" s="143"/>
    </row>
    <row r="398" spans="1:31" ht="13.2" outlineLevel="2">
      <c r="A398" s="68" t="s">
        <v>167</v>
      </c>
      <c r="B398" s="85"/>
      <c r="C398" s="360" t="s">
        <v>1216</v>
      </c>
      <c r="D398" s="351"/>
      <c r="E398" s="133" t="s">
        <v>2525</v>
      </c>
      <c r="F398" s="133" t="s">
        <v>2417</v>
      </c>
      <c r="G398" s="133" t="s">
        <v>2417</v>
      </c>
      <c r="H398" s="133" t="s">
        <v>2417</v>
      </c>
      <c r="I398" s="134" t="s">
        <v>2418</v>
      </c>
      <c r="J398" s="133" t="s">
        <v>2417</v>
      </c>
      <c r="K398" s="133" t="s">
        <v>2417</v>
      </c>
      <c r="L398" s="133" t="s">
        <v>2417</v>
      </c>
      <c r="M398" s="133" t="s">
        <v>2417</v>
      </c>
      <c r="N398" s="133" t="s">
        <v>2417</v>
      </c>
      <c r="O398" s="133" t="s">
        <v>2417</v>
      </c>
      <c r="P398" s="133" t="s">
        <v>2417</v>
      </c>
      <c r="Q398" s="133" t="s">
        <v>2417</v>
      </c>
      <c r="R398" s="133" t="s">
        <v>2417</v>
      </c>
      <c r="S398" s="133" t="s">
        <v>2417</v>
      </c>
      <c r="T398" s="133" t="s">
        <v>2417</v>
      </c>
      <c r="U398" s="133" t="s">
        <v>2417</v>
      </c>
      <c r="V398" s="133" t="s">
        <v>2417</v>
      </c>
      <c r="W398" s="133" t="s">
        <v>2417</v>
      </c>
      <c r="X398" s="133" t="s">
        <v>2417</v>
      </c>
      <c r="Y398" s="133" t="s">
        <v>2417</v>
      </c>
      <c r="Z398" s="133" t="s">
        <v>2417</v>
      </c>
      <c r="AA398" s="133" t="s">
        <v>2417</v>
      </c>
      <c r="AB398" s="133" t="s">
        <v>2417</v>
      </c>
      <c r="AC398" s="133" t="s">
        <v>2417</v>
      </c>
      <c r="AD398" s="133" t="s">
        <v>2417</v>
      </c>
      <c r="AE398" s="137"/>
    </row>
    <row r="399" spans="1:31" ht="30.6" outlineLevel="2">
      <c r="A399" s="68" t="s">
        <v>1217</v>
      </c>
      <c r="B399" s="62" t="s">
        <v>1218</v>
      </c>
      <c r="C399" s="388" t="s">
        <v>2526</v>
      </c>
      <c r="D399" s="351"/>
      <c r="E399" s="133" t="s">
        <v>2525</v>
      </c>
      <c r="F399" s="133" t="s">
        <v>2417</v>
      </c>
      <c r="G399" s="133" t="s">
        <v>2417</v>
      </c>
      <c r="H399" s="133" t="s">
        <v>2417</v>
      </c>
      <c r="I399" s="134" t="s">
        <v>2418</v>
      </c>
      <c r="J399" s="133" t="s">
        <v>2417</v>
      </c>
      <c r="K399" s="133" t="s">
        <v>2417</v>
      </c>
      <c r="L399" s="133" t="s">
        <v>2417</v>
      </c>
      <c r="M399" s="133" t="s">
        <v>2417</v>
      </c>
      <c r="N399" s="133" t="s">
        <v>2417</v>
      </c>
      <c r="O399" s="133" t="s">
        <v>2417</v>
      </c>
      <c r="P399" s="133" t="s">
        <v>2417</v>
      </c>
      <c r="Q399" s="133" t="s">
        <v>2417</v>
      </c>
      <c r="R399" s="133" t="s">
        <v>2417</v>
      </c>
      <c r="S399" s="133" t="s">
        <v>2417</v>
      </c>
      <c r="T399" s="133" t="s">
        <v>2417</v>
      </c>
      <c r="U399" s="133" t="s">
        <v>2417</v>
      </c>
      <c r="V399" s="133" t="s">
        <v>2417</v>
      </c>
      <c r="W399" s="133" t="s">
        <v>2417</v>
      </c>
      <c r="X399" s="133" t="s">
        <v>2417</v>
      </c>
      <c r="Y399" s="133" t="s">
        <v>2417</v>
      </c>
      <c r="Z399" s="133" t="s">
        <v>2417</v>
      </c>
      <c r="AA399" s="133" t="s">
        <v>2417</v>
      </c>
      <c r="AB399" s="133" t="s">
        <v>2417</v>
      </c>
      <c r="AC399" s="133" t="s">
        <v>2417</v>
      </c>
      <c r="AD399" s="133" t="s">
        <v>2417</v>
      </c>
      <c r="AE399" s="157"/>
    </row>
    <row r="400" spans="1:31" ht="30.6" outlineLevel="2">
      <c r="A400" s="68" t="s">
        <v>1220</v>
      </c>
      <c r="B400" s="62" t="s">
        <v>1221</v>
      </c>
      <c r="C400" s="388" t="s">
        <v>2527</v>
      </c>
      <c r="D400" s="351"/>
      <c r="E400" s="133" t="s">
        <v>2525</v>
      </c>
      <c r="F400" s="133" t="s">
        <v>2417</v>
      </c>
      <c r="G400" s="133" t="s">
        <v>2417</v>
      </c>
      <c r="H400" s="133" t="s">
        <v>2417</v>
      </c>
      <c r="I400" s="134" t="s">
        <v>2418</v>
      </c>
      <c r="J400" s="133" t="s">
        <v>2417</v>
      </c>
      <c r="K400" s="133" t="s">
        <v>2417</v>
      </c>
      <c r="L400" s="133" t="s">
        <v>2417</v>
      </c>
      <c r="M400" s="133" t="s">
        <v>2417</v>
      </c>
      <c r="N400" s="133" t="s">
        <v>2417</v>
      </c>
      <c r="O400" s="133" t="s">
        <v>2417</v>
      </c>
      <c r="P400" s="133" t="s">
        <v>2417</v>
      </c>
      <c r="Q400" s="133" t="s">
        <v>2417</v>
      </c>
      <c r="R400" s="133" t="s">
        <v>2417</v>
      </c>
      <c r="S400" s="133" t="s">
        <v>2417</v>
      </c>
      <c r="T400" s="133" t="s">
        <v>2417</v>
      </c>
      <c r="U400" s="133" t="s">
        <v>2417</v>
      </c>
      <c r="V400" s="133" t="s">
        <v>2417</v>
      </c>
      <c r="W400" s="133" t="s">
        <v>2417</v>
      </c>
      <c r="X400" s="133" t="s">
        <v>2417</v>
      </c>
      <c r="Y400" s="133" t="s">
        <v>2417</v>
      </c>
      <c r="Z400" s="133" t="s">
        <v>2417</v>
      </c>
      <c r="AA400" s="133" t="s">
        <v>2417</v>
      </c>
      <c r="AB400" s="133" t="s">
        <v>2417</v>
      </c>
      <c r="AC400" s="133" t="s">
        <v>2417</v>
      </c>
      <c r="AD400" s="133" t="s">
        <v>2417</v>
      </c>
      <c r="AE400" s="157"/>
    </row>
    <row r="401" spans="1:31" ht="30.6" outlineLevel="2">
      <c r="A401" s="68" t="s">
        <v>1223</v>
      </c>
      <c r="B401" s="62" t="s">
        <v>1224</v>
      </c>
      <c r="C401" s="388" t="s">
        <v>2528</v>
      </c>
      <c r="D401" s="351"/>
      <c r="E401" s="133" t="s">
        <v>2525</v>
      </c>
      <c r="F401" s="133" t="s">
        <v>2417</v>
      </c>
      <c r="G401" s="133" t="s">
        <v>2417</v>
      </c>
      <c r="H401" s="133" t="s">
        <v>2417</v>
      </c>
      <c r="I401" s="134" t="s">
        <v>2418</v>
      </c>
      <c r="J401" s="133" t="s">
        <v>2417</v>
      </c>
      <c r="K401" s="133" t="s">
        <v>2417</v>
      </c>
      <c r="L401" s="133" t="s">
        <v>2417</v>
      </c>
      <c r="M401" s="133" t="s">
        <v>2417</v>
      </c>
      <c r="N401" s="133" t="s">
        <v>2417</v>
      </c>
      <c r="O401" s="133" t="s">
        <v>2417</v>
      </c>
      <c r="P401" s="133" t="s">
        <v>2417</v>
      </c>
      <c r="Q401" s="133" t="s">
        <v>2417</v>
      </c>
      <c r="R401" s="133" t="s">
        <v>2417</v>
      </c>
      <c r="S401" s="133" t="s">
        <v>2417</v>
      </c>
      <c r="T401" s="133" t="s">
        <v>2417</v>
      </c>
      <c r="U401" s="133" t="s">
        <v>2417</v>
      </c>
      <c r="V401" s="133" t="s">
        <v>2417</v>
      </c>
      <c r="W401" s="133" t="s">
        <v>2417</v>
      </c>
      <c r="X401" s="133" t="s">
        <v>2417</v>
      </c>
      <c r="Y401" s="133" t="s">
        <v>2417</v>
      </c>
      <c r="Z401" s="133" t="s">
        <v>2417</v>
      </c>
      <c r="AA401" s="133" t="s">
        <v>2417</v>
      </c>
      <c r="AB401" s="133" t="s">
        <v>2417</v>
      </c>
      <c r="AC401" s="133" t="s">
        <v>2417</v>
      </c>
      <c r="AD401" s="133" t="s">
        <v>2417</v>
      </c>
      <c r="AE401" s="157"/>
    </row>
    <row r="402" spans="1:31" ht="30.6" outlineLevel="2">
      <c r="A402" s="68" t="s">
        <v>1226</v>
      </c>
      <c r="B402" s="62" t="s">
        <v>1227</v>
      </c>
      <c r="C402" s="388" t="s">
        <v>2529</v>
      </c>
      <c r="D402" s="351"/>
      <c r="E402" s="133" t="s">
        <v>2525</v>
      </c>
      <c r="F402" s="133" t="s">
        <v>2417</v>
      </c>
      <c r="G402" s="133" t="s">
        <v>2417</v>
      </c>
      <c r="H402" s="133" t="s">
        <v>2417</v>
      </c>
      <c r="I402" s="134" t="s">
        <v>2418</v>
      </c>
      <c r="J402" s="133" t="s">
        <v>2417</v>
      </c>
      <c r="K402" s="133" t="s">
        <v>2417</v>
      </c>
      <c r="L402" s="133" t="s">
        <v>2417</v>
      </c>
      <c r="M402" s="133" t="s">
        <v>2417</v>
      </c>
      <c r="N402" s="133" t="s">
        <v>2417</v>
      </c>
      <c r="O402" s="133" t="s">
        <v>2417</v>
      </c>
      <c r="P402" s="133" t="s">
        <v>2417</v>
      </c>
      <c r="Q402" s="133" t="s">
        <v>2417</v>
      </c>
      <c r="R402" s="133" t="s">
        <v>2417</v>
      </c>
      <c r="S402" s="133" t="s">
        <v>2417</v>
      </c>
      <c r="T402" s="133" t="s">
        <v>2417</v>
      </c>
      <c r="U402" s="133" t="s">
        <v>2417</v>
      </c>
      <c r="V402" s="133" t="s">
        <v>2417</v>
      </c>
      <c r="W402" s="133" t="s">
        <v>2417</v>
      </c>
      <c r="X402" s="133" t="s">
        <v>2417</v>
      </c>
      <c r="Y402" s="133" t="s">
        <v>2417</v>
      </c>
      <c r="Z402" s="133" t="s">
        <v>2417</v>
      </c>
      <c r="AA402" s="133" t="s">
        <v>2417</v>
      </c>
      <c r="AB402" s="133" t="s">
        <v>2417</v>
      </c>
      <c r="AC402" s="133" t="s">
        <v>2417</v>
      </c>
      <c r="AD402" s="133" t="s">
        <v>2417</v>
      </c>
      <c r="AE402" s="158"/>
    </row>
    <row r="403" spans="1:31" ht="30.6" outlineLevel="2">
      <c r="A403" s="68" t="s">
        <v>1229</v>
      </c>
      <c r="B403" s="62" t="s">
        <v>1230</v>
      </c>
      <c r="C403" s="388" t="s">
        <v>2530</v>
      </c>
      <c r="D403" s="351"/>
      <c r="E403" s="133" t="s">
        <v>2525</v>
      </c>
      <c r="F403" s="133" t="s">
        <v>2417</v>
      </c>
      <c r="G403" s="133" t="s">
        <v>2417</v>
      </c>
      <c r="H403" s="133" t="s">
        <v>2417</v>
      </c>
      <c r="I403" s="134" t="s">
        <v>2418</v>
      </c>
      <c r="J403" s="133" t="s">
        <v>2417</v>
      </c>
      <c r="K403" s="133" t="s">
        <v>2417</v>
      </c>
      <c r="L403" s="133" t="s">
        <v>2417</v>
      </c>
      <c r="M403" s="133" t="s">
        <v>2417</v>
      </c>
      <c r="N403" s="133" t="s">
        <v>2417</v>
      </c>
      <c r="O403" s="133" t="s">
        <v>2417</v>
      </c>
      <c r="P403" s="133" t="s">
        <v>2417</v>
      </c>
      <c r="Q403" s="133" t="s">
        <v>2417</v>
      </c>
      <c r="R403" s="133" t="s">
        <v>2417</v>
      </c>
      <c r="S403" s="133" t="s">
        <v>2417</v>
      </c>
      <c r="T403" s="133" t="s">
        <v>2417</v>
      </c>
      <c r="U403" s="133" t="s">
        <v>2417</v>
      </c>
      <c r="V403" s="133" t="s">
        <v>2417</v>
      </c>
      <c r="W403" s="133" t="s">
        <v>2417</v>
      </c>
      <c r="X403" s="133" t="s">
        <v>2417</v>
      </c>
      <c r="Y403" s="133" t="s">
        <v>2417</v>
      </c>
      <c r="Z403" s="133" t="s">
        <v>2417</v>
      </c>
      <c r="AA403" s="133" t="s">
        <v>2417</v>
      </c>
      <c r="AB403" s="133" t="s">
        <v>2417</v>
      </c>
      <c r="AC403" s="133" t="s">
        <v>2417</v>
      </c>
      <c r="AD403" s="133" t="s">
        <v>2417</v>
      </c>
      <c r="AE403" s="157"/>
    </row>
    <row r="404" spans="1:31" ht="40.799999999999997" outlineLevel="2">
      <c r="A404" s="68" t="s">
        <v>1232</v>
      </c>
      <c r="B404" s="64" t="s">
        <v>1233</v>
      </c>
      <c r="C404" s="388" t="s">
        <v>2531</v>
      </c>
      <c r="D404" s="351"/>
      <c r="E404" s="133" t="s">
        <v>2525</v>
      </c>
      <c r="F404" s="133" t="s">
        <v>2417</v>
      </c>
      <c r="G404" s="133" t="s">
        <v>2417</v>
      </c>
      <c r="H404" s="133" t="s">
        <v>2417</v>
      </c>
      <c r="I404" s="134" t="s">
        <v>2418</v>
      </c>
      <c r="J404" s="133" t="s">
        <v>2417</v>
      </c>
      <c r="K404" s="133" t="s">
        <v>2417</v>
      </c>
      <c r="L404" s="133" t="s">
        <v>2417</v>
      </c>
      <c r="M404" s="133" t="s">
        <v>2417</v>
      </c>
      <c r="N404" s="133" t="s">
        <v>2417</v>
      </c>
      <c r="O404" s="133" t="s">
        <v>2417</v>
      </c>
      <c r="P404" s="133" t="s">
        <v>2417</v>
      </c>
      <c r="Q404" s="133" t="s">
        <v>2417</v>
      </c>
      <c r="R404" s="133" t="s">
        <v>2417</v>
      </c>
      <c r="S404" s="133" t="s">
        <v>2417</v>
      </c>
      <c r="T404" s="133" t="s">
        <v>2417</v>
      </c>
      <c r="U404" s="133" t="s">
        <v>2417</v>
      </c>
      <c r="V404" s="133" t="s">
        <v>2417</v>
      </c>
      <c r="W404" s="133" t="s">
        <v>2417</v>
      </c>
      <c r="X404" s="133" t="s">
        <v>2417</v>
      </c>
      <c r="Y404" s="133" t="s">
        <v>2417</v>
      </c>
      <c r="Z404" s="133" t="s">
        <v>2417</v>
      </c>
      <c r="AA404" s="133" t="s">
        <v>2417</v>
      </c>
      <c r="AB404" s="133" t="s">
        <v>2417</v>
      </c>
      <c r="AC404" s="133" t="s">
        <v>2417</v>
      </c>
      <c r="AD404" s="133" t="s">
        <v>2417</v>
      </c>
      <c r="AE404" s="158"/>
    </row>
    <row r="405" spans="1:31" ht="30.6" outlineLevel="2">
      <c r="A405" s="68" t="s">
        <v>1235</v>
      </c>
      <c r="B405" s="64" t="s">
        <v>1236</v>
      </c>
      <c r="C405" s="388" t="s">
        <v>2532</v>
      </c>
      <c r="D405" s="351"/>
      <c r="E405" s="133" t="s">
        <v>2525</v>
      </c>
      <c r="F405" s="133" t="s">
        <v>2417</v>
      </c>
      <c r="G405" s="133" t="s">
        <v>2417</v>
      </c>
      <c r="H405" s="133" t="s">
        <v>2417</v>
      </c>
      <c r="I405" s="134" t="s">
        <v>2418</v>
      </c>
      <c r="J405" s="133" t="s">
        <v>2417</v>
      </c>
      <c r="K405" s="133" t="s">
        <v>2417</v>
      </c>
      <c r="L405" s="133" t="s">
        <v>2417</v>
      </c>
      <c r="M405" s="133" t="s">
        <v>2417</v>
      </c>
      <c r="N405" s="133" t="s">
        <v>2417</v>
      </c>
      <c r="O405" s="133" t="s">
        <v>2417</v>
      </c>
      <c r="P405" s="133" t="s">
        <v>2417</v>
      </c>
      <c r="Q405" s="133" t="s">
        <v>2417</v>
      </c>
      <c r="R405" s="133" t="s">
        <v>2417</v>
      </c>
      <c r="S405" s="133" t="s">
        <v>2417</v>
      </c>
      <c r="T405" s="133" t="s">
        <v>2417</v>
      </c>
      <c r="U405" s="133" t="s">
        <v>2417</v>
      </c>
      <c r="V405" s="133" t="s">
        <v>2417</v>
      </c>
      <c r="W405" s="133" t="s">
        <v>2417</v>
      </c>
      <c r="X405" s="133" t="s">
        <v>2417</v>
      </c>
      <c r="Y405" s="133" t="s">
        <v>2417</v>
      </c>
      <c r="Z405" s="133" t="s">
        <v>2417</v>
      </c>
      <c r="AA405" s="133" t="s">
        <v>2417</v>
      </c>
      <c r="AB405" s="133" t="s">
        <v>2417</v>
      </c>
      <c r="AC405" s="133" t="s">
        <v>2417</v>
      </c>
      <c r="AD405" s="133" t="s">
        <v>2417</v>
      </c>
      <c r="AE405" s="158"/>
    </row>
    <row r="406" spans="1:31" ht="30.6" outlineLevel="2">
      <c r="A406" s="68" t="s">
        <v>1238</v>
      </c>
      <c r="B406" s="64" t="s">
        <v>1239</v>
      </c>
      <c r="C406" s="388" t="s">
        <v>2533</v>
      </c>
      <c r="D406" s="351"/>
      <c r="E406" s="133" t="s">
        <v>2525</v>
      </c>
      <c r="F406" s="133" t="s">
        <v>2417</v>
      </c>
      <c r="G406" s="133" t="s">
        <v>2417</v>
      </c>
      <c r="H406" s="133" t="s">
        <v>2417</v>
      </c>
      <c r="I406" s="134" t="s">
        <v>2418</v>
      </c>
      <c r="J406" s="133" t="s">
        <v>2417</v>
      </c>
      <c r="K406" s="133" t="s">
        <v>2417</v>
      </c>
      <c r="L406" s="133" t="s">
        <v>2417</v>
      </c>
      <c r="M406" s="133" t="s">
        <v>2417</v>
      </c>
      <c r="N406" s="133" t="s">
        <v>2417</v>
      </c>
      <c r="O406" s="133" t="s">
        <v>2417</v>
      </c>
      <c r="P406" s="133" t="s">
        <v>2417</v>
      </c>
      <c r="Q406" s="133" t="s">
        <v>2417</v>
      </c>
      <c r="R406" s="133" t="s">
        <v>2417</v>
      </c>
      <c r="S406" s="133" t="s">
        <v>2417</v>
      </c>
      <c r="T406" s="133" t="s">
        <v>2417</v>
      </c>
      <c r="U406" s="133" t="s">
        <v>2417</v>
      </c>
      <c r="V406" s="133" t="s">
        <v>2417</v>
      </c>
      <c r="W406" s="133" t="s">
        <v>2417</v>
      </c>
      <c r="X406" s="133" t="s">
        <v>2417</v>
      </c>
      <c r="Y406" s="133" t="s">
        <v>2417</v>
      </c>
      <c r="Z406" s="133" t="s">
        <v>2417</v>
      </c>
      <c r="AA406" s="133" t="s">
        <v>2417</v>
      </c>
      <c r="AB406" s="133" t="s">
        <v>2417</v>
      </c>
      <c r="AC406" s="133" t="s">
        <v>2417</v>
      </c>
      <c r="AD406" s="133" t="s">
        <v>2417</v>
      </c>
      <c r="AE406" s="158"/>
    </row>
    <row r="407" spans="1:31" ht="30.6" outlineLevel="2">
      <c r="A407" s="68" t="s">
        <v>1241</v>
      </c>
      <c r="B407" s="62" t="s">
        <v>1242</v>
      </c>
      <c r="C407" s="388" t="s">
        <v>2534</v>
      </c>
      <c r="D407" s="351"/>
      <c r="E407" s="133" t="s">
        <v>2525</v>
      </c>
      <c r="F407" s="133" t="s">
        <v>2417</v>
      </c>
      <c r="G407" s="133" t="s">
        <v>2417</v>
      </c>
      <c r="H407" s="133" t="s">
        <v>2417</v>
      </c>
      <c r="I407" s="134" t="s">
        <v>2418</v>
      </c>
      <c r="J407" s="133" t="s">
        <v>2417</v>
      </c>
      <c r="K407" s="133" t="s">
        <v>2417</v>
      </c>
      <c r="L407" s="133" t="s">
        <v>2417</v>
      </c>
      <c r="M407" s="133" t="s">
        <v>2417</v>
      </c>
      <c r="N407" s="133" t="s">
        <v>2417</v>
      </c>
      <c r="O407" s="133" t="s">
        <v>2417</v>
      </c>
      <c r="P407" s="133" t="s">
        <v>2417</v>
      </c>
      <c r="Q407" s="133" t="s">
        <v>2417</v>
      </c>
      <c r="R407" s="133" t="s">
        <v>2417</v>
      </c>
      <c r="S407" s="133" t="s">
        <v>2417</v>
      </c>
      <c r="T407" s="133" t="s">
        <v>2417</v>
      </c>
      <c r="U407" s="133" t="s">
        <v>2417</v>
      </c>
      <c r="V407" s="133" t="s">
        <v>2417</v>
      </c>
      <c r="W407" s="133" t="s">
        <v>2417</v>
      </c>
      <c r="X407" s="133" t="s">
        <v>2417</v>
      </c>
      <c r="Y407" s="133" t="s">
        <v>2417</v>
      </c>
      <c r="Z407" s="133" t="s">
        <v>2417</v>
      </c>
      <c r="AA407" s="133" t="s">
        <v>2417</v>
      </c>
      <c r="AB407" s="133" t="s">
        <v>2417</v>
      </c>
      <c r="AC407" s="133" t="s">
        <v>2417</v>
      </c>
      <c r="AD407" s="133" t="s">
        <v>2417</v>
      </c>
      <c r="AE407" s="157"/>
    </row>
    <row r="408" spans="1:31" ht="30.6" outlineLevel="2">
      <c r="A408" s="68" t="s">
        <v>1244</v>
      </c>
      <c r="B408" s="62" t="s">
        <v>1245</v>
      </c>
      <c r="C408" s="388" t="s">
        <v>2535</v>
      </c>
      <c r="D408" s="351"/>
      <c r="E408" s="133" t="s">
        <v>2525</v>
      </c>
      <c r="F408" s="133" t="s">
        <v>2417</v>
      </c>
      <c r="G408" s="133" t="s">
        <v>2417</v>
      </c>
      <c r="H408" s="133" t="s">
        <v>2417</v>
      </c>
      <c r="I408" s="134" t="s">
        <v>2418</v>
      </c>
      <c r="J408" s="133" t="s">
        <v>2417</v>
      </c>
      <c r="K408" s="133" t="s">
        <v>2417</v>
      </c>
      <c r="L408" s="133" t="s">
        <v>2417</v>
      </c>
      <c r="M408" s="133" t="s">
        <v>2417</v>
      </c>
      <c r="N408" s="133" t="s">
        <v>2417</v>
      </c>
      <c r="O408" s="133" t="s">
        <v>2417</v>
      </c>
      <c r="P408" s="133" t="s">
        <v>2417</v>
      </c>
      <c r="Q408" s="133" t="s">
        <v>2417</v>
      </c>
      <c r="R408" s="133" t="s">
        <v>2417</v>
      </c>
      <c r="S408" s="133" t="s">
        <v>2417</v>
      </c>
      <c r="T408" s="133" t="s">
        <v>2417</v>
      </c>
      <c r="U408" s="133" t="s">
        <v>2417</v>
      </c>
      <c r="V408" s="133" t="s">
        <v>2417</v>
      </c>
      <c r="W408" s="133" t="s">
        <v>2417</v>
      </c>
      <c r="X408" s="133" t="s">
        <v>2417</v>
      </c>
      <c r="Y408" s="133" t="s">
        <v>2417</v>
      </c>
      <c r="Z408" s="133" t="s">
        <v>2417</v>
      </c>
      <c r="AA408" s="133" t="s">
        <v>2417</v>
      </c>
      <c r="AB408" s="133" t="s">
        <v>2417</v>
      </c>
      <c r="AC408" s="133" t="s">
        <v>2417</v>
      </c>
      <c r="AD408" s="133" t="s">
        <v>2417</v>
      </c>
      <c r="AE408" s="157"/>
    </row>
    <row r="409" spans="1:31" ht="30.6" outlineLevel="2">
      <c r="A409" s="68" t="s">
        <v>1247</v>
      </c>
      <c r="B409" s="62" t="s">
        <v>1248</v>
      </c>
      <c r="C409" s="388" t="s">
        <v>2536</v>
      </c>
      <c r="D409" s="351"/>
      <c r="E409" s="133" t="s">
        <v>2525</v>
      </c>
      <c r="F409" s="133" t="s">
        <v>2417</v>
      </c>
      <c r="G409" s="133" t="s">
        <v>2417</v>
      </c>
      <c r="H409" s="133" t="s">
        <v>2417</v>
      </c>
      <c r="I409" s="134" t="s">
        <v>2418</v>
      </c>
      <c r="J409" s="133" t="s">
        <v>2417</v>
      </c>
      <c r="K409" s="133" t="s">
        <v>2417</v>
      </c>
      <c r="L409" s="133" t="s">
        <v>2417</v>
      </c>
      <c r="M409" s="133" t="s">
        <v>2417</v>
      </c>
      <c r="N409" s="133" t="s">
        <v>2417</v>
      </c>
      <c r="O409" s="133" t="s">
        <v>2417</v>
      </c>
      <c r="P409" s="133" t="s">
        <v>2417</v>
      </c>
      <c r="Q409" s="133" t="s">
        <v>2417</v>
      </c>
      <c r="R409" s="133" t="s">
        <v>2417</v>
      </c>
      <c r="S409" s="133" t="s">
        <v>2417</v>
      </c>
      <c r="T409" s="133" t="s">
        <v>2417</v>
      </c>
      <c r="U409" s="133" t="s">
        <v>2417</v>
      </c>
      <c r="V409" s="133" t="s">
        <v>2417</v>
      </c>
      <c r="W409" s="133" t="s">
        <v>2417</v>
      </c>
      <c r="X409" s="133" t="s">
        <v>2417</v>
      </c>
      <c r="Y409" s="133" t="s">
        <v>2417</v>
      </c>
      <c r="Z409" s="133" t="s">
        <v>2417</v>
      </c>
      <c r="AA409" s="133" t="s">
        <v>2417</v>
      </c>
      <c r="AB409" s="133" t="s">
        <v>2417</v>
      </c>
      <c r="AC409" s="133" t="s">
        <v>2417</v>
      </c>
      <c r="AD409" s="133" t="s">
        <v>2417</v>
      </c>
      <c r="AE409" s="157"/>
    </row>
    <row r="410" spans="1:31" ht="30.6" outlineLevel="2">
      <c r="A410" s="68" t="s">
        <v>1250</v>
      </c>
      <c r="B410" s="62" t="s">
        <v>1251</v>
      </c>
      <c r="C410" s="388" t="s">
        <v>2537</v>
      </c>
      <c r="D410" s="351"/>
      <c r="E410" s="133" t="s">
        <v>2525</v>
      </c>
      <c r="F410" s="133" t="s">
        <v>2417</v>
      </c>
      <c r="G410" s="133" t="s">
        <v>2417</v>
      </c>
      <c r="H410" s="133" t="s">
        <v>2417</v>
      </c>
      <c r="I410" s="134" t="s">
        <v>2418</v>
      </c>
      <c r="J410" s="133" t="s">
        <v>2417</v>
      </c>
      <c r="K410" s="133" t="s">
        <v>2417</v>
      </c>
      <c r="L410" s="133" t="s">
        <v>2417</v>
      </c>
      <c r="M410" s="133" t="s">
        <v>2417</v>
      </c>
      <c r="N410" s="133" t="s">
        <v>2417</v>
      </c>
      <c r="O410" s="133" t="s">
        <v>2417</v>
      </c>
      <c r="P410" s="133" t="s">
        <v>2417</v>
      </c>
      <c r="Q410" s="133" t="s">
        <v>2417</v>
      </c>
      <c r="R410" s="133" t="s">
        <v>2417</v>
      </c>
      <c r="S410" s="133" t="s">
        <v>2417</v>
      </c>
      <c r="T410" s="133" t="s">
        <v>2417</v>
      </c>
      <c r="U410" s="133" t="s">
        <v>2417</v>
      </c>
      <c r="V410" s="133" t="s">
        <v>2417</v>
      </c>
      <c r="W410" s="133" t="s">
        <v>2417</v>
      </c>
      <c r="X410" s="133" t="s">
        <v>2417</v>
      </c>
      <c r="Y410" s="133" t="s">
        <v>2417</v>
      </c>
      <c r="Z410" s="133" t="s">
        <v>2417</v>
      </c>
      <c r="AA410" s="133" t="s">
        <v>2417</v>
      </c>
      <c r="AB410" s="133" t="s">
        <v>2417</v>
      </c>
      <c r="AC410" s="133" t="s">
        <v>2417</v>
      </c>
      <c r="AD410" s="133" t="s">
        <v>2417</v>
      </c>
      <c r="AE410" s="157"/>
    </row>
    <row r="411" spans="1:31" ht="30.6" outlineLevel="2">
      <c r="A411" s="68" t="s">
        <v>1253</v>
      </c>
      <c r="B411" s="64" t="s">
        <v>1248</v>
      </c>
      <c r="C411" s="388" t="s">
        <v>2538</v>
      </c>
      <c r="D411" s="351"/>
      <c r="E411" s="133" t="s">
        <v>2525</v>
      </c>
      <c r="F411" s="133" t="s">
        <v>2417</v>
      </c>
      <c r="G411" s="133" t="s">
        <v>2417</v>
      </c>
      <c r="H411" s="133" t="s">
        <v>2417</v>
      </c>
      <c r="I411" s="134" t="s">
        <v>2418</v>
      </c>
      <c r="J411" s="133" t="s">
        <v>2417</v>
      </c>
      <c r="K411" s="133" t="s">
        <v>2417</v>
      </c>
      <c r="L411" s="133" t="s">
        <v>2417</v>
      </c>
      <c r="M411" s="133" t="s">
        <v>2417</v>
      </c>
      <c r="N411" s="133" t="s">
        <v>2417</v>
      </c>
      <c r="O411" s="133" t="s">
        <v>2417</v>
      </c>
      <c r="P411" s="133" t="s">
        <v>2417</v>
      </c>
      <c r="Q411" s="133" t="s">
        <v>2417</v>
      </c>
      <c r="R411" s="133" t="s">
        <v>2417</v>
      </c>
      <c r="S411" s="133" t="s">
        <v>2417</v>
      </c>
      <c r="T411" s="133" t="s">
        <v>2417</v>
      </c>
      <c r="U411" s="133" t="s">
        <v>2417</v>
      </c>
      <c r="V411" s="133" t="s">
        <v>2417</v>
      </c>
      <c r="W411" s="133" t="s">
        <v>2417</v>
      </c>
      <c r="X411" s="133" t="s">
        <v>2417</v>
      </c>
      <c r="Y411" s="133" t="s">
        <v>2417</v>
      </c>
      <c r="Z411" s="133" t="s">
        <v>2417</v>
      </c>
      <c r="AA411" s="133" t="s">
        <v>2417</v>
      </c>
      <c r="AB411" s="133" t="s">
        <v>2417</v>
      </c>
      <c r="AC411" s="133" t="s">
        <v>2417</v>
      </c>
      <c r="AD411" s="133" t="s">
        <v>2417</v>
      </c>
      <c r="AE411" s="158"/>
    </row>
    <row r="412" spans="1:31" ht="30.6" outlineLevel="2">
      <c r="A412" s="68" t="s">
        <v>1255</v>
      </c>
      <c r="B412" s="62" t="s">
        <v>1256</v>
      </c>
      <c r="C412" s="388" t="s">
        <v>2539</v>
      </c>
      <c r="D412" s="351"/>
      <c r="E412" s="133" t="s">
        <v>2525</v>
      </c>
      <c r="F412" s="133" t="s">
        <v>2417</v>
      </c>
      <c r="G412" s="133" t="s">
        <v>2417</v>
      </c>
      <c r="H412" s="133" t="s">
        <v>2417</v>
      </c>
      <c r="I412" s="134" t="s">
        <v>2418</v>
      </c>
      <c r="J412" s="133" t="s">
        <v>2417</v>
      </c>
      <c r="K412" s="133" t="s">
        <v>2417</v>
      </c>
      <c r="L412" s="133" t="s">
        <v>2417</v>
      </c>
      <c r="M412" s="133" t="s">
        <v>2417</v>
      </c>
      <c r="N412" s="133" t="s">
        <v>2417</v>
      </c>
      <c r="O412" s="133" t="s">
        <v>2417</v>
      </c>
      <c r="P412" s="133" t="s">
        <v>2417</v>
      </c>
      <c r="Q412" s="133" t="s">
        <v>2417</v>
      </c>
      <c r="R412" s="133" t="s">
        <v>2417</v>
      </c>
      <c r="S412" s="133" t="s">
        <v>2417</v>
      </c>
      <c r="T412" s="133" t="s">
        <v>2417</v>
      </c>
      <c r="U412" s="133" t="s">
        <v>2417</v>
      </c>
      <c r="V412" s="133" t="s">
        <v>2417</v>
      </c>
      <c r="W412" s="133" t="s">
        <v>2417</v>
      </c>
      <c r="X412" s="133" t="s">
        <v>2417</v>
      </c>
      <c r="Y412" s="133" t="s">
        <v>2417</v>
      </c>
      <c r="Z412" s="133" t="s">
        <v>2417</v>
      </c>
      <c r="AA412" s="133" t="s">
        <v>2417</v>
      </c>
      <c r="AB412" s="133" t="s">
        <v>2417</v>
      </c>
      <c r="AC412" s="133" t="s">
        <v>2417</v>
      </c>
      <c r="AD412" s="133" t="s">
        <v>2417</v>
      </c>
      <c r="AE412" s="157"/>
    </row>
    <row r="413" spans="1:31" ht="40.799999999999997" outlineLevel="2">
      <c r="A413" s="68" t="s">
        <v>1258</v>
      </c>
      <c r="B413" s="62" t="s">
        <v>1259</v>
      </c>
      <c r="C413" s="388" t="s">
        <v>2540</v>
      </c>
      <c r="D413" s="351"/>
      <c r="E413" s="133" t="s">
        <v>2525</v>
      </c>
      <c r="F413" s="133" t="s">
        <v>2417</v>
      </c>
      <c r="G413" s="133" t="s">
        <v>2417</v>
      </c>
      <c r="H413" s="133" t="s">
        <v>2417</v>
      </c>
      <c r="I413" s="134" t="s">
        <v>2418</v>
      </c>
      <c r="J413" s="133" t="s">
        <v>2417</v>
      </c>
      <c r="K413" s="133" t="s">
        <v>2417</v>
      </c>
      <c r="L413" s="133" t="s">
        <v>2417</v>
      </c>
      <c r="M413" s="133" t="s">
        <v>2417</v>
      </c>
      <c r="N413" s="133" t="s">
        <v>2417</v>
      </c>
      <c r="O413" s="133" t="s">
        <v>2417</v>
      </c>
      <c r="P413" s="133" t="s">
        <v>2417</v>
      </c>
      <c r="Q413" s="133" t="s">
        <v>2417</v>
      </c>
      <c r="R413" s="133" t="s">
        <v>2417</v>
      </c>
      <c r="S413" s="133" t="s">
        <v>2417</v>
      </c>
      <c r="T413" s="133" t="s">
        <v>2417</v>
      </c>
      <c r="U413" s="133" t="s">
        <v>2417</v>
      </c>
      <c r="V413" s="133" t="s">
        <v>2417</v>
      </c>
      <c r="W413" s="133" t="s">
        <v>2417</v>
      </c>
      <c r="X413" s="133" t="s">
        <v>2417</v>
      </c>
      <c r="Y413" s="133" t="s">
        <v>2417</v>
      </c>
      <c r="Z413" s="133" t="s">
        <v>2417</v>
      </c>
      <c r="AA413" s="133" t="s">
        <v>2417</v>
      </c>
      <c r="AB413" s="133" t="s">
        <v>2417</v>
      </c>
      <c r="AC413" s="133" t="s">
        <v>2417</v>
      </c>
      <c r="AD413" s="133" t="s">
        <v>2417</v>
      </c>
      <c r="AE413" s="158"/>
    </row>
    <row r="414" spans="1:31" ht="40.799999999999997" outlineLevel="2">
      <c r="A414" s="68" t="s">
        <v>1261</v>
      </c>
      <c r="B414" s="62" t="s">
        <v>1262</v>
      </c>
      <c r="C414" s="388" t="s">
        <v>2541</v>
      </c>
      <c r="D414" s="351"/>
      <c r="E414" s="133" t="s">
        <v>2525</v>
      </c>
      <c r="F414" s="133" t="s">
        <v>2417</v>
      </c>
      <c r="G414" s="133" t="s">
        <v>2417</v>
      </c>
      <c r="H414" s="133" t="s">
        <v>2417</v>
      </c>
      <c r="I414" s="134" t="s">
        <v>2418</v>
      </c>
      <c r="J414" s="133" t="s">
        <v>2417</v>
      </c>
      <c r="K414" s="133" t="s">
        <v>2417</v>
      </c>
      <c r="L414" s="133" t="s">
        <v>2417</v>
      </c>
      <c r="M414" s="133" t="s">
        <v>2417</v>
      </c>
      <c r="N414" s="133" t="s">
        <v>2417</v>
      </c>
      <c r="O414" s="133" t="s">
        <v>2417</v>
      </c>
      <c r="P414" s="133" t="s">
        <v>2417</v>
      </c>
      <c r="Q414" s="133" t="s">
        <v>2417</v>
      </c>
      <c r="R414" s="133" t="s">
        <v>2417</v>
      </c>
      <c r="S414" s="133" t="s">
        <v>2417</v>
      </c>
      <c r="T414" s="133" t="s">
        <v>2417</v>
      </c>
      <c r="U414" s="133" t="s">
        <v>2417</v>
      </c>
      <c r="V414" s="133" t="s">
        <v>2417</v>
      </c>
      <c r="W414" s="133" t="s">
        <v>2417</v>
      </c>
      <c r="X414" s="133" t="s">
        <v>2417</v>
      </c>
      <c r="Y414" s="133" t="s">
        <v>2417</v>
      </c>
      <c r="Z414" s="133" t="s">
        <v>2417</v>
      </c>
      <c r="AA414" s="133" t="s">
        <v>2417</v>
      </c>
      <c r="AB414" s="133" t="s">
        <v>2417</v>
      </c>
      <c r="AC414" s="133" t="s">
        <v>2417</v>
      </c>
      <c r="AD414" s="133" t="s">
        <v>2417</v>
      </c>
      <c r="AE414" s="158"/>
    </row>
    <row r="415" spans="1:31" ht="40.799999999999997" outlineLevel="2">
      <c r="A415" s="68" t="s">
        <v>1264</v>
      </c>
      <c r="B415" s="64" t="s">
        <v>1265</v>
      </c>
      <c r="C415" s="388" t="s">
        <v>2542</v>
      </c>
      <c r="D415" s="351"/>
      <c r="E415" s="133" t="s">
        <v>2525</v>
      </c>
      <c r="F415" s="133" t="s">
        <v>2417</v>
      </c>
      <c r="G415" s="133" t="s">
        <v>2417</v>
      </c>
      <c r="H415" s="133" t="s">
        <v>2417</v>
      </c>
      <c r="I415" s="134" t="s">
        <v>2418</v>
      </c>
      <c r="J415" s="133" t="s">
        <v>2417</v>
      </c>
      <c r="K415" s="133" t="s">
        <v>2417</v>
      </c>
      <c r="L415" s="133" t="s">
        <v>2417</v>
      </c>
      <c r="M415" s="133" t="s">
        <v>2417</v>
      </c>
      <c r="N415" s="133" t="s">
        <v>2417</v>
      </c>
      <c r="O415" s="133" t="s">
        <v>2417</v>
      </c>
      <c r="P415" s="133" t="s">
        <v>2417</v>
      </c>
      <c r="Q415" s="133" t="s">
        <v>2417</v>
      </c>
      <c r="R415" s="133" t="s">
        <v>2417</v>
      </c>
      <c r="S415" s="133" t="s">
        <v>2417</v>
      </c>
      <c r="T415" s="133" t="s">
        <v>2417</v>
      </c>
      <c r="U415" s="133" t="s">
        <v>2417</v>
      </c>
      <c r="V415" s="133" t="s">
        <v>2417</v>
      </c>
      <c r="W415" s="133" t="s">
        <v>2417</v>
      </c>
      <c r="X415" s="133" t="s">
        <v>2417</v>
      </c>
      <c r="Y415" s="133" t="s">
        <v>2417</v>
      </c>
      <c r="Z415" s="133" t="s">
        <v>2417</v>
      </c>
      <c r="AA415" s="133" t="s">
        <v>2417</v>
      </c>
      <c r="AB415" s="133" t="s">
        <v>2417</v>
      </c>
      <c r="AC415" s="133" t="s">
        <v>2417</v>
      </c>
      <c r="AD415" s="133" t="s">
        <v>2417</v>
      </c>
      <c r="AE415" s="158"/>
    </row>
    <row r="416" spans="1:31" ht="30.6" outlineLevel="2">
      <c r="A416" s="68" t="s">
        <v>1267</v>
      </c>
      <c r="B416" s="64" t="s">
        <v>1268</v>
      </c>
      <c r="C416" s="388" t="s">
        <v>2543</v>
      </c>
      <c r="D416" s="351"/>
      <c r="E416" s="133" t="s">
        <v>2525</v>
      </c>
      <c r="F416" s="133" t="s">
        <v>2417</v>
      </c>
      <c r="G416" s="133" t="s">
        <v>2417</v>
      </c>
      <c r="H416" s="133" t="s">
        <v>2417</v>
      </c>
      <c r="I416" s="134" t="s">
        <v>2418</v>
      </c>
      <c r="J416" s="133" t="s">
        <v>2417</v>
      </c>
      <c r="K416" s="133" t="s">
        <v>2417</v>
      </c>
      <c r="L416" s="133" t="s">
        <v>2417</v>
      </c>
      <c r="M416" s="133" t="s">
        <v>2417</v>
      </c>
      <c r="N416" s="133" t="s">
        <v>2417</v>
      </c>
      <c r="O416" s="133" t="s">
        <v>2417</v>
      </c>
      <c r="P416" s="133" t="s">
        <v>2417</v>
      </c>
      <c r="Q416" s="133" t="s">
        <v>2417</v>
      </c>
      <c r="R416" s="133" t="s">
        <v>2417</v>
      </c>
      <c r="S416" s="133" t="s">
        <v>2417</v>
      </c>
      <c r="T416" s="133" t="s">
        <v>2417</v>
      </c>
      <c r="U416" s="133" t="s">
        <v>2417</v>
      </c>
      <c r="V416" s="133" t="s">
        <v>2417</v>
      </c>
      <c r="W416" s="133" t="s">
        <v>2417</v>
      </c>
      <c r="X416" s="133" t="s">
        <v>2417</v>
      </c>
      <c r="Y416" s="133" t="s">
        <v>2417</v>
      </c>
      <c r="Z416" s="133" t="s">
        <v>2417</v>
      </c>
      <c r="AA416" s="133" t="s">
        <v>2417</v>
      </c>
      <c r="AB416" s="133" t="s">
        <v>2417</v>
      </c>
      <c r="AC416" s="133" t="s">
        <v>2417</v>
      </c>
      <c r="AD416" s="133" t="s">
        <v>2417</v>
      </c>
      <c r="AE416" s="158"/>
    </row>
    <row r="417" spans="1:31" ht="40.799999999999997" outlineLevel="2">
      <c r="A417" s="68" t="s">
        <v>1270</v>
      </c>
      <c r="B417" s="62" t="s">
        <v>1271</v>
      </c>
      <c r="C417" s="388" t="s">
        <v>2544</v>
      </c>
      <c r="D417" s="351"/>
      <c r="E417" s="133" t="s">
        <v>2525</v>
      </c>
      <c r="F417" s="133" t="s">
        <v>2417</v>
      </c>
      <c r="G417" s="133" t="s">
        <v>2417</v>
      </c>
      <c r="H417" s="133" t="s">
        <v>2417</v>
      </c>
      <c r="I417" s="134" t="s">
        <v>2418</v>
      </c>
      <c r="J417" s="133" t="s">
        <v>2417</v>
      </c>
      <c r="K417" s="133" t="s">
        <v>2417</v>
      </c>
      <c r="L417" s="133" t="s">
        <v>2417</v>
      </c>
      <c r="M417" s="133" t="s">
        <v>2417</v>
      </c>
      <c r="N417" s="133" t="s">
        <v>2417</v>
      </c>
      <c r="O417" s="133" t="s">
        <v>2417</v>
      </c>
      <c r="P417" s="133" t="s">
        <v>2417</v>
      </c>
      <c r="Q417" s="133" t="s">
        <v>2417</v>
      </c>
      <c r="R417" s="133" t="s">
        <v>2417</v>
      </c>
      <c r="S417" s="133" t="s">
        <v>2417</v>
      </c>
      <c r="T417" s="133" t="s">
        <v>2417</v>
      </c>
      <c r="U417" s="133" t="s">
        <v>2417</v>
      </c>
      <c r="V417" s="133" t="s">
        <v>2417</v>
      </c>
      <c r="W417" s="133" t="s">
        <v>2417</v>
      </c>
      <c r="X417" s="133" t="s">
        <v>2417</v>
      </c>
      <c r="Y417" s="133" t="s">
        <v>2417</v>
      </c>
      <c r="Z417" s="133" t="s">
        <v>2417</v>
      </c>
      <c r="AA417" s="133" t="s">
        <v>2417</v>
      </c>
      <c r="AB417" s="133" t="s">
        <v>2417</v>
      </c>
      <c r="AC417" s="133" t="s">
        <v>2417</v>
      </c>
      <c r="AD417" s="133" t="s">
        <v>2417</v>
      </c>
      <c r="AE417" s="158"/>
    </row>
    <row r="418" spans="1:31" ht="30.6" outlineLevel="2">
      <c r="A418" s="68" t="s">
        <v>1273</v>
      </c>
      <c r="B418" s="62" t="s">
        <v>1274</v>
      </c>
      <c r="C418" s="388" t="s">
        <v>2545</v>
      </c>
      <c r="D418" s="351"/>
      <c r="E418" s="133" t="s">
        <v>2525</v>
      </c>
      <c r="F418" s="133" t="s">
        <v>2417</v>
      </c>
      <c r="G418" s="133" t="s">
        <v>2417</v>
      </c>
      <c r="H418" s="133" t="s">
        <v>2417</v>
      </c>
      <c r="I418" s="134" t="s">
        <v>2418</v>
      </c>
      <c r="J418" s="133" t="s">
        <v>2417</v>
      </c>
      <c r="K418" s="133" t="s">
        <v>2417</v>
      </c>
      <c r="L418" s="133" t="s">
        <v>2417</v>
      </c>
      <c r="M418" s="133" t="s">
        <v>2417</v>
      </c>
      <c r="N418" s="133" t="s">
        <v>2417</v>
      </c>
      <c r="O418" s="133" t="s">
        <v>2417</v>
      </c>
      <c r="P418" s="133" t="s">
        <v>2417</v>
      </c>
      <c r="Q418" s="133" t="s">
        <v>2417</v>
      </c>
      <c r="R418" s="133" t="s">
        <v>2417</v>
      </c>
      <c r="S418" s="133" t="s">
        <v>2417</v>
      </c>
      <c r="T418" s="133" t="s">
        <v>2417</v>
      </c>
      <c r="U418" s="133" t="s">
        <v>2417</v>
      </c>
      <c r="V418" s="133" t="s">
        <v>2417</v>
      </c>
      <c r="W418" s="133" t="s">
        <v>2417</v>
      </c>
      <c r="X418" s="133" t="s">
        <v>2417</v>
      </c>
      <c r="Y418" s="133" t="s">
        <v>2417</v>
      </c>
      <c r="Z418" s="133" t="s">
        <v>2417</v>
      </c>
      <c r="AA418" s="133" t="s">
        <v>2417</v>
      </c>
      <c r="AB418" s="133" t="s">
        <v>2417</v>
      </c>
      <c r="AC418" s="133" t="s">
        <v>2417</v>
      </c>
      <c r="AD418" s="133" t="s">
        <v>2417</v>
      </c>
      <c r="AE418" s="158"/>
    </row>
    <row r="419" spans="1:31" ht="13.2" outlineLevel="1">
      <c r="A419" s="385" t="s">
        <v>1276</v>
      </c>
      <c r="B419" s="350"/>
      <c r="C419" s="350"/>
      <c r="D419" s="351"/>
      <c r="E419" s="133" t="s">
        <v>2546</v>
      </c>
      <c r="F419" s="133" t="s">
        <v>2417</v>
      </c>
      <c r="G419" s="133" t="s">
        <v>2417</v>
      </c>
      <c r="H419" s="133" t="s">
        <v>2417</v>
      </c>
      <c r="I419" s="134" t="s">
        <v>2418</v>
      </c>
      <c r="J419" s="133" t="s">
        <v>2417</v>
      </c>
      <c r="K419" s="133" t="s">
        <v>2417</v>
      </c>
      <c r="L419" s="133" t="s">
        <v>2417</v>
      </c>
      <c r="M419" s="133" t="s">
        <v>2417</v>
      </c>
      <c r="N419" s="133" t="s">
        <v>2417</v>
      </c>
      <c r="O419" s="133" t="s">
        <v>2417</v>
      </c>
      <c r="P419" s="133" t="s">
        <v>2417</v>
      </c>
      <c r="Q419" s="133" t="s">
        <v>2417</v>
      </c>
      <c r="R419" s="133" t="s">
        <v>2417</v>
      </c>
      <c r="S419" s="133" t="s">
        <v>2417</v>
      </c>
      <c r="T419" s="133" t="s">
        <v>2417</v>
      </c>
      <c r="U419" s="133" t="s">
        <v>2417</v>
      </c>
      <c r="V419" s="133" t="s">
        <v>2417</v>
      </c>
      <c r="W419" s="133" t="s">
        <v>2417</v>
      </c>
      <c r="X419" s="133" t="s">
        <v>2417</v>
      </c>
      <c r="Y419" s="133" t="s">
        <v>2417</v>
      </c>
      <c r="Z419" s="133" t="s">
        <v>2417</v>
      </c>
      <c r="AA419" s="133" t="s">
        <v>2417</v>
      </c>
      <c r="AB419" s="133" t="s">
        <v>2417</v>
      </c>
      <c r="AC419" s="133" t="s">
        <v>2417</v>
      </c>
      <c r="AD419" s="133" t="s">
        <v>2417</v>
      </c>
      <c r="AE419" s="143"/>
    </row>
    <row r="420" spans="1:31" ht="13.2" outlineLevel="2">
      <c r="A420" s="68" t="s">
        <v>167</v>
      </c>
      <c r="B420" s="64"/>
      <c r="C420" s="387" t="s">
        <v>1277</v>
      </c>
      <c r="D420" s="351"/>
      <c r="E420" s="133" t="s">
        <v>2546</v>
      </c>
      <c r="F420" s="133" t="s">
        <v>2417</v>
      </c>
      <c r="G420" s="133" t="s">
        <v>2417</v>
      </c>
      <c r="H420" s="133" t="s">
        <v>2417</v>
      </c>
      <c r="I420" s="134" t="s">
        <v>2418</v>
      </c>
      <c r="J420" s="133" t="s">
        <v>2417</v>
      </c>
      <c r="K420" s="133" t="s">
        <v>2417</v>
      </c>
      <c r="L420" s="133" t="s">
        <v>2417</v>
      </c>
      <c r="M420" s="133" t="s">
        <v>2417</v>
      </c>
      <c r="N420" s="133" t="s">
        <v>2417</v>
      </c>
      <c r="O420" s="133" t="s">
        <v>2417</v>
      </c>
      <c r="P420" s="133" t="s">
        <v>2417</v>
      </c>
      <c r="Q420" s="133" t="s">
        <v>2417</v>
      </c>
      <c r="R420" s="133" t="s">
        <v>2417</v>
      </c>
      <c r="S420" s="133" t="s">
        <v>2417</v>
      </c>
      <c r="T420" s="133" t="s">
        <v>2417</v>
      </c>
      <c r="U420" s="133" t="s">
        <v>2417</v>
      </c>
      <c r="V420" s="133" t="s">
        <v>2417</v>
      </c>
      <c r="W420" s="133" t="s">
        <v>2417</v>
      </c>
      <c r="X420" s="133" t="s">
        <v>2417</v>
      </c>
      <c r="Y420" s="133" t="s">
        <v>2417</v>
      </c>
      <c r="Z420" s="133" t="s">
        <v>2417</v>
      </c>
      <c r="AA420" s="133" t="s">
        <v>2417</v>
      </c>
      <c r="AB420" s="133" t="s">
        <v>2417</v>
      </c>
      <c r="AC420" s="133" t="s">
        <v>2417</v>
      </c>
      <c r="AD420" s="133" t="s">
        <v>2417</v>
      </c>
      <c r="AE420" s="144"/>
    </row>
    <row r="421" spans="1:31" ht="30.6" outlineLevel="2">
      <c r="A421" s="68" t="s">
        <v>1217</v>
      </c>
      <c r="B421" s="62" t="s">
        <v>1218</v>
      </c>
      <c r="C421" s="388" t="s">
        <v>2547</v>
      </c>
      <c r="D421" s="351"/>
      <c r="E421" s="133" t="s">
        <v>2546</v>
      </c>
      <c r="F421" s="133" t="s">
        <v>2417</v>
      </c>
      <c r="G421" s="133" t="s">
        <v>2417</v>
      </c>
      <c r="H421" s="133" t="s">
        <v>2417</v>
      </c>
      <c r="I421" s="134" t="s">
        <v>2418</v>
      </c>
      <c r="J421" s="133" t="s">
        <v>2417</v>
      </c>
      <c r="K421" s="133" t="s">
        <v>2417</v>
      </c>
      <c r="L421" s="133" t="s">
        <v>2417</v>
      </c>
      <c r="M421" s="133" t="s">
        <v>2417</v>
      </c>
      <c r="N421" s="133" t="s">
        <v>2417</v>
      </c>
      <c r="O421" s="133" t="s">
        <v>2417</v>
      </c>
      <c r="P421" s="133" t="s">
        <v>2417</v>
      </c>
      <c r="Q421" s="133" t="s">
        <v>2417</v>
      </c>
      <c r="R421" s="133" t="s">
        <v>2417</v>
      </c>
      <c r="S421" s="133" t="s">
        <v>2417</v>
      </c>
      <c r="T421" s="133" t="s">
        <v>2417</v>
      </c>
      <c r="U421" s="133" t="s">
        <v>2417</v>
      </c>
      <c r="V421" s="133" t="s">
        <v>2417</v>
      </c>
      <c r="W421" s="133" t="s">
        <v>2417</v>
      </c>
      <c r="X421" s="133" t="s">
        <v>2417</v>
      </c>
      <c r="Y421" s="133" t="s">
        <v>2417</v>
      </c>
      <c r="Z421" s="133" t="s">
        <v>2417</v>
      </c>
      <c r="AA421" s="133" t="s">
        <v>2417</v>
      </c>
      <c r="AB421" s="133" t="s">
        <v>2417</v>
      </c>
      <c r="AC421" s="133" t="s">
        <v>2417</v>
      </c>
      <c r="AD421" s="133" t="s">
        <v>2417</v>
      </c>
      <c r="AE421" s="157"/>
    </row>
    <row r="422" spans="1:31" ht="30.6" outlineLevel="2">
      <c r="A422" s="68" t="s">
        <v>1220</v>
      </c>
      <c r="B422" s="62" t="s">
        <v>1221</v>
      </c>
      <c r="C422" s="387" t="s">
        <v>2548</v>
      </c>
      <c r="D422" s="351"/>
      <c r="E422" s="133" t="s">
        <v>2546</v>
      </c>
      <c r="F422" s="133" t="s">
        <v>2417</v>
      </c>
      <c r="G422" s="133" t="s">
        <v>2417</v>
      </c>
      <c r="H422" s="133" t="s">
        <v>2417</v>
      </c>
      <c r="I422" s="134" t="s">
        <v>2418</v>
      </c>
      <c r="J422" s="133" t="s">
        <v>2417</v>
      </c>
      <c r="K422" s="133" t="s">
        <v>2417</v>
      </c>
      <c r="L422" s="133" t="s">
        <v>2417</v>
      </c>
      <c r="M422" s="133" t="s">
        <v>2417</v>
      </c>
      <c r="N422" s="133" t="s">
        <v>2417</v>
      </c>
      <c r="O422" s="133" t="s">
        <v>2417</v>
      </c>
      <c r="P422" s="133" t="s">
        <v>2417</v>
      </c>
      <c r="Q422" s="133" t="s">
        <v>2417</v>
      </c>
      <c r="R422" s="133" t="s">
        <v>2417</v>
      </c>
      <c r="S422" s="133" t="s">
        <v>2417</v>
      </c>
      <c r="T422" s="133" t="s">
        <v>2417</v>
      </c>
      <c r="U422" s="133" t="s">
        <v>2417</v>
      </c>
      <c r="V422" s="133" t="s">
        <v>2417</v>
      </c>
      <c r="W422" s="133" t="s">
        <v>2417</v>
      </c>
      <c r="X422" s="133" t="s">
        <v>2417</v>
      </c>
      <c r="Y422" s="133" t="s">
        <v>2417</v>
      </c>
      <c r="Z422" s="133" t="s">
        <v>2417</v>
      </c>
      <c r="AA422" s="133" t="s">
        <v>2417</v>
      </c>
      <c r="AB422" s="133" t="s">
        <v>2417</v>
      </c>
      <c r="AC422" s="133" t="s">
        <v>2417</v>
      </c>
      <c r="AD422" s="133" t="s">
        <v>2417</v>
      </c>
      <c r="AE422" s="144"/>
    </row>
    <row r="423" spans="1:31" ht="30.6" outlineLevel="2">
      <c r="A423" s="68" t="s">
        <v>1223</v>
      </c>
      <c r="B423" s="62" t="s">
        <v>1224</v>
      </c>
      <c r="C423" s="387" t="s">
        <v>2549</v>
      </c>
      <c r="D423" s="351"/>
      <c r="E423" s="133" t="s">
        <v>2546</v>
      </c>
      <c r="F423" s="133" t="s">
        <v>2417</v>
      </c>
      <c r="G423" s="133" t="s">
        <v>2417</v>
      </c>
      <c r="H423" s="133" t="s">
        <v>2417</v>
      </c>
      <c r="I423" s="134" t="s">
        <v>2418</v>
      </c>
      <c r="J423" s="133" t="s">
        <v>2417</v>
      </c>
      <c r="K423" s="133" t="s">
        <v>2417</v>
      </c>
      <c r="L423" s="133" t="s">
        <v>2417</v>
      </c>
      <c r="M423" s="133" t="s">
        <v>2417</v>
      </c>
      <c r="N423" s="133" t="s">
        <v>2417</v>
      </c>
      <c r="O423" s="133" t="s">
        <v>2417</v>
      </c>
      <c r="P423" s="133" t="s">
        <v>2417</v>
      </c>
      <c r="Q423" s="133" t="s">
        <v>2417</v>
      </c>
      <c r="R423" s="133" t="s">
        <v>2417</v>
      </c>
      <c r="S423" s="133" t="s">
        <v>2417</v>
      </c>
      <c r="T423" s="133" t="s">
        <v>2417</v>
      </c>
      <c r="U423" s="133" t="s">
        <v>2417</v>
      </c>
      <c r="V423" s="133" t="s">
        <v>2417</v>
      </c>
      <c r="W423" s="133" t="s">
        <v>2417</v>
      </c>
      <c r="X423" s="133" t="s">
        <v>2417</v>
      </c>
      <c r="Y423" s="133" t="s">
        <v>2417</v>
      </c>
      <c r="Z423" s="133" t="s">
        <v>2417</v>
      </c>
      <c r="AA423" s="133" t="s">
        <v>2417</v>
      </c>
      <c r="AB423" s="133" t="s">
        <v>2417</v>
      </c>
      <c r="AC423" s="133" t="s">
        <v>2417</v>
      </c>
      <c r="AD423" s="133" t="s">
        <v>2417</v>
      </c>
      <c r="AE423" s="144"/>
    </row>
    <row r="424" spans="1:31" ht="30.6" outlineLevel="2">
      <c r="A424" s="68" t="s">
        <v>1226</v>
      </c>
      <c r="B424" s="62" t="s">
        <v>1227</v>
      </c>
      <c r="C424" s="387" t="s">
        <v>2550</v>
      </c>
      <c r="D424" s="351"/>
      <c r="E424" s="133" t="s">
        <v>2546</v>
      </c>
      <c r="F424" s="133" t="s">
        <v>2417</v>
      </c>
      <c r="G424" s="133" t="s">
        <v>2417</v>
      </c>
      <c r="H424" s="133" t="s">
        <v>2417</v>
      </c>
      <c r="I424" s="134" t="s">
        <v>2418</v>
      </c>
      <c r="J424" s="133" t="s">
        <v>2417</v>
      </c>
      <c r="K424" s="133" t="s">
        <v>2417</v>
      </c>
      <c r="L424" s="133" t="s">
        <v>2417</v>
      </c>
      <c r="M424" s="133" t="s">
        <v>2417</v>
      </c>
      <c r="N424" s="133" t="s">
        <v>2417</v>
      </c>
      <c r="O424" s="133" t="s">
        <v>2417</v>
      </c>
      <c r="P424" s="133" t="s">
        <v>2417</v>
      </c>
      <c r="Q424" s="133" t="s">
        <v>2417</v>
      </c>
      <c r="R424" s="133" t="s">
        <v>2417</v>
      </c>
      <c r="S424" s="133" t="s">
        <v>2417</v>
      </c>
      <c r="T424" s="133" t="s">
        <v>2417</v>
      </c>
      <c r="U424" s="133" t="s">
        <v>2417</v>
      </c>
      <c r="V424" s="133" t="s">
        <v>2417</v>
      </c>
      <c r="W424" s="133" t="s">
        <v>2417</v>
      </c>
      <c r="X424" s="133" t="s">
        <v>2417</v>
      </c>
      <c r="Y424" s="133" t="s">
        <v>2417</v>
      </c>
      <c r="Z424" s="133" t="s">
        <v>2417</v>
      </c>
      <c r="AA424" s="133" t="s">
        <v>2417</v>
      </c>
      <c r="AB424" s="133" t="s">
        <v>2417</v>
      </c>
      <c r="AC424" s="133" t="s">
        <v>2417</v>
      </c>
      <c r="AD424" s="133" t="s">
        <v>2417</v>
      </c>
      <c r="AE424" s="144"/>
    </row>
    <row r="425" spans="1:31" ht="30.6" outlineLevel="2">
      <c r="A425" s="68" t="s">
        <v>1229</v>
      </c>
      <c r="B425" s="62" t="s">
        <v>1230</v>
      </c>
      <c r="C425" s="387" t="s">
        <v>2551</v>
      </c>
      <c r="D425" s="351"/>
      <c r="E425" s="133" t="s">
        <v>2546</v>
      </c>
      <c r="F425" s="133" t="s">
        <v>2417</v>
      </c>
      <c r="G425" s="133" t="s">
        <v>2417</v>
      </c>
      <c r="H425" s="133" t="s">
        <v>2417</v>
      </c>
      <c r="I425" s="134" t="s">
        <v>2418</v>
      </c>
      <c r="J425" s="133" t="s">
        <v>2417</v>
      </c>
      <c r="K425" s="133" t="s">
        <v>2417</v>
      </c>
      <c r="L425" s="133" t="s">
        <v>2417</v>
      </c>
      <c r="M425" s="133" t="s">
        <v>2417</v>
      </c>
      <c r="N425" s="133" t="s">
        <v>2417</v>
      </c>
      <c r="O425" s="133" t="s">
        <v>2417</v>
      </c>
      <c r="P425" s="133" t="s">
        <v>2417</v>
      </c>
      <c r="Q425" s="133" t="s">
        <v>2417</v>
      </c>
      <c r="R425" s="133" t="s">
        <v>2417</v>
      </c>
      <c r="S425" s="133" t="s">
        <v>2417</v>
      </c>
      <c r="T425" s="133" t="s">
        <v>2417</v>
      </c>
      <c r="U425" s="133" t="s">
        <v>2417</v>
      </c>
      <c r="V425" s="133" t="s">
        <v>2417</v>
      </c>
      <c r="W425" s="133" t="s">
        <v>2417</v>
      </c>
      <c r="X425" s="133" t="s">
        <v>2417</v>
      </c>
      <c r="Y425" s="133" t="s">
        <v>2417</v>
      </c>
      <c r="Z425" s="133" t="s">
        <v>2417</v>
      </c>
      <c r="AA425" s="133" t="s">
        <v>2417</v>
      </c>
      <c r="AB425" s="133" t="s">
        <v>2417</v>
      </c>
      <c r="AC425" s="133" t="s">
        <v>2417</v>
      </c>
      <c r="AD425" s="133" t="s">
        <v>2417</v>
      </c>
      <c r="AE425" s="144"/>
    </row>
    <row r="426" spans="1:31" ht="40.799999999999997" outlineLevel="2">
      <c r="A426" s="68" t="s">
        <v>1232</v>
      </c>
      <c r="B426" s="64" t="s">
        <v>1233</v>
      </c>
      <c r="C426" s="388" t="s">
        <v>2552</v>
      </c>
      <c r="D426" s="351"/>
      <c r="E426" s="133" t="s">
        <v>2546</v>
      </c>
      <c r="F426" s="133" t="s">
        <v>2417</v>
      </c>
      <c r="G426" s="133" t="s">
        <v>2417</v>
      </c>
      <c r="H426" s="133" t="s">
        <v>2417</v>
      </c>
      <c r="I426" s="134" t="s">
        <v>2418</v>
      </c>
      <c r="J426" s="133" t="s">
        <v>2417</v>
      </c>
      <c r="K426" s="133" t="s">
        <v>2417</v>
      </c>
      <c r="L426" s="133" t="s">
        <v>2417</v>
      </c>
      <c r="M426" s="133" t="s">
        <v>2417</v>
      </c>
      <c r="N426" s="133" t="s">
        <v>2417</v>
      </c>
      <c r="O426" s="133" t="s">
        <v>2417</v>
      </c>
      <c r="P426" s="133" t="s">
        <v>2417</v>
      </c>
      <c r="Q426" s="133" t="s">
        <v>2417</v>
      </c>
      <c r="R426" s="133" t="s">
        <v>2417</v>
      </c>
      <c r="S426" s="133" t="s">
        <v>2417</v>
      </c>
      <c r="T426" s="133" t="s">
        <v>2417</v>
      </c>
      <c r="U426" s="133" t="s">
        <v>2417</v>
      </c>
      <c r="V426" s="133" t="s">
        <v>2417</v>
      </c>
      <c r="W426" s="133" t="s">
        <v>2417</v>
      </c>
      <c r="X426" s="133" t="s">
        <v>2417</v>
      </c>
      <c r="Y426" s="133" t="s">
        <v>2417</v>
      </c>
      <c r="Z426" s="133" t="s">
        <v>2417</v>
      </c>
      <c r="AA426" s="133" t="s">
        <v>2417</v>
      </c>
      <c r="AB426" s="133" t="s">
        <v>2417</v>
      </c>
      <c r="AC426" s="133" t="s">
        <v>2417</v>
      </c>
      <c r="AD426" s="133" t="s">
        <v>2417</v>
      </c>
      <c r="AE426" s="158"/>
    </row>
    <row r="427" spans="1:31" ht="30.6" outlineLevel="2">
      <c r="A427" s="68" t="s">
        <v>1235</v>
      </c>
      <c r="B427" s="64" t="s">
        <v>1236</v>
      </c>
      <c r="C427" s="387" t="s">
        <v>2553</v>
      </c>
      <c r="D427" s="351"/>
      <c r="E427" s="133" t="s">
        <v>2546</v>
      </c>
      <c r="F427" s="133" t="s">
        <v>2417</v>
      </c>
      <c r="G427" s="133" t="s">
        <v>2417</v>
      </c>
      <c r="H427" s="133" t="s">
        <v>2417</v>
      </c>
      <c r="I427" s="134" t="s">
        <v>2418</v>
      </c>
      <c r="J427" s="133" t="s">
        <v>2417</v>
      </c>
      <c r="K427" s="133" t="s">
        <v>2417</v>
      </c>
      <c r="L427" s="133" t="s">
        <v>2417</v>
      </c>
      <c r="M427" s="133" t="s">
        <v>2417</v>
      </c>
      <c r="N427" s="133" t="s">
        <v>2417</v>
      </c>
      <c r="O427" s="133" t="s">
        <v>2417</v>
      </c>
      <c r="P427" s="133" t="s">
        <v>2417</v>
      </c>
      <c r="Q427" s="133" t="s">
        <v>2417</v>
      </c>
      <c r="R427" s="133" t="s">
        <v>2417</v>
      </c>
      <c r="S427" s="133" t="s">
        <v>2417</v>
      </c>
      <c r="T427" s="133" t="s">
        <v>2417</v>
      </c>
      <c r="U427" s="133" t="s">
        <v>2417</v>
      </c>
      <c r="V427" s="133" t="s">
        <v>2417</v>
      </c>
      <c r="W427" s="133" t="s">
        <v>2417</v>
      </c>
      <c r="X427" s="133" t="s">
        <v>2417</v>
      </c>
      <c r="Y427" s="133" t="s">
        <v>2417</v>
      </c>
      <c r="Z427" s="133" t="s">
        <v>2417</v>
      </c>
      <c r="AA427" s="133" t="s">
        <v>2417</v>
      </c>
      <c r="AB427" s="133" t="s">
        <v>2417</v>
      </c>
      <c r="AC427" s="133" t="s">
        <v>2417</v>
      </c>
      <c r="AD427" s="133" t="s">
        <v>2417</v>
      </c>
      <c r="AE427" s="144"/>
    </row>
    <row r="428" spans="1:31" ht="30.6" outlineLevel="2">
      <c r="A428" s="68" t="s">
        <v>1238</v>
      </c>
      <c r="B428" s="64" t="s">
        <v>1239</v>
      </c>
      <c r="C428" s="388" t="s">
        <v>2554</v>
      </c>
      <c r="D428" s="351"/>
      <c r="E428" s="133" t="s">
        <v>2546</v>
      </c>
      <c r="F428" s="133" t="s">
        <v>2417</v>
      </c>
      <c r="G428" s="133" t="s">
        <v>2417</v>
      </c>
      <c r="H428" s="133" t="s">
        <v>2417</v>
      </c>
      <c r="I428" s="134" t="s">
        <v>2418</v>
      </c>
      <c r="J428" s="133" t="s">
        <v>2417</v>
      </c>
      <c r="K428" s="133" t="s">
        <v>2417</v>
      </c>
      <c r="L428" s="133" t="s">
        <v>2417</v>
      </c>
      <c r="M428" s="133" t="s">
        <v>2417</v>
      </c>
      <c r="N428" s="133" t="s">
        <v>2417</v>
      </c>
      <c r="O428" s="133" t="s">
        <v>2417</v>
      </c>
      <c r="P428" s="133" t="s">
        <v>2417</v>
      </c>
      <c r="Q428" s="133" t="s">
        <v>2417</v>
      </c>
      <c r="R428" s="133" t="s">
        <v>2417</v>
      </c>
      <c r="S428" s="133" t="s">
        <v>2417</v>
      </c>
      <c r="T428" s="133" t="s">
        <v>2417</v>
      </c>
      <c r="U428" s="133" t="s">
        <v>2417</v>
      </c>
      <c r="V428" s="133" t="s">
        <v>2417</v>
      </c>
      <c r="W428" s="133" t="s">
        <v>2417</v>
      </c>
      <c r="X428" s="133" t="s">
        <v>2417</v>
      </c>
      <c r="Y428" s="133" t="s">
        <v>2417</v>
      </c>
      <c r="Z428" s="133" t="s">
        <v>2417</v>
      </c>
      <c r="AA428" s="133" t="s">
        <v>2417</v>
      </c>
      <c r="AB428" s="133" t="s">
        <v>2417</v>
      </c>
      <c r="AC428" s="133" t="s">
        <v>2417</v>
      </c>
      <c r="AD428" s="133" t="s">
        <v>2417</v>
      </c>
      <c r="AE428" s="158"/>
    </row>
    <row r="429" spans="1:31" ht="30.6" outlineLevel="2">
      <c r="A429" s="68" t="s">
        <v>1241</v>
      </c>
      <c r="B429" s="64" t="s">
        <v>1286</v>
      </c>
      <c r="C429" s="387" t="s">
        <v>2555</v>
      </c>
      <c r="D429" s="351"/>
      <c r="E429" s="133" t="s">
        <v>2546</v>
      </c>
      <c r="F429" s="133" t="s">
        <v>2417</v>
      </c>
      <c r="G429" s="133" t="s">
        <v>2417</v>
      </c>
      <c r="H429" s="133" t="s">
        <v>2417</v>
      </c>
      <c r="I429" s="134" t="s">
        <v>2418</v>
      </c>
      <c r="J429" s="133" t="s">
        <v>2417</v>
      </c>
      <c r="K429" s="133" t="s">
        <v>2417</v>
      </c>
      <c r="L429" s="133" t="s">
        <v>2417</v>
      </c>
      <c r="M429" s="133" t="s">
        <v>2417</v>
      </c>
      <c r="N429" s="133" t="s">
        <v>2417</v>
      </c>
      <c r="O429" s="133" t="s">
        <v>2417</v>
      </c>
      <c r="P429" s="133" t="s">
        <v>2417</v>
      </c>
      <c r="Q429" s="133" t="s">
        <v>2417</v>
      </c>
      <c r="R429" s="133" t="s">
        <v>2417</v>
      </c>
      <c r="S429" s="133" t="s">
        <v>2417</v>
      </c>
      <c r="T429" s="133" t="s">
        <v>2417</v>
      </c>
      <c r="U429" s="133" t="s">
        <v>2417</v>
      </c>
      <c r="V429" s="133" t="s">
        <v>2417</v>
      </c>
      <c r="W429" s="133" t="s">
        <v>2417</v>
      </c>
      <c r="X429" s="133" t="s">
        <v>2417</v>
      </c>
      <c r="Y429" s="133" t="s">
        <v>2417</v>
      </c>
      <c r="Z429" s="133" t="s">
        <v>2417</v>
      </c>
      <c r="AA429" s="133" t="s">
        <v>2417</v>
      </c>
      <c r="AB429" s="133" t="s">
        <v>2417</v>
      </c>
      <c r="AC429" s="133" t="s">
        <v>2417</v>
      </c>
      <c r="AD429" s="133" t="s">
        <v>2417</v>
      </c>
      <c r="AE429" s="144"/>
    </row>
    <row r="430" spans="1:31" ht="30.6" outlineLevel="2">
      <c r="A430" s="68" t="s">
        <v>1244</v>
      </c>
      <c r="B430" s="62" t="s">
        <v>1251</v>
      </c>
      <c r="C430" s="387" t="s">
        <v>2556</v>
      </c>
      <c r="D430" s="351"/>
      <c r="E430" s="133" t="s">
        <v>2546</v>
      </c>
      <c r="F430" s="133" t="s">
        <v>2417</v>
      </c>
      <c r="G430" s="133" t="s">
        <v>2417</v>
      </c>
      <c r="H430" s="133" t="s">
        <v>2417</v>
      </c>
      <c r="I430" s="134" t="s">
        <v>2418</v>
      </c>
      <c r="J430" s="133" t="s">
        <v>2417</v>
      </c>
      <c r="K430" s="133" t="s">
        <v>2417</v>
      </c>
      <c r="L430" s="133" t="s">
        <v>2417</v>
      </c>
      <c r="M430" s="133" t="s">
        <v>2417</v>
      </c>
      <c r="N430" s="133" t="s">
        <v>2417</v>
      </c>
      <c r="O430" s="133" t="s">
        <v>2417</v>
      </c>
      <c r="P430" s="133" t="s">
        <v>2417</v>
      </c>
      <c r="Q430" s="133" t="s">
        <v>2417</v>
      </c>
      <c r="R430" s="133" t="s">
        <v>2417</v>
      </c>
      <c r="S430" s="133" t="s">
        <v>2417</v>
      </c>
      <c r="T430" s="133" t="s">
        <v>2417</v>
      </c>
      <c r="U430" s="133" t="s">
        <v>2417</v>
      </c>
      <c r="V430" s="133" t="s">
        <v>2417</v>
      </c>
      <c r="W430" s="133" t="s">
        <v>2417</v>
      </c>
      <c r="X430" s="133" t="s">
        <v>2417</v>
      </c>
      <c r="Y430" s="133" t="s">
        <v>2417</v>
      </c>
      <c r="Z430" s="133" t="s">
        <v>2417</v>
      </c>
      <c r="AA430" s="133" t="s">
        <v>2417</v>
      </c>
      <c r="AB430" s="133" t="s">
        <v>2417</v>
      </c>
      <c r="AC430" s="133" t="s">
        <v>2417</v>
      </c>
      <c r="AD430" s="133" t="s">
        <v>2417</v>
      </c>
      <c r="AE430" s="144"/>
    </row>
    <row r="431" spans="1:31" ht="30.6" outlineLevel="2">
      <c r="A431" s="68" t="s">
        <v>1247</v>
      </c>
      <c r="B431" s="62" t="s">
        <v>1256</v>
      </c>
      <c r="C431" s="387" t="s">
        <v>2557</v>
      </c>
      <c r="D431" s="351"/>
      <c r="E431" s="133" t="s">
        <v>2546</v>
      </c>
      <c r="F431" s="133" t="s">
        <v>2417</v>
      </c>
      <c r="G431" s="133" t="s">
        <v>2417</v>
      </c>
      <c r="H431" s="133" t="s">
        <v>2417</v>
      </c>
      <c r="I431" s="134" t="s">
        <v>2418</v>
      </c>
      <c r="J431" s="133" t="s">
        <v>2417</v>
      </c>
      <c r="K431" s="133" t="s">
        <v>2417</v>
      </c>
      <c r="L431" s="133" t="s">
        <v>2417</v>
      </c>
      <c r="M431" s="133" t="s">
        <v>2417</v>
      </c>
      <c r="N431" s="133" t="s">
        <v>2417</v>
      </c>
      <c r="O431" s="133" t="s">
        <v>2417</v>
      </c>
      <c r="P431" s="133" t="s">
        <v>2417</v>
      </c>
      <c r="Q431" s="133" t="s">
        <v>2417</v>
      </c>
      <c r="R431" s="133" t="s">
        <v>2417</v>
      </c>
      <c r="S431" s="133" t="s">
        <v>2417</v>
      </c>
      <c r="T431" s="133" t="s">
        <v>2417</v>
      </c>
      <c r="U431" s="133" t="s">
        <v>2417</v>
      </c>
      <c r="V431" s="133" t="s">
        <v>2417</v>
      </c>
      <c r="W431" s="133" t="s">
        <v>2417</v>
      </c>
      <c r="X431" s="133" t="s">
        <v>2417</v>
      </c>
      <c r="Y431" s="133" t="s">
        <v>2417</v>
      </c>
      <c r="Z431" s="133" t="s">
        <v>2417</v>
      </c>
      <c r="AA431" s="133" t="s">
        <v>2417</v>
      </c>
      <c r="AB431" s="133" t="s">
        <v>2417</v>
      </c>
      <c r="AC431" s="133" t="s">
        <v>2417</v>
      </c>
      <c r="AD431" s="133" t="s">
        <v>2417</v>
      </c>
      <c r="AE431" s="144"/>
    </row>
    <row r="432" spans="1:31" ht="40.799999999999997" outlineLevel="2">
      <c r="A432" s="68" t="s">
        <v>1250</v>
      </c>
      <c r="B432" s="62" t="s">
        <v>1259</v>
      </c>
      <c r="C432" s="387" t="s">
        <v>2558</v>
      </c>
      <c r="D432" s="351"/>
      <c r="E432" s="133" t="s">
        <v>2546</v>
      </c>
      <c r="F432" s="133" t="s">
        <v>2417</v>
      </c>
      <c r="G432" s="133" t="s">
        <v>2417</v>
      </c>
      <c r="H432" s="133" t="s">
        <v>2417</v>
      </c>
      <c r="I432" s="134" t="s">
        <v>2418</v>
      </c>
      <c r="J432" s="133" t="s">
        <v>2417</v>
      </c>
      <c r="K432" s="133" t="s">
        <v>2417</v>
      </c>
      <c r="L432" s="133" t="s">
        <v>2417</v>
      </c>
      <c r="M432" s="133" t="s">
        <v>2417</v>
      </c>
      <c r="N432" s="133" t="s">
        <v>2417</v>
      </c>
      <c r="O432" s="133" t="s">
        <v>2417</v>
      </c>
      <c r="P432" s="133" t="s">
        <v>2417</v>
      </c>
      <c r="Q432" s="133" t="s">
        <v>2417</v>
      </c>
      <c r="R432" s="133" t="s">
        <v>2417</v>
      </c>
      <c r="S432" s="133" t="s">
        <v>2417</v>
      </c>
      <c r="T432" s="133" t="s">
        <v>2417</v>
      </c>
      <c r="U432" s="133" t="s">
        <v>2417</v>
      </c>
      <c r="V432" s="133" t="s">
        <v>2417</v>
      </c>
      <c r="W432" s="133" t="s">
        <v>2417</v>
      </c>
      <c r="X432" s="133" t="s">
        <v>2417</v>
      </c>
      <c r="Y432" s="133" t="s">
        <v>2417</v>
      </c>
      <c r="Z432" s="133" t="s">
        <v>2417</v>
      </c>
      <c r="AA432" s="133" t="s">
        <v>2417</v>
      </c>
      <c r="AB432" s="133" t="s">
        <v>2417</v>
      </c>
      <c r="AC432" s="133" t="s">
        <v>2417</v>
      </c>
      <c r="AD432" s="133" t="s">
        <v>2417</v>
      </c>
      <c r="AE432" s="144"/>
    </row>
    <row r="433" spans="1:31" ht="40.799999999999997" outlineLevel="2">
      <c r="A433" s="68" t="s">
        <v>1253</v>
      </c>
      <c r="B433" s="62" t="s">
        <v>1262</v>
      </c>
      <c r="C433" s="387" t="s">
        <v>2559</v>
      </c>
      <c r="D433" s="351"/>
      <c r="E433" s="133" t="s">
        <v>2546</v>
      </c>
      <c r="F433" s="133" t="s">
        <v>2417</v>
      </c>
      <c r="G433" s="133" t="s">
        <v>2417</v>
      </c>
      <c r="H433" s="133" t="s">
        <v>2417</v>
      </c>
      <c r="I433" s="134" t="s">
        <v>2418</v>
      </c>
      <c r="J433" s="133" t="s">
        <v>2417</v>
      </c>
      <c r="K433" s="133" t="s">
        <v>2417</v>
      </c>
      <c r="L433" s="133" t="s">
        <v>2417</v>
      </c>
      <c r="M433" s="133" t="s">
        <v>2417</v>
      </c>
      <c r="N433" s="133" t="s">
        <v>2417</v>
      </c>
      <c r="O433" s="133" t="s">
        <v>2417</v>
      </c>
      <c r="P433" s="133" t="s">
        <v>2417</v>
      </c>
      <c r="Q433" s="133" t="s">
        <v>2417</v>
      </c>
      <c r="R433" s="133" t="s">
        <v>2417</v>
      </c>
      <c r="S433" s="133" t="s">
        <v>2417</v>
      </c>
      <c r="T433" s="133" t="s">
        <v>2417</v>
      </c>
      <c r="U433" s="133" t="s">
        <v>2417</v>
      </c>
      <c r="V433" s="133" t="s">
        <v>2417</v>
      </c>
      <c r="W433" s="133" t="s">
        <v>2417</v>
      </c>
      <c r="X433" s="133" t="s">
        <v>2417</v>
      </c>
      <c r="Y433" s="133" t="s">
        <v>2417</v>
      </c>
      <c r="Z433" s="133" t="s">
        <v>2417</v>
      </c>
      <c r="AA433" s="133" t="s">
        <v>2417</v>
      </c>
      <c r="AB433" s="133" t="s">
        <v>2417</v>
      </c>
      <c r="AC433" s="133" t="s">
        <v>2417</v>
      </c>
      <c r="AD433" s="133" t="s">
        <v>2417</v>
      </c>
      <c r="AE433" s="144"/>
    </row>
    <row r="434" spans="1:31" ht="40.799999999999997" outlineLevel="2">
      <c r="A434" s="68" t="s">
        <v>1255</v>
      </c>
      <c r="B434" s="64" t="s">
        <v>1265</v>
      </c>
      <c r="C434" s="388" t="s">
        <v>2560</v>
      </c>
      <c r="D434" s="351"/>
      <c r="E434" s="133" t="s">
        <v>2546</v>
      </c>
      <c r="F434" s="133" t="s">
        <v>2417</v>
      </c>
      <c r="G434" s="133" t="s">
        <v>2417</v>
      </c>
      <c r="H434" s="133" t="s">
        <v>2417</v>
      </c>
      <c r="I434" s="134" t="s">
        <v>2418</v>
      </c>
      <c r="J434" s="133" t="s">
        <v>2417</v>
      </c>
      <c r="K434" s="133" t="s">
        <v>2417</v>
      </c>
      <c r="L434" s="133" t="s">
        <v>2417</v>
      </c>
      <c r="M434" s="133" t="s">
        <v>2417</v>
      </c>
      <c r="N434" s="133" t="s">
        <v>2417</v>
      </c>
      <c r="O434" s="133" t="s">
        <v>2417</v>
      </c>
      <c r="P434" s="133" t="s">
        <v>2417</v>
      </c>
      <c r="Q434" s="133" t="s">
        <v>2417</v>
      </c>
      <c r="R434" s="133" t="s">
        <v>2417</v>
      </c>
      <c r="S434" s="133" t="s">
        <v>2417</v>
      </c>
      <c r="T434" s="133" t="s">
        <v>2417</v>
      </c>
      <c r="U434" s="133" t="s">
        <v>2417</v>
      </c>
      <c r="V434" s="133" t="s">
        <v>2417</v>
      </c>
      <c r="W434" s="133" t="s">
        <v>2417</v>
      </c>
      <c r="X434" s="133" t="s">
        <v>2417</v>
      </c>
      <c r="Y434" s="133" t="s">
        <v>2417</v>
      </c>
      <c r="Z434" s="133" t="s">
        <v>2417</v>
      </c>
      <c r="AA434" s="133" t="s">
        <v>2417</v>
      </c>
      <c r="AB434" s="133" t="s">
        <v>2417</v>
      </c>
      <c r="AC434" s="133" t="s">
        <v>2417</v>
      </c>
      <c r="AD434" s="133" t="s">
        <v>2417</v>
      </c>
      <c r="AE434" s="158"/>
    </row>
    <row r="435" spans="1:31" ht="30.6" outlineLevel="2">
      <c r="A435" s="68" t="s">
        <v>1258</v>
      </c>
      <c r="B435" s="64" t="s">
        <v>1268</v>
      </c>
      <c r="C435" s="388" t="s">
        <v>2561</v>
      </c>
      <c r="D435" s="351"/>
      <c r="E435" s="133" t="s">
        <v>2546</v>
      </c>
      <c r="F435" s="133" t="s">
        <v>2417</v>
      </c>
      <c r="G435" s="133" t="s">
        <v>2417</v>
      </c>
      <c r="H435" s="133" t="s">
        <v>2417</v>
      </c>
      <c r="I435" s="134" t="s">
        <v>2418</v>
      </c>
      <c r="J435" s="133" t="s">
        <v>2417</v>
      </c>
      <c r="K435" s="133" t="s">
        <v>2417</v>
      </c>
      <c r="L435" s="133" t="s">
        <v>2417</v>
      </c>
      <c r="M435" s="133" t="s">
        <v>2417</v>
      </c>
      <c r="N435" s="133" t="s">
        <v>2417</v>
      </c>
      <c r="O435" s="133" t="s">
        <v>2417</v>
      </c>
      <c r="P435" s="133" t="s">
        <v>2417</v>
      </c>
      <c r="Q435" s="133" t="s">
        <v>2417</v>
      </c>
      <c r="R435" s="133" t="s">
        <v>2417</v>
      </c>
      <c r="S435" s="133" t="s">
        <v>2417</v>
      </c>
      <c r="T435" s="133" t="s">
        <v>2417</v>
      </c>
      <c r="U435" s="133" t="s">
        <v>2417</v>
      </c>
      <c r="V435" s="133" t="s">
        <v>2417</v>
      </c>
      <c r="W435" s="133" t="s">
        <v>2417</v>
      </c>
      <c r="X435" s="133" t="s">
        <v>2417</v>
      </c>
      <c r="Y435" s="133" t="s">
        <v>2417</v>
      </c>
      <c r="Z435" s="133" t="s">
        <v>2417</v>
      </c>
      <c r="AA435" s="133" t="s">
        <v>2417</v>
      </c>
      <c r="AB435" s="133" t="s">
        <v>2417</v>
      </c>
      <c r="AC435" s="133" t="s">
        <v>2417</v>
      </c>
      <c r="AD435" s="133" t="s">
        <v>2417</v>
      </c>
      <c r="AE435" s="158"/>
    </row>
    <row r="436" spans="1:31" ht="40.799999999999997" outlineLevel="2">
      <c r="A436" s="68" t="s">
        <v>1261</v>
      </c>
      <c r="B436" s="62" t="s">
        <v>1294</v>
      </c>
      <c r="C436" s="387" t="s">
        <v>2562</v>
      </c>
      <c r="D436" s="351"/>
      <c r="E436" s="133" t="s">
        <v>2546</v>
      </c>
      <c r="F436" s="133" t="s">
        <v>2417</v>
      </c>
      <c r="G436" s="133" t="s">
        <v>2417</v>
      </c>
      <c r="H436" s="133" t="s">
        <v>2417</v>
      </c>
      <c r="I436" s="134" t="s">
        <v>2418</v>
      </c>
      <c r="J436" s="133" t="s">
        <v>2417</v>
      </c>
      <c r="K436" s="133" t="s">
        <v>2417</v>
      </c>
      <c r="L436" s="133" t="s">
        <v>2417</v>
      </c>
      <c r="M436" s="133" t="s">
        <v>2417</v>
      </c>
      <c r="N436" s="133" t="s">
        <v>2417</v>
      </c>
      <c r="O436" s="133" t="s">
        <v>2417</v>
      </c>
      <c r="P436" s="133" t="s">
        <v>2417</v>
      </c>
      <c r="Q436" s="133" t="s">
        <v>2417</v>
      </c>
      <c r="R436" s="133" t="s">
        <v>2417</v>
      </c>
      <c r="S436" s="133" t="s">
        <v>2417</v>
      </c>
      <c r="T436" s="133" t="s">
        <v>2417</v>
      </c>
      <c r="U436" s="133" t="s">
        <v>2417</v>
      </c>
      <c r="V436" s="133" t="s">
        <v>2417</v>
      </c>
      <c r="W436" s="133" t="s">
        <v>2417</v>
      </c>
      <c r="X436" s="133" t="s">
        <v>2417</v>
      </c>
      <c r="Y436" s="133" t="s">
        <v>2417</v>
      </c>
      <c r="Z436" s="133" t="s">
        <v>2417</v>
      </c>
      <c r="AA436" s="133" t="s">
        <v>2417</v>
      </c>
      <c r="AB436" s="133" t="s">
        <v>2417</v>
      </c>
      <c r="AC436" s="133" t="s">
        <v>2417</v>
      </c>
      <c r="AD436" s="133" t="s">
        <v>2417</v>
      </c>
      <c r="AE436" s="144"/>
    </row>
    <row r="437" spans="1:31" ht="30.6" outlineLevel="2">
      <c r="A437" s="68" t="s">
        <v>1264</v>
      </c>
      <c r="B437" s="64" t="s">
        <v>1296</v>
      </c>
      <c r="C437" s="388" t="s">
        <v>2563</v>
      </c>
      <c r="D437" s="351"/>
      <c r="E437" s="133" t="s">
        <v>2546</v>
      </c>
      <c r="F437" s="133" t="s">
        <v>2417</v>
      </c>
      <c r="G437" s="133" t="s">
        <v>2417</v>
      </c>
      <c r="H437" s="133" t="s">
        <v>2417</v>
      </c>
      <c r="I437" s="134" t="s">
        <v>2418</v>
      </c>
      <c r="J437" s="133" t="s">
        <v>2417</v>
      </c>
      <c r="K437" s="133" t="s">
        <v>2417</v>
      </c>
      <c r="L437" s="133" t="s">
        <v>2417</v>
      </c>
      <c r="M437" s="133" t="s">
        <v>2417</v>
      </c>
      <c r="N437" s="133" t="s">
        <v>2417</v>
      </c>
      <c r="O437" s="133" t="s">
        <v>2417</v>
      </c>
      <c r="P437" s="133" t="s">
        <v>2417</v>
      </c>
      <c r="Q437" s="133" t="s">
        <v>2417</v>
      </c>
      <c r="R437" s="133" t="s">
        <v>2417</v>
      </c>
      <c r="S437" s="133" t="s">
        <v>2417</v>
      </c>
      <c r="T437" s="133" t="s">
        <v>2417</v>
      </c>
      <c r="U437" s="133" t="s">
        <v>2417</v>
      </c>
      <c r="V437" s="133" t="s">
        <v>2417</v>
      </c>
      <c r="W437" s="133" t="s">
        <v>2417</v>
      </c>
      <c r="X437" s="133" t="s">
        <v>2417</v>
      </c>
      <c r="Y437" s="133" t="s">
        <v>2417</v>
      </c>
      <c r="Z437" s="133" t="s">
        <v>2417</v>
      </c>
      <c r="AA437" s="133" t="s">
        <v>2417</v>
      </c>
      <c r="AB437" s="133" t="s">
        <v>2417</v>
      </c>
      <c r="AC437" s="133" t="s">
        <v>2417</v>
      </c>
      <c r="AD437" s="133" t="s">
        <v>2417</v>
      </c>
      <c r="AE437" s="158"/>
    </row>
    <row r="438" spans="1:31" ht="13.2" hidden="1" outlineLevel="1">
      <c r="A438" s="385" t="s">
        <v>2564</v>
      </c>
      <c r="B438" s="350"/>
      <c r="C438" s="350"/>
      <c r="D438" s="351"/>
      <c r="E438" s="133" t="s">
        <v>2565</v>
      </c>
      <c r="F438" s="133" t="s">
        <v>2417</v>
      </c>
      <c r="G438" s="133" t="s">
        <v>2417</v>
      </c>
      <c r="H438" s="133" t="s">
        <v>2417</v>
      </c>
      <c r="I438" s="134" t="s">
        <v>2418</v>
      </c>
      <c r="J438" s="133" t="s">
        <v>2417</v>
      </c>
      <c r="K438" s="133" t="s">
        <v>2417</v>
      </c>
      <c r="L438" s="133" t="s">
        <v>2417</v>
      </c>
      <c r="M438" s="133" t="s">
        <v>2417</v>
      </c>
      <c r="N438" s="133" t="s">
        <v>2417</v>
      </c>
      <c r="O438" s="133" t="s">
        <v>2417</v>
      </c>
      <c r="P438" s="133" t="s">
        <v>2417</v>
      </c>
      <c r="Q438" s="133" t="s">
        <v>2417</v>
      </c>
      <c r="R438" s="133" t="s">
        <v>2417</v>
      </c>
      <c r="S438" s="133" t="s">
        <v>2417</v>
      </c>
      <c r="T438" s="133" t="s">
        <v>2417</v>
      </c>
      <c r="U438" s="133" t="s">
        <v>2417</v>
      </c>
      <c r="V438" s="133" t="s">
        <v>2417</v>
      </c>
      <c r="W438" s="133" t="s">
        <v>2417</v>
      </c>
      <c r="X438" s="133" t="s">
        <v>2417</v>
      </c>
      <c r="Y438" s="133" t="s">
        <v>2417</v>
      </c>
      <c r="Z438" s="133" t="s">
        <v>2417</v>
      </c>
      <c r="AA438" s="133" t="s">
        <v>2417</v>
      </c>
      <c r="AB438" s="133" t="s">
        <v>2417</v>
      </c>
      <c r="AC438" s="133" t="s">
        <v>2417</v>
      </c>
      <c r="AD438" s="133" t="s">
        <v>2417</v>
      </c>
      <c r="AE438" s="143"/>
    </row>
    <row r="439" spans="1:31" ht="13.2" hidden="1" outlineLevel="2">
      <c r="A439" s="68" t="s">
        <v>167</v>
      </c>
      <c r="B439" s="64"/>
      <c r="C439" s="387" t="s">
        <v>1277</v>
      </c>
      <c r="D439" s="351"/>
      <c r="E439" s="133" t="s">
        <v>2565</v>
      </c>
      <c r="F439" s="133" t="s">
        <v>2417</v>
      </c>
      <c r="G439" s="133" t="s">
        <v>2417</v>
      </c>
      <c r="H439" s="133" t="s">
        <v>2417</v>
      </c>
      <c r="I439" s="134" t="s">
        <v>2418</v>
      </c>
      <c r="J439" s="133" t="s">
        <v>2417</v>
      </c>
      <c r="K439" s="133" t="s">
        <v>2417</v>
      </c>
      <c r="L439" s="133" t="s">
        <v>2417</v>
      </c>
      <c r="M439" s="133" t="s">
        <v>2417</v>
      </c>
      <c r="N439" s="133" t="s">
        <v>2417</v>
      </c>
      <c r="O439" s="133" t="s">
        <v>2417</v>
      </c>
      <c r="P439" s="133" t="s">
        <v>2417</v>
      </c>
      <c r="Q439" s="133" t="s">
        <v>2417</v>
      </c>
      <c r="R439" s="133" t="s">
        <v>2417</v>
      </c>
      <c r="S439" s="133" t="s">
        <v>2417</v>
      </c>
      <c r="T439" s="133" t="s">
        <v>2417</v>
      </c>
      <c r="U439" s="133" t="s">
        <v>2417</v>
      </c>
      <c r="V439" s="133" t="s">
        <v>2417</v>
      </c>
      <c r="W439" s="133" t="s">
        <v>2417</v>
      </c>
      <c r="X439" s="133" t="s">
        <v>2417</v>
      </c>
      <c r="Y439" s="133" t="s">
        <v>2417</v>
      </c>
      <c r="Z439" s="133" t="s">
        <v>2417</v>
      </c>
      <c r="AA439" s="133" t="s">
        <v>2417</v>
      </c>
      <c r="AB439" s="133" t="s">
        <v>2417</v>
      </c>
      <c r="AC439" s="133" t="s">
        <v>2417</v>
      </c>
      <c r="AD439" s="133" t="s">
        <v>2417</v>
      </c>
      <c r="AE439" s="144"/>
    </row>
    <row r="440" spans="1:31" ht="30.6" hidden="1" outlineLevel="2">
      <c r="A440" s="68" t="s">
        <v>1217</v>
      </c>
      <c r="B440" s="64" t="s">
        <v>2566</v>
      </c>
      <c r="C440" s="388" t="s">
        <v>2567</v>
      </c>
      <c r="D440" s="351"/>
      <c r="E440" s="133" t="s">
        <v>2565</v>
      </c>
      <c r="F440" s="133" t="s">
        <v>2417</v>
      </c>
      <c r="G440" s="133" t="s">
        <v>2417</v>
      </c>
      <c r="H440" s="133" t="s">
        <v>2417</v>
      </c>
      <c r="I440" s="134" t="s">
        <v>2418</v>
      </c>
      <c r="J440" s="133" t="s">
        <v>2417</v>
      </c>
      <c r="K440" s="133" t="s">
        <v>2417</v>
      </c>
      <c r="L440" s="133" t="s">
        <v>2417</v>
      </c>
      <c r="M440" s="133" t="s">
        <v>2417</v>
      </c>
      <c r="N440" s="133" t="s">
        <v>2417</v>
      </c>
      <c r="O440" s="133" t="s">
        <v>2417</v>
      </c>
      <c r="P440" s="133" t="s">
        <v>2417</v>
      </c>
      <c r="Q440" s="133" t="s">
        <v>2417</v>
      </c>
      <c r="R440" s="133" t="s">
        <v>2417</v>
      </c>
      <c r="S440" s="133" t="s">
        <v>2417</v>
      </c>
      <c r="T440" s="133" t="s">
        <v>2417</v>
      </c>
      <c r="U440" s="133" t="s">
        <v>2417</v>
      </c>
      <c r="V440" s="133" t="s">
        <v>2417</v>
      </c>
      <c r="W440" s="133" t="s">
        <v>2417</v>
      </c>
      <c r="X440" s="133" t="s">
        <v>2417</v>
      </c>
      <c r="Y440" s="133" t="s">
        <v>2417</v>
      </c>
      <c r="Z440" s="133" t="s">
        <v>2417</v>
      </c>
      <c r="AA440" s="133" t="s">
        <v>2417</v>
      </c>
      <c r="AB440" s="133" t="s">
        <v>2417</v>
      </c>
      <c r="AC440" s="133" t="s">
        <v>2417</v>
      </c>
      <c r="AD440" s="133" t="s">
        <v>2417</v>
      </c>
      <c r="AE440" s="158"/>
    </row>
    <row r="441" spans="1:31" ht="30.6" hidden="1" outlineLevel="2">
      <c r="A441" s="68" t="s">
        <v>1220</v>
      </c>
      <c r="B441" s="62" t="s">
        <v>2568</v>
      </c>
      <c r="C441" s="387" t="s">
        <v>2569</v>
      </c>
      <c r="D441" s="351"/>
      <c r="E441" s="133" t="s">
        <v>2565</v>
      </c>
      <c r="F441" s="133" t="s">
        <v>2417</v>
      </c>
      <c r="G441" s="133" t="s">
        <v>2417</v>
      </c>
      <c r="H441" s="133" t="s">
        <v>2417</v>
      </c>
      <c r="I441" s="134" t="s">
        <v>2418</v>
      </c>
      <c r="J441" s="133" t="s">
        <v>2417</v>
      </c>
      <c r="K441" s="133" t="s">
        <v>2417</v>
      </c>
      <c r="L441" s="133" t="s">
        <v>2417</v>
      </c>
      <c r="M441" s="133" t="s">
        <v>2417</v>
      </c>
      <c r="N441" s="133" t="s">
        <v>2417</v>
      </c>
      <c r="O441" s="133" t="s">
        <v>2417</v>
      </c>
      <c r="P441" s="133" t="s">
        <v>2417</v>
      </c>
      <c r="Q441" s="133" t="s">
        <v>2417</v>
      </c>
      <c r="R441" s="133" t="s">
        <v>2417</v>
      </c>
      <c r="S441" s="133" t="s">
        <v>2417</v>
      </c>
      <c r="T441" s="133" t="s">
        <v>2417</v>
      </c>
      <c r="U441" s="133" t="s">
        <v>2417</v>
      </c>
      <c r="V441" s="133" t="s">
        <v>2417</v>
      </c>
      <c r="W441" s="133" t="s">
        <v>2417</v>
      </c>
      <c r="X441" s="133" t="s">
        <v>2417</v>
      </c>
      <c r="Y441" s="133" t="s">
        <v>2417</v>
      </c>
      <c r="Z441" s="133" t="s">
        <v>2417</v>
      </c>
      <c r="AA441" s="133" t="s">
        <v>2417</v>
      </c>
      <c r="AB441" s="133" t="s">
        <v>2417</v>
      </c>
      <c r="AC441" s="133" t="s">
        <v>2417</v>
      </c>
      <c r="AD441" s="133" t="s">
        <v>2417</v>
      </c>
      <c r="AE441" s="144"/>
    </row>
    <row r="442" spans="1:31" ht="30.6" hidden="1" outlineLevel="2">
      <c r="A442" s="68" t="s">
        <v>1223</v>
      </c>
      <c r="B442" s="62" t="s">
        <v>1224</v>
      </c>
      <c r="C442" s="387" t="s">
        <v>2570</v>
      </c>
      <c r="D442" s="351"/>
      <c r="E442" s="133" t="s">
        <v>2565</v>
      </c>
      <c r="F442" s="133" t="s">
        <v>2417</v>
      </c>
      <c r="G442" s="133" t="s">
        <v>2417</v>
      </c>
      <c r="H442" s="133" t="s">
        <v>2417</v>
      </c>
      <c r="I442" s="134" t="s">
        <v>2418</v>
      </c>
      <c r="J442" s="133" t="s">
        <v>2417</v>
      </c>
      <c r="K442" s="133" t="s">
        <v>2417</v>
      </c>
      <c r="L442" s="133" t="s">
        <v>2417</v>
      </c>
      <c r="M442" s="133" t="s">
        <v>2417</v>
      </c>
      <c r="N442" s="133" t="s">
        <v>2417</v>
      </c>
      <c r="O442" s="133" t="s">
        <v>2417</v>
      </c>
      <c r="P442" s="133" t="s">
        <v>2417</v>
      </c>
      <c r="Q442" s="133" t="s">
        <v>2417</v>
      </c>
      <c r="R442" s="133" t="s">
        <v>2417</v>
      </c>
      <c r="S442" s="133" t="s">
        <v>2417</v>
      </c>
      <c r="T442" s="133" t="s">
        <v>2417</v>
      </c>
      <c r="U442" s="133" t="s">
        <v>2417</v>
      </c>
      <c r="V442" s="133" t="s">
        <v>2417</v>
      </c>
      <c r="W442" s="133" t="s">
        <v>2417</v>
      </c>
      <c r="X442" s="133" t="s">
        <v>2417</v>
      </c>
      <c r="Y442" s="133" t="s">
        <v>2417</v>
      </c>
      <c r="Z442" s="133" t="s">
        <v>2417</v>
      </c>
      <c r="AA442" s="133" t="s">
        <v>2417</v>
      </c>
      <c r="AB442" s="133" t="s">
        <v>2417</v>
      </c>
      <c r="AC442" s="133" t="s">
        <v>2417</v>
      </c>
      <c r="AD442" s="133" t="s">
        <v>2417</v>
      </c>
      <c r="AE442" s="144"/>
    </row>
    <row r="443" spans="1:31" ht="30.6" hidden="1" outlineLevel="2">
      <c r="A443" s="68" t="s">
        <v>1226</v>
      </c>
      <c r="B443" s="62" t="s">
        <v>1227</v>
      </c>
      <c r="C443" s="387" t="s">
        <v>2571</v>
      </c>
      <c r="D443" s="351"/>
      <c r="E443" s="133" t="s">
        <v>2565</v>
      </c>
      <c r="F443" s="133" t="s">
        <v>2417</v>
      </c>
      <c r="G443" s="133" t="s">
        <v>2417</v>
      </c>
      <c r="H443" s="133" t="s">
        <v>2417</v>
      </c>
      <c r="I443" s="134" t="s">
        <v>2418</v>
      </c>
      <c r="J443" s="133" t="s">
        <v>2417</v>
      </c>
      <c r="K443" s="133" t="s">
        <v>2417</v>
      </c>
      <c r="L443" s="133" t="s">
        <v>2417</v>
      </c>
      <c r="M443" s="133" t="s">
        <v>2417</v>
      </c>
      <c r="N443" s="133" t="s">
        <v>2417</v>
      </c>
      <c r="O443" s="133" t="s">
        <v>2417</v>
      </c>
      <c r="P443" s="133" t="s">
        <v>2417</v>
      </c>
      <c r="Q443" s="133" t="s">
        <v>2417</v>
      </c>
      <c r="R443" s="133" t="s">
        <v>2417</v>
      </c>
      <c r="S443" s="133" t="s">
        <v>2417</v>
      </c>
      <c r="T443" s="133" t="s">
        <v>2417</v>
      </c>
      <c r="U443" s="133" t="s">
        <v>2417</v>
      </c>
      <c r="V443" s="133" t="s">
        <v>2417</v>
      </c>
      <c r="W443" s="133" t="s">
        <v>2417</v>
      </c>
      <c r="X443" s="133" t="s">
        <v>2417</v>
      </c>
      <c r="Y443" s="133" t="s">
        <v>2417</v>
      </c>
      <c r="Z443" s="133" t="s">
        <v>2417</v>
      </c>
      <c r="AA443" s="133" t="s">
        <v>2417</v>
      </c>
      <c r="AB443" s="133" t="s">
        <v>2417</v>
      </c>
      <c r="AC443" s="133" t="s">
        <v>2417</v>
      </c>
      <c r="AD443" s="133" t="s">
        <v>2417</v>
      </c>
      <c r="AE443" s="144"/>
    </row>
    <row r="444" spans="1:31" ht="30.6" hidden="1" outlineLevel="2">
      <c r="A444" s="68" t="s">
        <v>1229</v>
      </c>
      <c r="B444" s="62" t="s">
        <v>1230</v>
      </c>
      <c r="C444" s="387" t="s">
        <v>2572</v>
      </c>
      <c r="D444" s="351"/>
      <c r="E444" s="133" t="s">
        <v>2565</v>
      </c>
      <c r="F444" s="133" t="s">
        <v>2417</v>
      </c>
      <c r="G444" s="133" t="s">
        <v>2417</v>
      </c>
      <c r="H444" s="133" t="s">
        <v>2417</v>
      </c>
      <c r="I444" s="134" t="s">
        <v>2418</v>
      </c>
      <c r="J444" s="133" t="s">
        <v>2417</v>
      </c>
      <c r="K444" s="133" t="s">
        <v>2417</v>
      </c>
      <c r="L444" s="133" t="s">
        <v>2417</v>
      </c>
      <c r="M444" s="133" t="s">
        <v>2417</v>
      </c>
      <c r="N444" s="133" t="s">
        <v>2417</v>
      </c>
      <c r="O444" s="133" t="s">
        <v>2417</v>
      </c>
      <c r="P444" s="133" t="s">
        <v>2417</v>
      </c>
      <c r="Q444" s="133" t="s">
        <v>2417</v>
      </c>
      <c r="R444" s="133" t="s">
        <v>2417</v>
      </c>
      <c r="S444" s="133" t="s">
        <v>2417</v>
      </c>
      <c r="T444" s="133" t="s">
        <v>2417</v>
      </c>
      <c r="U444" s="133" t="s">
        <v>2417</v>
      </c>
      <c r="V444" s="133" t="s">
        <v>2417</v>
      </c>
      <c r="W444" s="133" t="s">
        <v>2417</v>
      </c>
      <c r="X444" s="133" t="s">
        <v>2417</v>
      </c>
      <c r="Y444" s="133" t="s">
        <v>2417</v>
      </c>
      <c r="Z444" s="133" t="s">
        <v>2417</v>
      </c>
      <c r="AA444" s="133" t="s">
        <v>2417</v>
      </c>
      <c r="AB444" s="133" t="s">
        <v>2417</v>
      </c>
      <c r="AC444" s="133" t="s">
        <v>2417</v>
      </c>
      <c r="AD444" s="133" t="s">
        <v>2417</v>
      </c>
      <c r="AE444" s="144"/>
    </row>
    <row r="445" spans="1:31" ht="40.799999999999997" hidden="1" outlineLevel="2">
      <c r="A445" s="68" t="s">
        <v>1232</v>
      </c>
      <c r="B445" s="64" t="s">
        <v>1233</v>
      </c>
      <c r="C445" s="388" t="s">
        <v>2573</v>
      </c>
      <c r="D445" s="351"/>
      <c r="E445" s="133" t="s">
        <v>2565</v>
      </c>
      <c r="F445" s="133" t="s">
        <v>2417</v>
      </c>
      <c r="G445" s="133" t="s">
        <v>2417</v>
      </c>
      <c r="H445" s="133" t="s">
        <v>2417</v>
      </c>
      <c r="I445" s="134" t="s">
        <v>2418</v>
      </c>
      <c r="J445" s="133" t="s">
        <v>2417</v>
      </c>
      <c r="K445" s="133" t="s">
        <v>2417</v>
      </c>
      <c r="L445" s="133" t="s">
        <v>2417</v>
      </c>
      <c r="M445" s="133" t="s">
        <v>2417</v>
      </c>
      <c r="N445" s="133" t="s">
        <v>2417</v>
      </c>
      <c r="O445" s="133" t="s">
        <v>2417</v>
      </c>
      <c r="P445" s="133" t="s">
        <v>2417</v>
      </c>
      <c r="Q445" s="133" t="s">
        <v>2417</v>
      </c>
      <c r="R445" s="133" t="s">
        <v>2417</v>
      </c>
      <c r="S445" s="133" t="s">
        <v>2417</v>
      </c>
      <c r="T445" s="133" t="s">
        <v>2417</v>
      </c>
      <c r="U445" s="133" t="s">
        <v>2417</v>
      </c>
      <c r="V445" s="133" t="s">
        <v>2417</v>
      </c>
      <c r="W445" s="133" t="s">
        <v>2417</v>
      </c>
      <c r="X445" s="133" t="s">
        <v>2417</v>
      </c>
      <c r="Y445" s="133" t="s">
        <v>2417</v>
      </c>
      <c r="Z445" s="133" t="s">
        <v>2417</v>
      </c>
      <c r="AA445" s="133" t="s">
        <v>2417</v>
      </c>
      <c r="AB445" s="133" t="s">
        <v>2417</v>
      </c>
      <c r="AC445" s="133" t="s">
        <v>2417</v>
      </c>
      <c r="AD445" s="133" t="s">
        <v>2417</v>
      </c>
      <c r="AE445" s="158"/>
    </row>
    <row r="446" spans="1:31" ht="30.6" hidden="1" outlineLevel="2">
      <c r="A446" s="68" t="s">
        <v>1235</v>
      </c>
      <c r="B446" s="64" t="s">
        <v>1236</v>
      </c>
      <c r="C446" s="387" t="s">
        <v>2574</v>
      </c>
      <c r="D446" s="351"/>
      <c r="E446" s="133" t="s">
        <v>2565</v>
      </c>
      <c r="F446" s="133" t="s">
        <v>2417</v>
      </c>
      <c r="G446" s="133" t="s">
        <v>2417</v>
      </c>
      <c r="H446" s="133" t="s">
        <v>2417</v>
      </c>
      <c r="I446" s="134" t="s">
        <v>2418</v>
      </c>
      <c r="J446" s="133" t="s">
        <v>2417</v>
      </c>
      <c r="K446" s="133" t="s">
        <v>2417</v>
      </c>
      <c r="L446" s="133" t="s">
        <v>2417</v>
      </c>
      <c r="M446" s="133" t="s">
        <v>2417</v>
      </c>
      <c r="N446" s="133" t="s">
        <v>2417</v>
      </c>
      <c r="O446" s="133" t="s">
        <v>2417</v>
      </c>
      <c r="P446" s="133" t="s">
        <v>2417</v>
      </c>
      <c r="Q446" s="133" t="s">
        <v>2417</v>
      </c>
      <c r="R446" s="133" t="s">
        <v>2417</v>
      </c>
      <c r="S446" s="133" t="s">
        <v>2417</v>
      </c>
      <c r="T446" s="133" t="s">
        <v>2417</v>
      </c>
      <c r="U446" s="133" t="s">
        <v>2417</v>
      </c>
      <c r="V446" s="133" t="s">
        <v>2417</v>
      </c>
      <c r="W446" s="133" t="s">
        <v>2417</v>
      </c>
      <c r="X446" s="133" t="s">
        <v>2417</v>
      </c>
      <c r="Y446" s="133" t="s">
        <v>2417</v>
      </c>
      <c r="Z446" s="133" t="s">
        <v>2417</v>
      </c>
      <c r="AA446" s="133" t="s">
        <v>2417</v>
      </c>
      <c r="AB446" s="133" t="s">
        <v>2417</v>
      </c>
      <c r="AC446" s="133" t="s">
        <v>2417</v>
      </c>
      <c r="AD446" s="133" t="s">
        <v>2417</v>
      </c>
      <c r="AE446" s="144"/>
    </row>
    <row r="447" spans="1:31" ht="30.6" hidden="1" outlineLevel="2">
      <c r="A447" s="68" t="s">
        <v>1238</v>
      </c>
      <c r="B447" s="64" t="s">
        <v>1239</v>
      </c>
      <c r="C447" s="388" t="s">
        <v>2575</v>
      </c>
      <c r="D447" s="351"/>
      <c r="E447" s="133" t="s">
        <v>2565</v>
      </c>
      <c r="F447" s="133" t="s">
        <v>2417</v>
      </c>
      <c r="G447" s="133" t="s">
        <v>2417</v>
      </c>
      <c r="H447" s="133" t="s">
        <v>2417</v>
      </c>
      <c r="I447" s="134" t="s">
        <v>2418</v>
      </c>
      <c r="J447" s="133" t="s">
        <v>2417</v>
      </c>
      <c r="K447" s="133" t="s">
        <v>2417</v>
      </c>
      <c r="L447" s="133" t="s">
        <v>2417</v>
      </c>
      <c r="M447" s="133" t="s">
        <v>2417</v>
      </c>
      <c r="N447" s="133" t="s">
        <v>2417</v>
      </c>
      <c r="O447" s="133" t="s">
        <v>2417</v>
      </c>
      <c r="P447" s="133" t="s">
        <v>2417</v>
      </c>
      <c r="Q447" s="133" t="s">
        <v>2417</v>
      </c>
      <c r="R447" s="133" t="s">
        <v>2417</v>
      </c>
      <c r="S447" s="133" t="s">
        <v>2417</v>
      </c>
      <c r="T447" s="133" t="s">
        <v>2417</v>
      </c>
      <c r="U447" s="133" t="s">
        <v>2417</v>
      </c>
      <c r="V447" s="133" t="s">
        <v>2417</v>
      </c>
      <c r="W447" s="133" t="s">
        <v>2417</v>
      </c>
      <c r="X447" s="133" t="s">
        <v>2417</v>
      </c>
      <c r="Y447" s="133" t="s">
        <v>2417</v>
      </c>
      <c r="Z447" s="133" t="s">
        <v>2417</v>
      </c>
      <c r="AA447" s="133" t="s">
        <v>2417</v>
      </c>
      <c r="AB447" s="133" t="s">
        <v>2417</v>
      </c>
      <c r="AC447" s="133" t="s">
        <v>2417</v>
      </c>
      <c r="AD447" s="133" t="s">
        <v>2417</v>
      </c>
      <c r="AE447" s="158"/>
    </row>
    <row r="448" spans="1:31" ht="30.6" hidden="1" outlineLevel="2">
      <c r="A448" s="68" t="s">
        <v>1241</v>
      </c>
      <c r="B448" s="64" t="s">
        <v>2576</v>
      </c>
      <c r="C448" s="387" t="s">
        <v>2577</v>
      </c>
      <c r="D448" s="351"/>
      <c r="E448" s="133" t="s">
        <v>2565</v>
      </c>
      <c r="F448" s="133" t="s">
        <v>2417</v>
      </c>
      <c r="G448" s="133" t="s">
        <v>2417</v>
      </c>
      <c r="H448" s="133" t="s">
        <v>2417</v>
      </c>
      <c r="I448" s="134" t="s">
        <v>2418</v>
      </c>
      <c r="J448" s="133" t="s">
        <v>2417</v>
      </c>
      <c r="K448" s="133" t="s">
        <v>2417</v>
      </c>
      <c r="L448" s="133" t="s">
        <v>2417</v>
      </c>
      <c r="M448" s="133" t="s">
        <v>2417</v>
      </c>
      <c r="N448" s="133" t="s">
        <v>2417</v>
      </c>
      <c r="O448" s="133" t="s">
        <v>2417</v>
      </c>
      <c r="P448" s="133" t="s">
        <v>2417</v>
      </c>
      <c r="Q448" s="133" t="s">
        <v>2417</v>
      </c>
      <c r="R448" s="133" t="s">
        <v>2417</v>
      </c>
      <c r="S448" s="133" t="s">
        <v>2417</v>
      </c>
      <c r="T448" s="133" t="s">
        <v>2417</v>
      </c>
      <c r="U448" s="133" t="s">
        <v>2417</v>
      </c>
      <c r="V448" s="133" t="s">
        <v>2417</v>
      </c>
      <c r="W448" s="133" t="s">
        <v>2417</v>
      </c>
      <c r="X448" s="133" t="s">
        <v>2417</v>
      </c>
      <c r="Y448" s="133" t="s">
        <v>2417</v>
      </c>
      <c r="Z448" s="133" t="s">
        <v>2417</v>
      </c>
      <c r="AA448" s="133" t="s">
        <v>2417</v>
      </c>
      <c r="AB448" s="133" t="s">
        <v>2417</v>
      </c>
      <c r="AC448" s="133" t="s">
        <v>2417</v>
      </c>
      <c r="AD448" s="133" t="s">
        <v>2417</v>
      </c>
      <c r="AE448" s="144"/>
    </row>
    <row r="449" spans="1:31" ht="30.6" hidden="1" outlineLevel="2">
      <c r="A449" s="68" t="s">
        <v>1244</v>
      </c>
      <c r="B449" s="62" t="s">
        <v>1251</v>
      </c>
      <c r="C449" s="387" t="s">
        <v>2578</v>
      </c>
      <c r="D449" s="351"/>
      <c r="E449" s="133" t="s">
        <v>2565</v>
      </c>
      <c r="F449" s="133" t="s">
        <v>2417</v>
      </c>
      <c r="G449" s="133" t="s">
        <v>2417</v>
      </c>
      <c r="H449" s="133" t="s">
        <v>2417</v>
      </c>
      <c r="I449" s="134" t="s">
        <v>2418</v>
      </c>
      <c r="J449" s="133" t="s">
        <v>2417</v>
      </c>
      <c r="K449" s="133" t="s">
        <v>2417</v>
      </c>
      <c r="L449" s="133" t="s">
        <v>2417</v>
      </c>
      <c r="M449" s="133" t="s">
        <v>2417</v>
      </c>
      <c r="N449" s="133" t="s">
        <v>2417</v>
      </c>
      <c r="O449" s="133" t="s">
        <v>2417</v>
      </c>
      <c r="P449" s="133" t="s">
        <v>2417</v>
      </c>
      <c r="Q449" s="133" t="s">
        <v>2417</v>
      </c>
      <c r="R449" s="133" t="s">
        <v>2417</v>
      </c>
      <c r="S449" s="133" t="s">
        <v>2417</v>
      </c>
      <c r="T449" s="133" t="s">
        <v>2417</v>
      </c>
      <c r="U449" s="133" t="s">
        <v>2417</v>
      </c>
      <c r="V449" s="133" t="s">
        <v>2417</v>
      </c>
      <c r="W449" s="133" t="s">
        <v>2417</v>
      </c>
      <c r="X449" s="133" t="s">
        <v>2417</v>
      </c>
      <c r="Y449" s="133" t="s">
        <v>2417</v>
      </c>
      <c r="Z449" s="133" t="s">
        <v>2417</v>
      </c>
      <c r="AA449" s="133" t="s">
        <v>2417</v>
      </c>
      <c r="AB449" s="133" t="s">
        <v>2417</v>
      </c>
      <c r="AC449" s="133" t="s">
        <v>2417</v>
      </c>
      <c r="AD449" s="133" t="s">
        <v>2417</v>
      </c>
      <c r="AE449" s="144"/>
    </row>
    <row r="450" spans="1:31" ht="30.6" hidden="1" outlineLevel="2">
      <c r="A450" s="68" t="s">
        <v>1247</v>
      </c>
      <c r="B450" s="62" t="s">
        <v>1256</v>
      </c>
      <c r="C450" s="387" t="s">
        <v>2579</v>
      </c>
      <c r="D450" s="351"/>
      <c r="E450" s="133" t="s">
        <v>2565</v>
      </c>
      <c r="F450" s="133" t="s">
        <v>2417</v>
      </c>
      <c r="G450" s="133" t="s">
        <v>2417</v>
      </c>
      <c r="H450" s="133" t="s">
        <v>2417</v>
      </c>
      <c r="I450" s="134" t="s">
        <v>2418</v>
      </c>
      <c r="J450" s="133" t="s">
        <v>2417</v>
      </c>
      <c r="K450" s="133" t="s">
        <v>2417</v>
      </c>
      <c r="L450" s="133" t="s">
        <v>2417</v>
      </c>
      <c r="M450" s="133" t="s">
        <v>2417</v>
      </c>
      <c r="N450" s="133" t="s">
        <v>2417</v>
      </c>
      <c r="O450" s="133" t="s">
        <v>2417</v>
      </c>
      <c r="P450" s="133" t="s">
        <v>2417</v>
      </c>
      <c r="Q450" s="133" t="s">
        <v>2417</v>
      </c>
      <c r="R450" s="133" t="s">
        <v>2417</v>
      </c>
      <c r="S450" s="133" t="s">
        <v>2417</v>
      </c>
      <c r="T450" s="133" t="s">
        <v>2417</v>
      </c>
      <c r="U450" s="133" t="s">
        <v>2417</v>
      </c>
      <c r="V450" s="133" t="s">
        <v>2417</v>
      </c>
      <c r="W450" s="133" t="s">
        <v>2417</v>
      </c>
      <c r="X450" s="133" t="s">
        <v>2417</v>
      </c>
      <c r="Y450" s="133" t="s">
        <v>2417</v>
      </c>
      <c r="Z450" s="133" t="s">
        <v>2417</v>
      </c>
      <c r="AA450" s="133" t="s">
        <v>2417</v>
      </c>
      <c r="AB450" s="133" t="s">
        <v>2417</v>
      </c>
      <c r="AC450" s="133" t="s">
        <v>2417</v>
      </c>
      <c r="AD450" s="133" t="s">
        <v>2417</v>
      </c>
      <c r="AE450" s="144"/>
    </row>
    <row r="451" spans="1:31" ht="40.799999999999997" hidden="1" outlineLevel="2">
      <c r="A451" s="68" t="s">
        <v>1250</v>
      </c>
      <c r="B451" s="62" t="s">
        <v>1259</v>
      </c>
      <c r="C451" s="387" t="s">
        <v>2580</v>
      </c>
      <c r="D451" s="351"/>
      <c r="E451" s="133" t="s">
        <v>2565</v>
      </c>
      <c r="F451" s="133" t="s">
        <v>2417</v>
      </c>
      <c r="G451" s="133" t="s">
        <v>2417</v>
      </c>
      <c r="H451" s="133" t="s">
        <v>2417</v>
      </c>
      <c r="I451" s="134" t="s">
        <v>2418</v>
      </c>
      <c r="J451" s="133" t="s">
        <v>2417</v>
      </c>
      <c r="K451" s="133" t="s">
        <v>2417</v>
      </c>
      <c r="L451" s="133" t="s">
        <v>2417</v>
      </c>
      <c r="M451" s="133" t="s">
        <v>2417</v>
      </c>
      <c r="N451" s="133" t="s">
        <v>2417</v>
      </c>
      <c r="O451" s="133" t="s">
        <v>2417</v>
      </c>
      <c r="P451" s="133" t="s">
        <v>2417</v>
      </c>
      <c r="Q451" s="133" t="s">
        <v>2417</v>
      </c>
      <c r="R451" s="133" t="s">
        <v>2417</v>
      </c>
      <c r="S451" s="133" t="s">
        <v>2417</v>
      </c>
      <c r="T451" s="133" t="s">
        <v>2417</v>
      </c>
      <c r="U451" s="133" t="s">
        <v>2417</v>
      </c>
      <c r="V451" s="133" t="s">
        <v>2417</v>
      </c>
      <c r="W451" s="133" t="s">
        <v>2417</v>
      </c>
      <c r="X451" s="133" t="s">
        <v>2417</v>
      </c>
      <c r="Y451" s="133" t="s">
        <v>2417</v>
      </c>
      <c r="Z451" s="133" t="s">
        <v>2417</v>
      </c>
      <c r="AA451" s="133" t="s">
        <v>2417</v>
      </c>
      <c r="AB451" s="133" t="s">
        <v>2417</v>
      </c>
      <c r="AC451" s="133" t="s">
        <v>2417</v>
      </c>
      <c r="AD451" s="133" t="s">
        <v>2417</v>
      </c>
      <c r="AE451" s="144"/>
    </row>
    <row r="452" spans="1:31" ht="40.799999999999997" hidden="1" outlineLevel="2">
      <c r="A452" s="68" t="s">
        <v>1253</v>
      </c>
      <c r="B452" s="62" t="s">
        <v>1262</v>
      </c>
      <c r="C452" s="387" t="s">
        <v>2581</v>
      </c>
      <c r="D452" s="351"/>
      <c r="E452" s="133" t="s">
        <v>2565</v>
      </c>
      <c r="F452" s="133" t="s">
        <v>2417</v>
      </c>
      <c r="G452" s="133" t="s">
        <v>2417</v>
      </c>
      <c r="H452" s="133" t="s">
        <v>2417</v>
      </c>
      <c r="I452" s="134" t="s">
        <v>2418</v>
      </c>
      <c r="J452" s="133" t="s">
        <v>2417</v>
      </c>
      <c r="K452" s="133" t="s">
        <v>2417</v>
      </c>
      <c r="L452" s="133" t="s">
        <v>2417</v>
      </c>
      <c r="M452" s="133" t="s">
        <v>2417</v>
      </c>
      <c r="N452" s="133" t="s">
        <v>2417</v>
      </c>
      <c r="O452" s="133" t="s">
        <v>2417</v>
      </c>
      <c r="P452" s="133" t="s">
        <v>2417</v>
      </c>
      <c r="Q452" s="133" t="s">
        <v>2417</v>
      </c>
      <c r="R452" s="133" t="s">
        <v>2417</v>
      </c>
      <c r="S452" s="133" t="s">
        <v>2417</v>
      </c>
      <c r="T452" s="133" t="s">
        <v>2417</v>
      </c>
      <c r="U452" s="133" t="s">
        <v>2417</v>
      </c>
      <c r="V452" s="133" t="s">
        <v>2417</v>
      </c>
      <c r="W452" s="133" t="s">
        <v>2417</v>
      </c>
      <c r="X452" s="133" t="s">
        <v>2417</v>
      </c>
      <c r="Y452" s="133" t="s">
        <v>2417</v>
      </c>
      <c r="Z452" s="133" t="s">
        <v>2417</v>
      </c>
      <c r="AA452" s="133" t="s">
        <v>2417</v>
      </c>
      <c r="AB452" s="133" t="s">
        <v>2417</v>
      </c>
      <c r="AC452" s="133" t="s">
        <v>2417</v>
      </c>
      <c r="AD452" s="133" t="s">
        <v>2417</v>
      </c>
      <c r="AE452" s="144"/>
    </row>
    <row r="453" spans="1:31" ht="40.799999999999997" hidden="1" outlineLevel="2">
      <c r="A453" s="68" t="s">
        <v>1255</v>
      </c>
      <c r="B453" s="64" t="s">
        <v>1265</v>
      </c>
      <c r="C453" s="388" t="s">
        <v>2582</v>
      </c>
      <c r="D453" s="351"/>
      <c r="E453" s="133" t="s">
        <v>2565</v>
      </c>
      <c r="F453" s="133" t="s">
        <v>2417</v>
      </c>
      <c r="G453" s="133" t="s">
        <v>2417</v>
      </c>
      <c r="H453" s="133" t="s">
        <v>2417</v>
      </c>
      <c r="I453" s="134" t="s">
        <v>2418</v>
      </c>
      <c r="J453" s="133" t="s">
        <v>2417</v>
      </c>
      <c r="K453" s="133" t="s">
        <v>2417</v>
      </c>
      <c r="L453" s="133" t="s">
        <v>2417</v>
      </c>
      <c r="M453" s="133" t="s">
        <v>2417</v>
      </c>
      <c r="N453" s="133" t="s">
        <v>2417</v>
      </c>
      <c r="O453" s="133" t="s">
        <v>2417</v>
      </c>
      <c r="P453" s="133" t="s">
        <v>2417</v>
      </c>
      <c r="Q453" s="133" t="s">
        <v>2417</v>
      </c>
      <c r="R453" s="133" t="s">
        <v>2417</v>
      </c>
      <c r="S453" s="133" t="s">
        <v>2417</v>
      </c>
      <c r="T453" s="133" t="s">
        <v>2417</v>
      </c>
      <c r="U453" s="133" t="s">
        <v>2417</v>
      </c>
      <c r="V453" s="133" t="s">
        <v>2417</v>
      </c>
      <c r="W453" s="133" t="s">
        <v>2417</v>
      </c>
      <c r="X453" s="133" t="s">
        <v>2417</v>
      </c>
      <c r="Y453" s="133" t="s">
        <v>2417</v>
      </c>
      <c r="Z453" s="133" t="s">
        <v>2417</v>
      </c>
      <c r="AA453" s="133" t="s">
        <v>2417</v>
      </c>
      <c r="AB453" s="133" t="s">
        <v>2417</v>
      </c>
      <c r="AC453" s="133" t="s">
        <v>2417</v>
      </c>
      <c r="AD453" s="133" t="s">
        <v>2417</v>
      </c>
      <c r="AE453" s="158"/>
    </row>
    <row r="454" spans="1:31" ht="30.6" hidden="1" outlineLevel="2">
      <c r="A454" s="68" t="s">
        <v>1258</v>
      </c>
      <c r="B454" s="64" t="s">
        <v>1268</v>
      </c>
      <c r="C454" s="388" t="s">
        <v>2583</v>
      </c>
      <c r="D454" s="351"/>
      <c r="E454" s="133" t="s">
        <v>2565</v>
      </c>
      <c r="F454" s="133" t="s">
        <v>2417</v>
      </c>
      <c r="G454" s="133" t="s">
        <v>2417</v>
      </c>
      <c r="H454" s="133" t="s">
        <v>2417</v>
      </c>
      <c r="I454" s="134" t="s">
        <v>2418</v>
      </c>
      <c r="J454" s="133" t="s">
        <v>2417</v>
      </c>
      <c r="K454" s="133" t="s">
        <v>2417</v>
      </c>
      <c r="L454" s="133" t="s">
        <v>2417</v>
      </c>
      <c r="M454" s="133" t="s">
        <v>2417</v>
      </c>
      <c r="N454" s="133" t="s">
        <v>2417</v>
      </c>
      <c r="O454" s="133" t="s">
        <v>2417</v>
      </c>
      <c r="P454" s="133" t="s">
        <v>2417</v>
      </c>
      <c r="Q454" s="133" t="s">
        <v>2417</v>
      </c>
      <c r="R454" s="133" t="s">
        <v>2417</v>
      </c>
      <c r="S454" s="133" t="s">
        <v>2417</v>
      </c>
      <c r="T454" s="133" t="s">
        <v>2417</v>
      </c>
      <c r="U454" s="133" t="s">
        <v>2417</v>
      </c>
      <c r="V454" s="133" t="s">
        <v>2417</v>
      </c>
      <c r="W454" s="133" t="s">
        <v>2417</v>
      </c>
      <c r="X454" s="133" t="s">
        <v>2417</v>
      </c>
      <c r="Y454" s="133" t="s">
        <v>2417</v>
      </c>
      <c r="Z454" s="133" t="s">
        <v>2417</v>
      </c>
      <c r="AA454" s="133" t="s">
        <v>2417</v>
      </c>
      <c r="AB454" s="133" t="s">
        <v>2417</v>
      </c>
      <c r="AC454" s="133" t="s">
        <v>2417</v>
      </c>
      <c r="AD454" s="133" t="s">
        <v>2417</v>
      </c>
      <c r="AE454" s="158"/>
    </row>
    <row r="455" spans="1:31" ht="40.799999999999997" hidden="1" outlineLevel="2">
      <c r="A455" s="68" t="s">
        <v>1261</v>
      </c>
      <c r="B455" s="62" t="s">
        <v>2584</v>
      </c>
      <c r="C455" s="387" t="s">
        <v>2585</v>
      </c>
      <c r="D455" s="351"/>
      <c r="E455" s="133" t="s">
        <v>2565</v>
      </c>
      <c r="F455" s="133" t="s">
        <v>2417</v>
      </c>
      <c r="G455" s="133" t="s">
        <v>2417</v>
      </c>
      <c r="H455" s="133" t="s">
        <v>2417</v>
      </c>
      <c r="I455" s="134" t="s">
        <v>2418</v>
      </c>
      <c r="J455" s="133" t="s">
        <v>2417</v>
      </c>
      <c r="K455" s="133" t="s">
        <v>2417</v>
      </c>
      <c r="L455" s="133" t="s">
        <v>2417</v>
      </c>
      <c r="M455" s="133" t="s">
        <v>2417</v>
      </c>
      <c r="N455" s="133" t="s">
        <v>2417</v>
      </c>
      <c r="O455" s="133" t="s">
        <v>2417</v>
      </c>
      <c r="P455" s="133" t="s">
        <v>2417</v>
      </c>
      <c r="Q455" s="133" t="s">
        <v>2417</v>
      </c>
      <c r="R455" s="133" t="s">
        <v>2417</v>
      </c>
      <c r="S455" s="133" t="s">
        <v>2417</v>
      </c>
      <c r="T455" s="133" t="s">
        <v>2417</v>
      </c>
      <c r="U455" s="133" t="s">
        <v>2417</v>
      </c>
      <c r="V455" s="133" t="s">
        <v>2417</v>
      </c>
      <c r="W455" s="133" t="s">
        <v>2417</v>
      </c>
      <c r="X455" s="133" t="s">
        <v>2417</v>
      </c>
      <c r="Y455" s="133" t="s">
        <v>2417</v>
      </c>
      <c r="Z455" s="133" t="s">
        <v>2417</v>
      </c>
      <c r="AA455" s="133" t="s">
        <v>2417</v>
      </c>
      <c r="AB455" s="133" t="s">
        <v>2417</v>
      </c>
      <c r="AC455" s="133" t="s">
        <v>2417</v>
      </c>
      <c r="AD455" s="133" t="s">
        <v>2417</v>
      </c>
      <c r="AE455" s="144"/>
    </row>
    <row r="456" spans="1:31" ht="30.6" hidden="1" outlineLevel="2">
      <c r="A456" s="68" t="s">
        <v>1264</v>
      </c>
      <c r="B456" s="64" t="s">
        <v>1296</v>
      </c>
      <c r="C456" s="388" t="s">
        <v>2586</v>
      </c>
      <c r="D456" s="351"/>
      <c r="E456" s="133" t="s">
        <v>2565</v>
      </c>
      <c r="F456" s="133" t="s">
        <v>2417</v>
      </c>
      <c r="G456" s="133" t="s">
        <v>2417</v>
      </c>
      <c r="H456" s="133" t="s">
        <v>2417</v>
      </c>
      <c r="I456" s="134" t="s">
        <v>2418</v>
      </c>
      <c r="J456" s="133" t="s">
        <v>2417</v>
      </c>
      <c r="K456" s="133" t="s">
        <v>2417</v>
      </c>
      <c r="L456" s="133" t="s">
        <v>2417</v>
      </c>
      <c r="M456" s="133" t="s">
        <v>2417</v>
      </c>
      <c r="N456" s="133" t="s">
        <v>2417</v>
      </c>
      <c r="O456" s="133" t="s">
        <v>2417</v>
      </c>
      <c r="P456" s="133" t="s">
        <v>2417</v>
      </c>
      <c r="Q456" s="133" t="s">
        <v>2417</v>
      </c>
      <c r="R456" s="133" t="s">
        <v>2417</v>
      </c>
      <c r="S456" s="133" t="s">
        <v>2417</v>
      </c>
      <c r="T456" s="133" t="s">
        <v>2417</v>
      </c>
      <c r="U456" s="133" t="s">
        <v>2417</v>
      </c>
      <c r="V456" s="133" t="s">
        <v>2417</v>
      </c>
      <c r="W456" s="133" t="s">
        <v>2417</v>
      </c>
      <c r="X456" s="133" t="s">
        <v>2417</v>
      </c>
      <c r="Y456" s="133" t="s">
        <v>2417</v>
      </c>
      <c r="Z456" s="133" t="s">
        <v>2417</v>
      </c>
      <c r="AA456" s="133" t="s">
        <v>2417</v>
      </c>
      <c r="AB456" s="133" t="s">
        <v>2417</v>
      </c>
      <c r="AC456" s="133" t="s">
        <v>2417</v>
      </c>
      <c r="AD456" s="133" t="s">
        <v>2417</v>
      </c>
      <c r="AE456" s="158"/>
    </row>
    <row r="457" spans="1:31" ht="13.2" outlineLevel="1">
      <c r="A457" s="390" t="s">
        <v>1298</v>
      </c>
      <c r="B457" s="350"/>
      <c r="C457" s="350"/>
      <c r="D457" s="351"/>
      <c r="E457" s="133" t="s">
        <v>2417</v>
      </c>
      <c r="F457" s="133" t="s">
        <v>2417</v>
      </c>
      <c r="G457" s="133" t="s">
        <v>2417</v>
      </c>
      <c r="H457" s="133" t="s">
        <v>2417</v>
      </c>
      <c r="I457" s="134" t="s">
        <v>2418</v>
      </c>
      <c r="J457" s="133" t="s">
        <v>2417</v>
      </c>
      <c r="K457" s="133" t="s">
        <v>2417</v>
      </c>
      <c r="L457" s="133" t="s">
        <v>2417</v>
      </c>
      <c r="M457" s="133" t="s">
        <v>2417</v>
      </c>
      <c r="N457" s="133" t="s">
        <v>2417</v>
      </c>
      <c r="O457" s="133" t="s">
        <v>2417</v>
      </c>
      <c r="P457" s="133" t="s">
        <v>2417</v>
      </c>
      <c r="Q457" s="133" t="s">
        <v>2417</v>
      </c>
      <c r="R457" s="133" t="s">
        <v>2417</v>
      </c>
      <c r="S457" s="133" t="s">
        <v>2417</v>
      </c>
      <c r="T457" s="133" t="s">
        <v>2417</v>
      </c>
      <c r="U457" s="133" t="s">
        <v>2417</v>
      </c>
      <c r="V457" s="133" t="s">
        <v>2417</v>
      </c>
      <c r="W457" s="133" t="s">
        <v>2417</v>
      </c>
      <c r="X457" s="133" t="s">
        <v>2417</v>
      </c>
      <c r="Y457" s="133" t="s">
        <v>2417</v>
      </c>
      <c r="Z457" s="133" t="s">
        <v>2417</v>
      </c>
      <c r="AA457" s="133" t="s">
        <v>2417</v>
      </c>
      <c r="AB457" s="133" t="s">
        <v>2417</v>
      </c>
      <c r="AC457" s="133" t="s">
        <v>2417</v>
      </c>
      <c r="AD457" s="133" t="s">
        <v>2417</v>
      </c>
      <c r="AE457" s="159"/>
    </row>
    <row r="458" spans="1:31" ht="20.399999999999999" outlineLevel="2">
      <c r="A458" s="68" t="s">
        <v>1299</v>
      </c>
      <c r="B458" s="63" t="s">
        <v>1300</v>
      </c>
      <c r="C458" s="387" t="s">
        <v>1301</v>
      </c>
      <c r="D458" s="351"/>
      <c r="E458" s="133" t="s">
        <v>2417</v>
      </c>
      <c r="F458" s="133" t="s">
        <v>2417</v>
      </c>
      <c r="G458" s="133" t="s">
        <v>2417</v>
      </c>
      <c r="H458" s="133" t="s">
        <v>2417</v>
      </c>
      <c r="I458" s="134" t="s">
        <v>2418</v>
      </c>
      <c r="J458" s="133" t="s">
        <v>2417</v>
      </c>
      <c r="K458" s="133" t="s">
        <v>2417</v>
      </c>
      <c r="L458" s="133" t="s">
        <v>2417</v>
      </c>
      <c r="M458" s="133" t="s">
        <v>2417</v>
      </c>
      <c r="N458" s="133" t="s">
        <v>2417</v>
      </c>
      <c r="O458" s="133" t="s">
        <v>2417</v>
      </c>
      <c r="P458" s="133" t="s">
        <v>2417</v>
      </c>
      <c r="Q458" s="133" t="s">
        <v>2417</v>
      </c>
      <c r="R458" s="133" t="s">
        <v>2417</v>
      </c>
      <c r="S458" s="133" t="s">
        <v>2417</v>
      </c>
      <c r="T458" s="133" t="s">
        <v>2417</v>
      </c>
      <c r="U458" s="133" t="s">
        <v>2417</v>
      </c>
      <c r="V458" s="133" t="s">
        <v>2417</v>
      </c>
      <c r="W458" s="133" t="s">
        <v>2417</v>
      </c>
      <c r="X458" s="133" t="s">
        <v>2417</v>
      </c>
      <c r="Y458" s="133" t="s">
        <v>2417</v>
      </c>
      <c r="Z458" s="133" t="s">
        <v>2417</v>
      </c>
      <c r="AA458" s="133" t="s">
        <v>2417</v>
      </c>
      <c r="AB458" s="133" t="s">
        <v>2417</v>
      </c>
      <c r="AC458" s="133" t="s">
        <v>2417</v>
      </c>
      <c r="AD458" s="133" t="s">
        <v>2417</v>
      </c>
      <c r="AE458" s="144"/>
    </row>
    <row r="459" spans="1:31" ht="13.2" outlineLevel="2">
      <c r="A459" s="68" t="s">
        <v>1302</v>
      </c>
      <c r="B459" s="78"/>
      <c r="C459" s="360" t="s">
        <v>1303</v>
      </c>
      <c r="D459" s="351"/>
      <c r="E459" s="133" t="s">
        <v>2417</v>
      </c>
      <c r="F459" s="133" t="s">
        <v>2417</v>
      </c>
      <c r="G459" s="133" t="s">
        <v>2417</v>
      </c>
      <c r="H459" s="133" t="s">
        <v>2417</v>
      </c>
      <c r="I459" s="134" t="s">
        <v>2418</v>
      </c>
      <c r="J459" s="133" t="s">
        <v>2417</v>
      </c>
      <c r="K459" s="133" t="s">
        <v>2417</v>
      </c>
      <c r="L459" s="133" t="s">
        <v>2417</v>
      </c>
      <c r="M459" s="133" t="s">
        <v>2417</v>
      </c>
      <c r="N459" s="133" t="s">
        <v>2417</v>
      </c>
      <c r="O459" s="133" t="s">
        <v>2417</v>
      </c>
      <c r="P459" s="133" t="s">
        <v>2417</v>
      </c>
      <c r="Q459" s="133" t="s">
        <v>2417</v>
      </c>
      <c r="R459" s="133" t="s">
        <v>2417</v>
      </c>
      <c r="S459" s="133" t="s">
        <v>2417</v>
      </c>
      <c r="T459" s="133" t="s">
        <v>2417</v>
      </c>
      <c r="U459" s="133" t="s">
        <v>2417</v>
      </c>
      <c r="V459" s="133" t="s">
        <v>2417</v>
      </c>
      <c r="W459" s="133" t="s">
        <v>2417</v>
      </c>
      <c r="X459" s="133" t="s">
        <v>2417</v>
      </c>
      <c r="Y459" s="133" t="s">
        <v>2417</v>
      </c>
      <c r="Z459" s="133" t="s">
        <v>2417</v>
      </c>
      <c r="AA459" s="133" t="s">
        <v>2417</v>
      </c>
      <c r="AB459" s="133" t="s">
        <v>2417</v>
      </c>
      <c r="AC459" s="133" t="s">
        <v>2417</v>
      </c>
      <c r="AD459" s="133" t="s">
        <v>2417</v>
      </c>
      <c r="AE459" s="137"/>
    </row>
    <row r="460" spans="1:31" ht="13.2" outlineLevel="1">
      <c r="A460" s="391" t="s">
        <v>1304</v>
      </c>
      <c r="B460" s="350"/>
      <c r="C460" s="350"/>
      <c r="D460" s="351"/>
      <c r="E460" s="133" t="s">
        <v>2417</v>
      </c>
      <c r="F460" s="133" t="s">
        <v>2417</v>
      </c>
      <c r="G460" s="133" t="s">
        <v>2417</v>
      </c>
      <c r="H460" s="133" t="s">
        <v>2417</v>
      </c>
      <c r="I460" s="134" t="s">
        <v>2418</v>
      </c>
      <c r="J460" s="133" t="s">
        <v>2417</v>
      </c>
      <c r="K460" s="133" t="s">
        <v>2417</v>
      </c>
      <c r="L460" s="133" t="s">
        <v>2417</v>
      </c>
      <c r="M460" s="133" t="s">
        <v>2417</v>
      </c>
      <c r="N460" s="133" t="s">
        <v>2417</v>
      </c>
      <c r="O460" s="133" t="s">
        <v>2417</v>
      </c>
      <c r="P460" s="133" t="s">
        <v>2417</v>
      </c>
      <c r="Q460" s="133" t="s">
        <v>2417</v>
      </c>
      <c r="R460" s="133" t="s">
        <v>2417</v>
      </c>
      <c r="S460" s="133" t="s">
        <v>2417</v>
      </c>
      <c r="T460" s="133" t="s">
        <v>2417</v>
      </c>
      <c r="U460" s="133" t="s">
        <v>2417</v>
      </c>
      <c r="V460" s="133" t="s">
        <v>2417</v>
      </c>
      <c r="W460" s="133" t="s">
        <v>2417</v>
      </c>
      <c r="X460" s="133" t="s">
        <v>2417</v>
      </c>
      <c r="Y460" s="133" t="s">
        <v>2417</v>
      </c>
      <c r="Z460" s="133" t="s">
        <v>2417</v>
      </c>
      <c r="AA460" s="133" t="s">
        <v>2417</v>
      </c>
      <c r="AB460" s="133" t="s">
        <v>2417</v>
      </c>
      <c r="AC460" s="133" t="s">
        <v>2417</v>
      </c>
      <c r="AD460" s="133" t="s">
        <v>2417</v>
      </c>
      <c r="AE460" s="150"/>
    </row>
    <row r="461" spans="1:31" ht="20.399999999999999" outlineLevel="2">
      <c r="A461" s="68" t="s">
        <v>1305</v>
      </c>
      <c r="B461" s="62" t="s">
        <v>1306</v>
      </c>
      <c r="C461" s="387" t="s">
        <v>1307</v>
      </c>
      <c r="D461" s="351"/>
      <c r="E461" s="133" t="s">
        <v>2417</v>
      </c>
      <c r="F461" s="133" t="s">
        <v>2417</v>
      </c>
      <c r="G461" s="133" t="s">
        <v>2417</v>
      </c>
      <c r="H461" s="133" t="s">
        <v>2417</v>
      </c>
      <c r="I461" s="134" t="s">
        <v>2418</v>
      </c>
      <c r="J461" s="133" t="s">
        <v>2417</v>
      </c>
      <c r="K461" s="133" t="s">
        <v>2417</v>
      </c>
      <c r="L461" s="133" t="s">
        <v>2417</v>
      </c>
      <c r="M461" s="133" t="s">
        <v>2417</v>
      </c>
      <c r="N461" s="133" t="s">
        <v>2417</v>
      </c>
      <c r="O461" s="133" t="s">
        <v>2417</v>
      </c>
      <c r="P461" s="133" t="s">
        <v>2417</v>
      </c>
      <c r="Q461" s="133" t="s">
        <v>2417</v>
      </c>
      <c r="R461" s="133" t="s">
        <v>2417</v>
      </c>
      <c r="S461" s="133" t="s">
        <v>2417</v>
      </c>
      <c r="T461" s="133" t="s">
        <v>2417</v>
      </c>
      <c r="U461" s="133" t="s">
        <v>2417</v>
      </c>
      <c r="V461" s="133" t="s">
        <v>2417</v>
      </c>
      <c r="W461" s="133" t="s">
        <v>2417</v>
      </c>
      <c r="X461" s="133" t="s">
        <v>2417</v>
      </c>
      <c r="Y461" s="133" t="s">
        <v>2417</v>
      </c>
      <c r="Z461" s="133" t="s">
        <v>2417</v>
      </c>
      <c r="AA461" s="133" t="s">
        <v>2417</v>
      </c>
      <c r="AB461" s="133" t="s">
        <v>2417</v>
      </c>
      <c r="AC461" s="133" t="s">
        <v>2417</v>
      </c>
      <c r="AD461" s="133" t="s">
        <v>2417</v>
      </c>
      <c r="AE461" s="59"/>
    </row>
    <row r="462" spans="1:31" ht="13.2" outlineLevel="1">
      <c r="A462" s="386" t="s">
        <v>1308</v>
      </c>
      <c r="B462" s="350"/>
      <c r="C462" s="350"/>
      <c r="D462" s="351"/>
      <c r="E462" s="133" t="s">
        <v>2417</v>
      </c>
      <c r="F462" s="133" t="s">
        <v>2417</v>
      </c>
      <c r="G462" s="133" t="s">
        <v>2417</v>
      </c>
      <c r="H462" s="133" t="s">
        <v>2417</v>
      </c>
      <c r="I462" s="134" t="s">
        <v>2418</v>
      </c>
      <c r="J462" s="133" t="s">
        <v>2417</v>
      </c>
      <c r="K462" s="133" t="s">
        <v>2417</v>
      </c>
      <c r="L462" s="133" t="s">
        <v>2417</v>
      </c>
      <c r="M462" s="133" t="s">
        <v>2417</v>
      </c>
      <c r="N462" s="133" t="s">
        <v>2417</v>
      </c>
      <c r="O462" s="133" t="s">
        <v>2417</v>
      </c>
      <c r="P462" s="133" t="s">
        <v>2417</v>
      </c>
      <c r="Q462" s="133" t="s">
        <v>2417</v>
      </c>
      <c r="R462" s="133" t="s">
        <v>2417</v>
      </c>
      <c r="S462" s="133" t="s">
        <v>2417</v>
      </c>
      <c r="T462" s="133" t="s">
        <v>2417</v>
      </c>
      <c r="U462" s="133" t="s">
        <v>2417</v>
      </c>
      <c r="V462" s="133" t="s">
        <v>2417</v>
      </c>
      <c r="W462" s="133" t="s">
        <v>2417</v>
      </c>
      <c r="X462" s="133" t="s">
        <v>2417</v>
      </c>
      <c r="Y462" s="133" t="s">
        <v>2417</v>
      </c>
      <c r="Z462" s="133" t="s">
        <v>2417</v>
      </c>
      <c r="AA462" s="133" t="s">
        <v>2417</v>
      </c>
      <c r="AB462" s="133" t="s">
        <v>2417</v>
      </c>
      <c r="AC462" s="133" t="s">
        <v>2417</v>
      </c>
      <c r="AD462" s="133" t="s">
        <v>2417</v>
      </c>
      <c r="AE462" s="153"/>
    </row>
    <row r="463" spans="1:31" ht="13.2" outlineLevel="1">
      <c r="A463" s="383" t="s">
        <v>1309</v>
      </c>
      <c r="B463" s="350"/>
      <c r="C463" s="350"/>
      <c r="D463" s="351"/>
      <c r="E463" s="133" t="s">
        <v>2417</v>
      </c>
      <c r="F463" s="133" t="s">
        <v>2587</v>
      </c>
      <c r="G463" s="133" t="s">
        <v>2417</v>
      </c>
      <c r="H463" s="133" t="s">
        <v>2417</v>
      </c>
      <c r="I463" s="134" t="s">
        <v>2418</v>
      </c>
      <c r="J463" s="133" t="s">
        <v>2417</v>
      </c>
      <c r="K463" s="133" t="s">
        <v>2417</v>
      </c>
      <c r="L463" s="133" t="s">
        <v>2417</v>
      </c>
      <c r="M463" s="133" t="s">
        <v>2417</v>
      </c>
      <c r="N463" s="133" t="s">
        <v>2417</v>
      </c>
      <c r="O463" s="133" t="s">
        <v>2417</v>
      </c>
      <c r="P463" s="133" t="s">
        <v>2417</v>
      </c>
      <c r="Q463" s="133" t="s">
        <v>2417</v>
      </c>
      <c r="R463" s="133" t="s">
        <v>2417</v>
      </c>
      <c r="S463" s="133" t="s">
        <v>2417</v>
      </c>
      <c r="T463" s="133" t="s">
        <v>2417</v>
      </c>
      <c r="U463" s="133" t="s">
        <v>2417</v>
      </c>
      <c r="V463" s="133" t="s">
        <v>2417</v>
      </c>
      <c r="W463" s="133" t="s">
        <v>2417</v>
      </c>
      <c r="X463" s="133" t="s">
        <v>2417</v>
      </c>
      <c r="Y463" s="133" t="s">
        <v>2417</v>
      </c>
      <c r="Z463" s="133" t="s">
        <v>2417</v>
      </c>
      <c r="AA463" s="133" t="s">
        <v>2417</v>
      </c>
      <c r="AB463" s="133" t="s">
        <v>2417</v>
      </c>
      <c r="AC463" s="133" t="s">
        <v>2417</v>
      </c>
      <c r="AD463" s="133" t="s">
        <v>2417</v>
      </c>
      <c r="AE463" s="143"/>
    </row>
    <row r="464" spans="1:31" ht="13.2" outlineLevel="2">
      <c r="A464" s="68" t="s">
        <v>1310</v>
      </c>
      <c r="B464" s="78"/>
      <c r="C464" s="387" t="s">
        <v>2588</v>
      </c>
      <c r="D464" s="351"/>
      <c r="E464" s="133" t="s">
        <v>2417</v>
      </c>
      <c r="F464" s="133" t="s">
        <v>2587</v>
      </c>
      <c r="G464" s="133" t="s">
        <v>2417</v>
      </c>
      <c r="H464" s="133" t="s">
        <v>2417</v>
      </c>
      <c r="I464" s="134" t="s">
        <v>2418</v>
      </c>
      <c r="J464" s="133" t="s">
        <v>2417</v>
      </c>
      <c r="K464" s="133" t="s">
        <v>2417</v>
      </c>
      <c r="L464" s="133" t="s">
        <v>2417</v>
      </c>
      <c r="M464" s="133" t="s">
        <v>2417</v>
      </c>
      <c r="N464" s="133" t="s">
        <v>2417</v>
      </c>
      <c r="O464" s="133" t="s">
        <v>2417</v>
      </c>
      <c r="P464" s="133" t="s">
        <v>2417</v>
      </c>
      <c r="Q464" s="133" t="s">
        <v>2417</v>
      </c>
      <c r="R464" s="133" t="s">
        <v>2417</v>
      </c>
      <c r="S464" s="133" t="s">
        <v>2417</v>
      </c>
      <c r="T464" s="133" t="s">
        <v>2417</v>
      </c>
      <c r="U464" s="133" t="s">
        <v>2417</v>
      </c>
      <c r="V464" s="133" t="s">
        <v>2417</v>
      </c>
      <c r="W464" s="133" t="s">
        <v>2417</v>
      </c>
      <c r="X464" s="133" t="s">
        <v>2417</v>
      </c>
      <c r="Y464" s="133" t="s">
        <v>2417</v>
      </c>
      <c r="Z464" s="133" t="s">
        <v>2417</v>
      </c>
      <c r="AA464" s="133" t="s">
        <v>2417</v>
      </c>
      <c r="AB464" s="133" t="s">
        <v>2417</v>
      </c>
      <c r="AC464" s="133" t="s">
        <v>2417</v>
      </c>
      <c r="AD464" s="133" t="s">
        <v>2417</v>
      </c>
      <c r="AE464" s="144"/>
    </row>
    <row r="465" spans="1:31" ht="13.2" outlineLevel="2">
      <c r="A465" s="68" t="s">
        <v>1312</v>
      </c>
      <c r="B465" s="62" t="s">
        <v>1313</v>
      </c>
      <c r="C465" s="384"/>
      <c r="D465" s="351"/>
      <c r="E465" s="133" t="s">
        <v>2417</v>
      </c>
      <c r="F465" s="133" t="s">
        <v>2587</v>
      </c>
      <c r="G465" s="133" t="s">
        <v>2417</v>
      </c>
      <c r="H465" s="133" t="s">
        <v>2417</v>
      </c>
      <c r="I465" s="134" t="s">
        <v>2418</v>
      </c>
      <c r="J465" s="133" t="s">
        <v>2417</v>
      </c>
      <c r="K465" s="133" t="s">
        <v>2417</v>
      </c>
      <c r="L465" s="133" t="s">
        <v>2417</v>
      </c>
      <c r="M465" s="133" t="s">
        <v>2417</v>
      </c>
      <c r="N465" s="133" t="s">
        <v>2417</v>
      </c>
      <c r="O465" s="133" t="s">
        <v>2417</v>
      </c>
      <c r="P465" s="133" t="s">
        <v>2417</v>
      </c>
      <c r="Q465" s="133" t="s">
        <v>2417</v>
      </c>
      <c r="R465" s="133" t="s">
        <v>2417</v>
      </c>
      <c r="S465" s="133" t="s">
        <v>2417</v>
      </c>
      <c r="T465" s="133" t="s">
        <v>2417</v>
      </c>
      <c r="U465" s="133" t="s">
        <v>2417</v>
      </c>
      <c r="V465" s="133" t="s">
        <v>2417</v>
      </c>
      <c r="W465" s="133" t="s">
        <v>2417</v>
      </c>
      <c r="X465" s="133" t="s">
        <v>2417</v>
      </c>
      <c r="Y465" s="133" t="s">
        <v>2417</v>
      </c>
      <c r="Z465" s="133" t="s">
        <v>2417</v>
      </c>
      <c r="AA465" s="133" t="s">
        <v>2417</v>
      </c>
      <c r="AB465" s="133" t="s">
        <v>2417</v>
      </c>
      <c r="AC465" s="133" t="s">
        <v>2417</v>
      </c>
      <c r="AD465" s="133" t="s">
        <v>2417</v>
      </c>
      <c r="AE465" s="143"/>
    </row>
    <row r="466" spans="1:31" ht="20.399999999999999" outlineLevel="2">
      <c r="A466" s="68" t="s">
        <v>1314</v>
      </c>
      <c r="B466" s="62" t="s">
        <v>1315</v>
      </c>
      <c r="C466" s="384"/>
      <c r="D466" s="351"/>
      <c r="E466" s="133" t="s">
        <v>2417</v>
      </c>
      <c r="F466" s="133" t="s">
        <v>2587</v>
      </c>
      <c r="G466" s="133" t="s">
        <v>2417</v>
      </c>
      <c r="H466" s="133" t="s">
        <v>2417</v>
      </c>
      <c r="I466" s="134" t="s">
        <v>2418</v>
      </c>
      <c r="J466" s="133" t="s">
        <v>2417</v>
      </c>
      <c r="K466" s="133" t="s">
        <v>2417</v>
      </c>
      <c r="L466" s="133" t="s">
        <v>2417</v>
      </c>
      <c r="M466" s="133" t="s">
        <v>2417</v>
      </c>
      <c r="N466" s="133" t="s">
        <v>2417</v>
      </c>
      <c r="O466" s="133" t="s">
        <v>2417</v>
      </c>
      <c r="P466" s="133" t="s">
        <v>2417</v>
      </c>
      <c r="Q466" s="133" t="s">
        <v>2417</v>
      </c>
      <c r="R466" s="133" t="s">
        <v>2417</v>
      </c>
      <c r="S466" s="133" t="s">
        <v>2417</v>
      </c>
      <c r="T466" s="133" t="s">
        <v>2417</v>
      </c>
      <c r="U466" s="133" t="s">
        <v>2417</v>
      </c>
      <c r="V466" s="133" t="s">
        <v>2417</v>
      </c>
      <c r="W466" s="133" t="s">
        <v>2417</v>
      </c>
      <c r="X466" s="133" t="s">
        <v>2417</v>
      </c>
      <c r="Y466" s="133" t="s">
        <v>2417</v>
      </c>
      <c r="Z466" s="133" t="s">
        <v>2417</v>
      </c>
      <c r="AA466" s="133" t="s">
        <v>2417</v>
      </c>
      <c r="AB466" s="133" t="s">
        <v>2417</v>
      </c>
      <c r="AC466" s="133" t="s">
        <v>2417</v>
      </c>
      <c r="AD466" s="133" t="s">
        <v>2417</v>
      </c>
      <c r="AE466" s="143"/>
    </row>
    <row r="467" spans="1:31" ht="40.799999999999997" outlineLevel="2">
      <c r="A467" s="68" t="s">
        <v>1316</v>
      </c>
      <c r="B467" s="64" t="s">
        <v>1317</v>
      </c>
      <c r="C467" s="387" t="s">
        <v>1318</v>
      </c>
      <c r="D467" s="351"/>
      <c r="E467" s="133" t="s">
        <v>2417</v>
      </c>
      <c r="F467" s="133" t="s">
        <v>2587</v>
      </c>
      <c r="G467" s="133" t="s">
        <v>2417</v>
      </c>
      <c r="H467" s="133" t="s">
        <v>2417</v>
      </c>
      <c r="I467" s="134" t="s">
        <v>2418</v>
      </c>
      <c r="J467" s="133" t="s">
        <v>2417</v>
      </c>
      <c r="K467" s="133" t="s">
        <v>2417</v>
      </c>
      <c r="L467" s="133" t="s">
        <v>2417</v>
      </c>
      <c r="M467" s="133" t="s">
        <v>2417</v>
      </c>
      <c r="N467" s="133" t="s">
        <v>2417</v>
      </c>
      <c r="O467" s="133" t="s">
        <v>2417</v>
      </c>
      <c r="P467" s="133" t="s">
        <v>2417</v>
      </c>
      <c r="Q467" s="133" t="s">
        <v>2417</v>
      </c>
      <c r="R467" s="133" t="s">
        <v>2417</v>
      </c>
      <c r="S467" s="133" t="s">
        <v>2417</v>
      </c>
      <c r="T467" s="133" t="s">
        <v>2417</v>
      </c>
      <c r="U467" s="133" t="s">
        <v>2417</v>
      </c>
      <c r="V467" s="133" t="s">
        <v>2417</v>
      </c>
      <c r="W467" s="133" t="s">
        <v>2417</v>
      </c>
      <c r="X467" s="133" t="s">
        <v>2417</v>
      </c>
      <c r="Y467" s="133" t="s">
        <v>2417</v>
      </c>
      <c r="Z467" s="133" t="s">
        <v>2417</v>
      </c>
      <c r="AA467" s="133" t="s">
        <v>2417</v>
      </c>
      <c r="AB467" s="133" t="s">
        <v>2417</v>
      </c>
      <c r="AC467" s="133" t="s">
        <v>2417</v>
      </c>
      <c r="AD467" s="133" t="s">
        <v>2417</v>
      </c>
      <c r="AE467" s="151"/>
    </row>
    <row r="468" spans="1:31" ht="20.399999999999999" outlineLevel="2">
      <c r="A468" s="68" t="s">
        <v>1319</v>
      </c>
      <c r="B468" s="64" t="s">
        <v>2589</v>
      </c>
      <c r="C468" s="387" t="s">
        <v>1321</v>
      </c>
      <c r="D468" s="351"/>
      <c r="E468" s="133" t="s">
        <v>2417</v>
      </c>
      <c r="F468" s="133" t="s">
        <v>2587</v>
      </c>
      <c r="G468" s="133" t="s">
        <v>2417</v>
      </c>
      <c r="H468" s="133" t="s">
        <v>2417</v>
      </c>
      <c r="I468" s="134" t="s">
        <v>2418</v>
      </c>
      <c r="J468" s="133" t="s">
        <v>2417</v>
      </c>
      <c r="K468" s="133" t="s">
        <v>2417</v>
      </c>
      <c r="L468" s="133" t="s">
        <v>2417</v>
      </c>
      <c r="M468" s="133" t="s">
        <v>2417</v>
      </c>
      <c r="N468" s="133" t="s">
        <v>2417</v>
      </c>
      <c r="O468" s="133" t="s">
        <v>2417</v>
      </c>
      <c r="P468" s="133" t="s">
        <v>2417</v>
      </c>
      <c r="Q468" s="133" t="s">
        <v>2417</v>
      </c>
      <c r="R468" s="133" t="s">
        <v>2417</v>
      </c>
      <c r="S468" s="133" t="s">
        <v>2417</v>
      </c>
      <c r="T468" s="133" t="s">
        <v>2417</v>
      </c>
      <c r="U468" s="133" t="s">
        <v>2417</v>
      </c>
      <c r="V468" s="133" t="s">
        <v>2417</v>
      </c>
      <c r="W468" s="133" t="s">
        <v>2417</v>
      </c>
      <c r="X468" s="133" t="s">
        <v>2417</v>
      </c>
      <c r="Y468" s="133" t="s">
        <v>2417</v>
      </c>
      <c r="Z468" s="133" t="s">
        <v>2417</v>
      </c>
      <c r="AA468" s="133" t="s">
        <v>2417</v>
      </c>
      <c r="AB468" s="133" t="s">
        <v>2417</v>
      </c>
      <c r="AC468" s="133" t="s">
        <v>2417</v>
      </c>
      <c r="AD468" s="133" t="s">
        <v>2417</v>
      </c>
      <c r="AE468" s="144"/>
    </row>
    <row r="469" spans="1:31" ht="20.399999999999999" outlineLevel="2">
      <c r="A469" s="68" t="s">
        <v>1322</v>
      </c>
      <c r="B469" s="62" t="s">
        <v>1323</v>
      </c>
      <c r="C469" s="387" t="s">
        <v>1321</v>
      </c>
      <c r="D469" s="351"/>
      <c r="E469" s="133" t="s">
        <v>2417</v>
      </c>
      <c r="F469" s="133" t="s">
        <v>2587</v>
      </c>
      <c r="G469" s="133" t="s">
        <v>2417</v>
      </c>
      <c r="H469" s="133" t="s">
        <v>2417</v>
      </c>
      <c r="I469" s="134" t="s">
        <v>2418</v>
      </c>
      <c r="J469" s="133" t="s">
        <v>2417</v>
      </c>
      <c r="K469" s="133" t="s">
        <v>2417</v>
      </c>
      <c r="L469" s="133" t="s">
        <v>2417</v>
      </c>
      <c r="M469" s="133" t="s">
        <v>2417</v>
      </c>
      <c r="N469" s="133" t="s">
        <v>2417</v>
      </c>
      <c r="O469" s="133" t="s">
        <v>2417</v>
      </c>
      <c r="P469" s="133" t="s">
        <v>2417</v>
      </c>
      <c r="Q469" s="133" t="s">
        <v>2417</v>
      </c>
      <c r="R469" s="133" t="s">
        <v>2417</v>
      </c>
      <c r="S469" s="133" t="s">
        <v>2417</v>
      </c>
      <c r="T469" s="133" t="s">
        <v>2417</v>
      </c>
      <c r="U469" s="133" t="s">
        <v>2417</v>
      </c>
      <c r="V469" s="133" t="s">
        <v>2417</v>
      </c>
      <c r="W469" s="133" t="s">
        <v>2417</v>
      </c>
      <c r="X469" s="133" t="s">
        <v>2417</v>
      </c>
      <c r="Y469" s="133" t="s">
        <v>2417</v>
      </c>
      <c r="Z469" s="133" t="s">
        <v>2417</v>
      </c>
      <c r="AA469" s="133" t="s">
        <v>2417</v>
      </c>
      <c r="AB469" s="133" t="s">
        <v>2417</v>
      </c>
      <c r="AC469" s="133" t="s">
        <v>2417</v>
      </c>
      <c r="AD469" s="133" t="s">
        <v>2417</v>
      </c>
      <c r="AE469" s="144"/>
    </row>
    <row r="470" spans="1:31" ht="20.399999999999999" outlineLevel="2">
      <c r="A470" s="68" t="s">
        <v>1324</v>
      </c>
      <c r="B470" s="62" t="s">
        <v>1325</v>
      </c>
      <c r="C470" s="387" t="s">
        <v>1326</v>
      </c>
      <c r="D470" s="351"/>
      <c r="E470" s="133" t="s">
        <v>2417</v>
      </c>
      <c r="F470" s="133" t="s">
        <v>2587</v>
      </c>
      <c r="G470" s="133" t="s">
        <v>2417</v>
      </c>
      <c r="H470" s="133" t="s">
        <v>2417</v>
      </c>
      <c r="I470" s="134" t="s">
        <v>2418</v>
      </c>
      <c r="J470" s="133" t="s">
        <v>2417</v>
      </c>
      <c r="K470" s="133" t="s">
        <v>2417</v>
      </c>
      <c r="L470" s="133" t="s">
        <v>2417</v>
      </c>
      <c r="M470" s="133" t="s">
        <v>2417</v>
      </c>
      <c r="N470" s="133" t="s">
        <v>2417</v>
      </c>
      <c r="O470" s="133" t="s">
        <v>2417</v>
      </c>
      <c r="P470" s="133" t="s">
        <v>2417</v>
      </c>
      <c r="Q470" s="133" t="s">
        <v>2417</v>
      </c>
      <c r="R470" s="133" t="s">
        <v>2417</v>
      </c>
      <c r="S470" s="133" t="s">
        <v>2417</v>
      </c>
      <c r="T470" s="133" t="s">
        <v>2417</v>
      </c>
      <c r="U470" s="133" t="s">
        <v>2417</v>
      </c>
      <c r="V470" s="133" t="s">
        <v>2417</v>
      </c>
      <c r="W470" s="133" t="s">
        <v>2417</v>
      </c>
      <c r="X470" s="133" t="s">
        <v>2417</v>
      </c>
      <c r="Y470" s="133" t="s">
        <v>2417</v>
      </c>
      <c r="Z470" s="133" t="s">
        <v>2417</v>
      </c>
      <c r="AA470" s="133" t="s">
        <v>2417</v>
      </c>
      <c r="AB470" s="133" t="s">
        <v>2417</v>
      </c>
      <c r="AC470" s="133" t="s">
        <v>2417</v>
      </c>
      <c r="AD470" s="133" t="s">
        <v>2417</v>
      </c>
      <c r="AE470" s="151"/>
    </row>
    <row r="471" spans="1:31" ht="20.399999999999999" outlineLevel="2">
      <c r="A471" s="68" t="s">
        <v>1327</v>
      </c>
      <c r="B471" s="62" t="s">
        <v>1328</v>
      </c>
      <c r="C471" s="360" t="s">
        <v>1329</v>
      </c>
      <c r="D471" s="351"/>
      <c r="E471" s="133" t="s">
        <v>2417</v>
      </c>
      <c r="F471" s="133" t="s">
        <v>2587</v>
      </c>
      <c r="G471" s="133" t="s">
        <v>2417</v>
      </c>
      <c r="H471" s="133" t="s">
        <v>2417</v>
      </c>
      <c r="I471" s="134" t="s">
        <v>2418</v>
      </c>
      <c r="J471" s="133" t="s">
        <v>2417</v>
      </c>
      <c r="K471" s="133" t="s">
        <v>2417</v>
      </c>
      <c r="L471" s="133" t="s">
        <v>2417</v>
      </c>
      <c r="M471" s="133" t="s">
        <v>2417</v>
      </c>
      <c r="N471" s="133" t="s">
        <v>2417</v>
      </c>
      <c r="O471" s="133" t="s">
        <v>2417</v>
      </c>
      <c r="P471" s="133" t="s">
        <v>2417</v>
      </c>
      <c r="Q471" s="133" t="s">
        <v>2417</v>
      </c>
      <c r="R471" s="133" t="s">
        <v>2417</v>
      </c>
      <c r="S471" s="133" t="s">
        <v>2417</v>
      </c>
      <c r="T471" s="133" t="s">
        <v>2417</v>
      </c>
      <c r="U471" s="133" t="s">
        <v>2417</v>
      </c>
      <c r="V471" s="133" t="s">
        <v>2417</v>
      </c>
      <c r="W471" s="133" t="s">
        <v>2417</v>
      </c>
      <c r="X471" s="133" t="s">
        <v>2417</v>
      </c>
      <c r="Y471" s="133" t="s">
        <v>2417</v>
      </c>
      <c r="Z471" s="133" t="s">
        <v>2417</v>
      </c>
      <c r="AA471" s="133" t="s">
        <v>2417</v>
      </c>
      <c r="AB471" s="133" t="s">
        <v>2417</v>
      </c>
      <c r="AC471" s="133" t="s">
        <v>2417</v>
      </c>
      <c r="AD471" s="133" t="s">
        <v>2417</v>
      </c>
      <c r="AE471" s="137"/>
    </row>
    <row r="472" spans="1:31" ht="30.6" outlineLevel="2">
      <c r="A472" s="68" t="s">
        <v>1330</v>
      </c>
      <c r="B472" s="62" t="s">
        <v>1331</v>
      </c>
      <c r="C472" s="387" t="s">
        <v>1332</v>
      </c>
      <c r="D472" s="351"/>
      <c r="E472" s="133" t="s">
        <v>2417</v>
      </c>
      <c r="F472" s="133" t="s">
        <v>2587</v>
      </c>
      <c r="G472" s="133" t="s">
        <v>2417</v>
      </c>
      <c r="H472" s="133" t="s">
        <v>2417</v>
      </c>
      <c r="I472" s="134" t="s">
        <v>2418</v>
      </c>
      <c r="J472" s="133" t="s">
        <v>2417</v>
      </c>
      <c r="K472" s="133" t="s">
        <v>2417</v>
      </c>
      <c r="L472" s="133" t="s">
        <v>2417</v>
      </c>
      <c r="M472" s="133" t="s">
        <v>2417</v>
      </c>
      <c r="N472" s="133" t="s">
        <v>2417</v>
      </c>
      <c r="O472" s="133" t="s">
        <v>2417</v>
      </c>
      <c r="P472" s="133" t="s">
        <v>2417</v>
      </c>
      <c r="Q472" s="133" t="s">
        <v>2417</v>
      </c>
      <c r="R472" s="133" t="s">
        <v>2417</v>
      </c>
      <c r="S472" s="133" t="s">
        <v>2417</v>
      </c>
      <c r="T472" s="133" t="s">
        <v>2417</v>
      </c>
      <c r="U472" s="133" t="s">
        <v>2417</v>
      </c>
      <c r="V472" s="133" t="s">
        <v>2417</v>
      </c>
      <c r="W472" s="133" t="s">
        <v>2417</v>
      </c>
      <c r="X472" s="133" t="s">
        <v>2417</v>
      </c>
      <c r="Y472" s="133" t="s">
        <v>2417</v>
      </c>
      <c r="Z472" s="133" t="s">
        <v>2417</v>
      </c>
      <c r="AA472" s="133" t="s">
        <v>2417</v>
      </c>
      <c r="AB472" s="133" t="s">
        <v>2417</v>
      </c>
      <c r="AC472" s="133" t="s">
        <v>2417</v>
      </c>
      <c r="AD472" s="133" t="s">
        <v>2417</v>
      </c>
      <c r="AE472" s="151"/>
    </row>
    <row r="473" spans="1:31" ht="20.399999999999999" outlineLevel="1">
      <c r="A473" s="384" t="s">
        <v>1333</v>
      </c>
      <c r="B473" s="350"/>
      <c r="C473" s="350"/>
      <c r="D473" s="351"/>
      <c r="E473" s="133" t="s">
        <v>2417</v>
      </c>
      <c r="F473" s="133" t="s">
        <v>592</v>
      </c>
      <c r="G473" s="133" t="s">
        <v>2417</v>
      </c>
      <c r="H473" s="133" t="s">
        <v>2417</v>
      </c>
      <c r="I473" s="134" t="s">
        <v>2418</v>
      </c>
      <c r="J473" s="133" t="s">
        <v>2417</v>
      </c>
      <c r="K473" s="133" t="s">
        <v>2417</v>
      </c>
      <c r="L473" s="133" t="s">
        <v>2417</v>
      </c>
      <c r="M473" s="133" t="s">
        <v>2417</v>
      </c>
      <c r="N473" s="133" t="s">
        <v>2417</v>
      </c>
      <c r="O473" s="133" t="s">
        <v>2417</v>
      </c>
      <c r="P473" s="133" t="s">
        <v>2417</v>
      </c>
      <c r="Q473" s="133" t="s">
        <v>2417</v>
      </c>
      <c r="R473" s="133" t="s">
        <v>2417</v>
      </c>
      <c r="S473" s="133" t="s">
        <v>2417</v>
      </c>
      <c r="T473" s="133" t="s">
        <v>2417</v>
      </c>
      <c r="U473" s="133" t="s">
        <v>2417</v>
      </c>
      <c r="V473" s="133" t="s">
        <v>2417</v>
      </c>
      <c r="W473" s="133" t="s">
        <v>2417</v>
      </c>
      <c r="X473" s="133" t="s">
        <v>2417</v>
      </c>
      <c r="Y473" s="133" t="s">
        <v>2417</v>
      </c>
      <c r="Z473" s="133" t="s">
        <v>2417</v>
      </c>
      <c r="AA473" s="133" t="s">
        <v>2417</v>
      </c>
      <c r="AB473" s="133" t="s">
        <v>2417</v>
      </c>
      <c r="AC473" s="133" t="s">
        <v>2417</v>
      </c>
      <c r="AD473" s="133" t="s">
        <v>2417</v>
      </c>
      <c r="AE473" s="152"/>
    </row>
    <row r="474" spans="1:31" ht="20.399999999999999" outlineLevel="2">
      <c r="A474" s="68" t="s">
        <v>1334</v>
      </c>
      <c r="B474" s="78"/>
      <c r="C474" s="389" t="s">
        <v>1335</v>
      </c>
      <c r="D474" s="351"/>
      <c r="E474" s="133" t="s">
        <v>2417</v>
      </c>
      <c r="F474" s="133" t="s">
        <v>592</v>
      </c>
      <c r="G474" s="133" t="s">
        <v>2417</v>
      </c>
      <c r="H474" s="133" t="s">
        <v>2417</v>
      </c>
      <c r="I474" s="134" t="s">
        <v>2418</v>
      </c>
      <c r="J474" s="133" t="s">
        <v>2417</v>
      </c>
      <c r="K474" s="133" t="s">
        <v>2417</v>
      </c>
      <c r="L474" s="133" t="s">
        <v>2417</v>
      </c>
      <c r="M474" s="133" t="s">
        <v>2417</v>
      </c>
      <c r="N474" s="133" t="s">
        <v>2417</v>
      </c>
      <c r="O474" s="133" t="s">
        <v>2417</v>
      </c>
      <c r="P474" s="133" t="s">
        <v>2417</v>
      </c>
      <c r="Q474" s="133" t="s">
        <v>2417</v>
      </c>
      <c r="R474" s="133" t="s">
        <v>2417</v>
      </c>
      <c r="S474" s="133" t="s">
        <v>2417</v>
      </c>
      <c r="T474" s="133" t="s">
        <v>2417</v>
      </c>
      <c r="U474" s="133" t="s">
        <v>2417</v>
      </c>
      <c r="V474" s="133" t="s">
        <v>2417</v>
      </c>
      <c r="W474" s="133" t="s">
        <v>2417</v>
      </c>
      <c r="X474" s="133" t="s">
        <v>2417</v>
      </c>
      <c r="Y474" s="133" t="s">
        <v>2417</v>
      </c>
      <c r="Z474" s="133" t="s">
        <v>2417</v>
      </c>
      <c r="AA474" s="133" t="s">
        <v>2417</v>
      </c>
      <c r="AB474" s="133" t="s">
        <v>2417</v>
      </c>
      <c r="AC474" s="133" t="s">
        <v>2417</v>
      </c>
      <c r="AD474" s="133" t="s">
        <v>2417</v>
      </c>
      <c r="AE474" s="137"/>
    </row>
    <row r="475" spans="1:31" ht="20.399999999999999" outlineLevel="2">
      <c r="A475" s="68" t="s">
        <v>1336</v>
      </c>
      <c r="B475" s="62" t="s">
        <v>1337</v>
      </c>
      <c r="C475" s="387" t="s">
        <v>1338</v>
      </c>
      <c r="D475" s="351"/>
      <c r="E475" s="133" t="s">
        <v>2417</v>
      </c>
      <c r="F475" s="133" t="s">
        <v>592</v>
      </c>
      <c r="G475" s="133" t="s">
        <v>2417</v>
      </c>
      <c r="H475" s="133" t="s">
        <v>2417</v>
      </c>
      <c r="I475" s="134" t="s">
        <v>2418</v>
      </c>
      <c r="J475" s="133" t="s">
        <v>2417</v>
      </c>
      <c r="K475" s="133" t="s">
        <v>2417</v>
      </c>
      <c r="L475" s="133" t="s">
        <v>2417</v>
      </c>
      <c r="M475" s="133" t="s">
        <v>2417</v>
      </c>
      <c r="N475" s="133" t="s">
        <v>2417</v>
      </c>
      <c r="O475" s="133" t="s">
        <v>2417</v>
      </c>
      <c r="P475" s="133" t="s">
        <v>2417</v>
      </c>
      <c r="Q475" s="133" t="s">
        <v>2417</v>
      </c>
      <c r="R475" s="133" t="s">
        <v>2417</v>
      </c>
      <c r="S475" s="133" t="s">
        <v>2417</v>
      </c>
      <c r="T475" s="133" t="s">
        <v>2417</v>
      </c>
      <c r="U475" s="133" t="s">
        <v>2417</v>
      </c>
      <c r="V475" s="133" t="s">
        <v>2417</v>
      </c>
      <c r="W475" s="133" t="s">
        <v>2417</v>
      </c>
      <c r="X475" s="133" t="s">
        <v>2417</v>
      </c>
      <c r="Y475" s="133" t="s">
        <v>2417</v>
      </c>
      <c r="Z475" s="133" t="s">
        <v>2417</v>
      </c>
      <c r="AA475" s="133" t="s">
        <v>2417</v>
      </c>
      <c r="AB475" s="133" t="s">
        <v>2417</v>
      </c>
      <c r="AC475" s="133" t="s">
        <v>2417</v>
      </c>
      <c r="AD475" s="133" t="s">
        <v>2417</v>
      </c>
      <c r="AE475" s="144"/>
    </row>
    <row r="476" spans="1:31" ht="20.399999999999999" outlineLevel="2">
      <c r="A476" s="68" t="s">
        <v>1339</v>
      </c>
      <c r="B476" s="62" t="s">
        <v>1340</v>
      </c>
      <c r="C476" s="387" t="s">
        <v>1341</v>
      </c>
      <c r="D476" s="351"/>
      <c r="E476" s="133" t="s">
        <v>2417</v>
      </c>
      <c r="F476" s="133" t="s">
        <v>592</v>
      </c>
      <c r="G476" s="133" t="s">
        <v>2417</v>
      </c>
      <c r="H476" s="133" t="s">
        <v>2417</v>
      </c>
      <c r="I476" s="134" t="s">
        <v>2418</v>
      </c>
      <c r="J476" s="133" t="s">
        <v>2417</v>
      </c>
      <c r="K476" s="133" t="s">
        <v>2417</v>
      </c>
      <c r="L476" s="133" t="s">
        <v>2417</v>
      </c>
      <c r="M476" s="133" t="s">
        <v>2417</v>
      </c>
      <c r="N476" s="133" t="s">
        <v>2417</v>
      </c>
      <c r="O476" s="133" t="s">
        <v>2417</v>
      </c>
      <c r="P476" s="133" t="s">
        <v>2417</v>
      </c>
      <c r="Q476" s="133" t="s">
        <v>2417</v>
      </c>
      <c r="R476" s="133" t="s">
        <v>2417</v>
      </c>
      <c r="S476" s="133" t="s">
        <v>2417</v>
      </c>
      <c r="T476" s="133" t="s">
        <v>2417</v>
      </c>
      <c r="U476" s="133" t="s">
        <v>2417</v>
      </c>
      <c r="V476" s="133" t="s">
        <v>2417</v>
      </c>
      <c r="W476" s="133" t="s">
        <v>2417</v>
      </c>
      <c r="X476" s="133" t="s">
        <v>2417</v>
      </c>
      <c r="Y476" s="133" t="s">
        <v>2417</v>
      </c>
      <c r="Z476" s="133" t="s">
        <v>2417</v>
      </c>
      <c r="AA476" s="133" t="s">
        <v>2417</v>
      </c>
      <c r="AB476" s="133" t="s">
        <v>2417</v>
      </c>
      <c r="AC476" s="133" t="s">
        <v>2417</v>
      </c>
      <c r="AD476" s="133" t="s">
        <v>2417</v>
      </c>
      <c r="AE476" s="144"/>
    </row>
    <row r="477" spans="1:31" ht="20.399999999999999" outlineLevel="2">
      <c r="A477" s="68" t="s">
        <v>1342</v>
      </c>
      <c r="B477" s="62" t="s">
        <v>1343</v>
      </c>
      <c r="C477" s="387" t="s">
        <v>1344</v>
      </c>
      <c r="D477" s="351"/>
      <c r="E477" s="133" t="s">
        <v>2417</v>
      </c>
      <c r="F477" s="133" t="s">
        <v>592</v>
      </c>
      <c r="G477" s="133" t="s">
        <v>2417</v>
      </c>
      <c r="H477" s="133" t="s">
        <v>2417</v>
      </c>
      <c r="I477" s="134" t="s">
        <v>2418</v>
      </c>
      <c r="J477" s="133" t="s">
        <v>2417</v>
      </c>
      <c r="K477" s="133" t="s">
        <v>2417</v>
      </c>
      <c r="L477" s="133" t="s">
        <v>2417</v>
      </c>
      <c r="M477" s="133" t="s">
        <v>2417</v>
      </c>
      <c r="N477" s="133" t="s">
        <v>2417</v>
      </c>
      <c r="O477" s="133" t="s">
        <v>2417</v>
      </c>
      <c r="P477" s="133" t="s">
        <v>2417</v>
      </c>
      <c r="Q477" s="133" t="s">
        <v>2417</v>
      </c>
      <c r="R477" s="133" t="s">
        <v>2417</v>
      </c>
      <c r="S477" s="133" t="s">
        <v>2417</v>
      </c>
      <c r="T477" s="133" t="s">
        <v>2417</v>
      </c>
      <c r="U477" s="133" t="s">
        <v>2417</v>
      </c>
      <c r="V477" s="133" t="s">
        <v>2417</v>
      </c>
      <c r="W477" s="133" t="s">
        <v>2417</v>
      </c>
      <c r="X477" s="133" t="s">
        <v>2417</v>
      </c>
      <c r="Y477" s="133" t="s">
        <v>2417</v>
      </c>
      <c r="Z477" s="133" t="s">
        <v>2417</v>
      </c>
      <c r="AA477" s="133" t="s">
        <v>2417</v>
      </c>
      <c r="AB477" s="133" t="s">
        <v>2417</v>
      </c>
      <c r="AC477" s="133" t="s">
        <v>2417</v>
      </c>
      <c r="AD477" s="133" t="s">
        <v>2417</v>
      </c>
      <c r="AE477" s="151"/>
    </row>
    <row r="478" spans="1:31" ht="13.2" outlineLevel="1">
      <c r="A478" s="384" t="s">
        <v>1345</v>
      </c>
      <c r="B478" s="350"/>
      <c r="C478" s="350"/>
      <c r="D478" s="351"/>
      <c r="E478" s="133" t="s">
        <v>2417</v>
      </c>
      <c r="F478" s="133" t="s">
        <v>2421</v>
      </c>
      <c r="G478" s="133" t="s">
        <v>2417</v>
      </c>
      <c r="H478" s="133" t="s">
        <v>2417</v>
      </c>
      <c r="I478" s="134" t="s">
        <v>2418</v>
      </c>
      <c r="J478" s="133" t="s">
        <v>2417</v>
      </c>
      <c r="K478" s="133" t="s">
        <v>2417</v>
      </c>
      <c r="L478" s="133" t="s">
        <v>2417</v>
      </c>
      <c r="M478" s="133" t="s">
        <v>2417</v>
      </c>
      <c r="N478" s="133" t="s">
        <v>2417</v>
      </c>
      <c r="O478" s="133" t="s">
        <v>2417</v>
      </c>
      <c r="P478" s="133" t="s">
        <v>2417</v>
      </c>
      <c r="Q478" s="133" t="s">
        <v>2417</v>
      </c>
      <c r="R478" s="133" t="s">
        <v>2417</v>
      </c>
      <c r="S478" s="133" t="s">
        <v>2417</v>
      </c>
      <c r="T478" s="133" t="s">
        <v>2417</v>
      </c>
      <c r="U478" s="133" t="s">
        <v>2417</v>
      </c>
      <c r="V478" s="133" t="s">
        <v>2417</v>
      </c>
      <c r="W478" s="133" t="s">
        <v>2417</v>
      </c>
      <c r="X478" s="133" t="s">
        <v>2417</v>
      </c>
      <c r="Y478" s="133" t="s">
        <v>2417</v>
      </c>
      <c r="Z478" s="133" t="s">
        <v>2417</v>
      </c>
      <c r="AA478" s="133" t="s">
        <v>2417</v>
      </c>
      <c r="AB478" s="133" t="s">
        <v>2417</v>
      </c>
      <c r="AC478" s="133" t="s">
        <v>2417</v>
      </c>
      <c r="AD478" s="133" t="s">
        <v>2417</v>
      </c>
      <c r="AE478" s="152"/>
    </row>
    <row r="479" spans="1:31" ht="13.2" outlineLevel="2">
      <c r="A479" s="68" t="s">
        <v>1346</v>
      </c>
      <c r="B479" s="78"/>
      <c r="C479" s="389" t="s">
        <v>2590</v>
      </c>
      <c r="D479" s="351"/>
      <c r="E479" s="133" t="s">
        <v>2417</v>
      </c>
      <c r="F479" s="133" t="s">
        <v>2421</v>
      </c>
      <c r="G479" s="133" t="s">
        <v>2417</v>
      </c>
      <c r="H479" s="133" t="s">
        <v>2417</v>
      </c>
      <c r="I479" s="134" t="s">
        <v>2418</v>
      </c>
      <c r="J479" s="133" t="s">
        <v>2417</v>
      </c>
      <c r="K479" s="133" t="s">
        <v>2417</v>
      </c>
      <c r="L479" s="133" t="s">
        <v>2417</v>
      </c>
      <c r="M479" s="133" t="s">
        <v>2417</v>
      </c>
      <c r="N479" s="133" t="s">
        <v>2417</v>
      </c>
      <c r="O479" s="133" t="s">
        <v>2417</v>
      </c>
      <c r="P479" s="133" t="s">
        <v>2417</v>
      </c>
      <c r="Q479" s="133" t="s">
        <v>2417</v>
      </c>
      <c r="R479" s="133" t="s">
        <v>2417</v>
      </c>
      <c r="S479" s="133" t="s">
        <v>2417</v>
      </c>
      <c r="T479" s="133" t="s">
        <v>2417</v>
      </c>
      <c r="U479" s="133" t="s">
        <v>2417</v>
      </c>
      <c r="V479" s="133" t="s">
        <v>2417</v>
      </c>
      <c r="W479" s="133" t="s">
        <v>2417</v>
      </c>
      <c r="X479" s="133" t="s">
        <v>2417</v>
      </c>
      <c r="Y479" s="133" t="s">
        <v>2417</v>
      </c>
      <c r="Z479" s="133" t="s">
        <v>2417</v>
      </c>
      <c r="AA479" s="133" t="s">
        <v>2417</v>
      </c>
      <c r="AB479" s="133" t="s">
        <v>2417</v>
      </c>
      <c r="AC479" s="133" t="s">
        <v>2417</v>
      </c>
      <c r="AD479" s="133" t="s">
        <v>2417</v>
      </c>
      <c r="AE479" s="137"/>
    </row>
    <row r="480" spans="1:31" ht="13.2" outlineLevel="2">
      <c r="A480" s="68" t="s">
        <v>1348</v>
      </c>
      <c r="B480" s="62" t="s">
        <v>1313</v>
      </c>
      <c r="C480" s="384"/>
      <c r="D480" s="351"/>
      <c r="E480" s="133" t="s">
        <v>2417</v>
      </c>
      <c r="F480" s="133" t="s">
        <v>2421</v>
      </c>
      <c r="G480" s="133" t="s">
        <v>2417</v>
      </c>
      <c r="H480" s="133" t="s">
        <v>2417</v>
      </c>
      <c r="I480" s="134" t="s">
        <v>2418</v>
      </c>
      <c r="J480" s="133" t="s">
        <v>2417</v>
      </c>
      <c r="K480" s="133" t="s">
        <v>2417</v>
      </c>
      <c r="L480" s="133" t="s">
        <v>2417</v>
      </c>
      <c r="M480" s="133" t="s">
        <v>2417</v>
      </c>
      <c r="N480" s="133" t="s">
        <v>2417</v>
      </c>
      <c r="O480" s="133" t="s">
        <v>2417</v>
      </c>
      <c r="P480" s="133" t="s">
        <v>2417</v>
      </c>
      <c r="Q480" s="133" t="s">
        <v>2417</v>
      </c>
      <c r="R480" s="133" t="s">
        <v>2417</v>
      </c>
      <c r="S480" s="133" t="s">
        <v>2417</v>
      </c>
      <c r="T480" s="133" t="s">
        <v>2417</v>
      </c>
      <c r="U480" s="133" t="s">
        <v>2417</v>
      </c>
      <c r="V480" s="133" t="s">
        <v>2417</v>
      </c>
      <c r="W480" s="133" t="s">
        <v>2417</v>
      </c>
      <c r="X480" s="133" t="s">
        <v>2417</v>
      </c>
      <c r="Y480" s="133" t="s">
        <v>2417</v>
      </c>
      <c r="Z480" s="133" t="s">
        <v>2417</v>
      </c>
      <c r="AA480" s="133" t="s">
        <v>2417</v>
      </c>
      <c r="AB480" s="133" t="s">
        <v>2417</v>
      </c>
      <c r="AC480" s="133" t="s">
        <v>2417</v>
      </c>
      <c r="AD480" s="133" t="s">
        <v>2417</v>
      </c>
      <c r="AE480" s="143"/>
    </row>
    <row r="481" spans="1:31" ht="20.399999999999999" outlineLevel="2">
      <c r="A481" s="68" t="s">
        <v>1349</v>
      </c>
      <c r="B481" s="62" t="s">
        <v>1315</v>
      </c>
      <c r="C481" s="384"/>
      <c r="D481" s="351"/>
      <c r="E481" s="133" t="s">
        <v>2417</v>
      </c>
      <c r="F481" s="133" t="s">
        <v>2421</v>
      </c>
      <c r="G481" s="133" t="s">
        <v>2417</v>
      </c>
      <c r="H481" s="133" t="s">
        <v>2417</v>
      </c>
      <c r="I481" s="134" t="s">
        <v>2418</v>
      </c>
      <c r="J481" s="133" t="s">
        <v>2417</v>
      </c>
      <c r="K481" s="133" t="s">
        <v>2417</v>
      </c>
      <c r="L481" s="133" t="s">
        <v>2417</v>
      </c>
      <c r="M481" s="133" t="s">
        <v>2417</v>
      </c>
      <c r="N481" s="133" t="s">
        <v>2417</v>
      </c>
      <c r="O481" s="133" t="s">
        <v>2417</v>
      </c>
      <c r="P481" s="133" t="s">
        <v>2417</v>
      </c>
      <c r="Q481" s="133" t="s">
        <v>2417</v>
      </c>
      <c r="R481" s="133" t="s">
        <v>2417</v>
      </c>
      <c r="S481" s="133" t="s">
        <v>2417</v>
      </c>
      <c r="T481" s="133" t="s">
        <v>2417</v>
      </c>
      <c r="U481" s="133" t="s">
        <v>2417</v>
      </c>
      <c r="V481" s="133" t="s">
        <v>2417</v>
      </c>
      <c r="W481" s="133" t="s">
        <v>2417</v>
      </c>
      <c r="X481" s="133" t="s">
        <v>2417</v>
      </c>
      <c r="Y481" s="133" t="s">
        <v>2417</v>
      </c>
      <c r="Z481" s="133" t="s">
        <v>2417</v>
      </c>
      <c r="AA481" s="133" t="s">
        <v>2417</v>
      </c>
      <c r="AB481" s="133" t="s">
        <v>2417</v>
      </c>
      <c r="AC481" s="133" t="s">
        <v>2417</v>
      </c>
      <c r="AD481" s="133" t="s">
        <v>2417</v>
      </c>
      <c r="AE481" s="143"/>
    </row>
    <row r="482" spans="1:31" ht="20.399999999999999" outlineLevel="2">
      <c r="A482" s="68" t="s">
        <v>1350</v>
      </c>
      <c r="B482" s="62" t="s">
        <v>1351</v>
      </c>
      <c r="C482" s="387" t="s">
        <v>1338</v>
      </c>
      <c r="D482" s="351"/>
      <c r="E482" s="133" t="s">
        <v>2417</v>
      </c>
      <c r="F482" s="133" t="s">
        <v>2421</v>
      </c>
      <c r="G482" s="133" t="s">
        <v>2417</v>
      </c>
      <c r="H482" s="133" t="s">
        <v>2417</v>
      </c>
      <c r="I482" s="134" t="s">
        <v>2418</v>
      </c>
      <c r="J482" s="133" t="s">
        <v>2417</v>
      </c>
      <c r="K482" s="133" t="s">
        <v>2417</v>
      </c>
      <c r="L482" s="133" t="s">
        <v>2417</v>
      </c>
      <c r="M482" s="133" t="s">
        <v>2417</v>
      </c>
      <c r="N482" s="133" t="s">
        <v>2417</v>
      </c>
      <c r="O482" s="133" t="s">
        <v>2417</v>
      </c>
      <c r="P482" s="133" t="s">
        <v>2417</v>
      </c>
      <c r="Q482" s="133" t="s">
        <v>2417</v>
      </c>
      <c r="R482" s="133" t="s">
        <v>2417</v>
      </c>
      <c r="S482" s="133" t="s">
        <v>2417</v>
      </c>
      <c r="T482" s="133" t="s">
        <v>2417</v>
      </c>
      <c r="U482" s="133" t="s">
        <v>2417</v>
      </c>
      <c r="V482" s="133" t="s">
        <v>2417</v>
      </c>
      <c r="W482" s="133" t="s">
        <v>2417</v>
      </c>
      <c r="X482" s="133" t="s">
        <v>2417</v>
      </c>
      <c r="Y482" s="133" t="s">
        <v>2417</v>
      </c>
      <c r="Z482" s="133" t="s">
        <v>2417</v>
      </c>
      <c r="AA482" s="133" t="s">
        <v>2417</v>
      </c>
      <c r="AB482" s="133" t="s">
        <v>2417</v>
      </c>
      <c r="AC482" s="133" t="s">
        <v>2417</v>
      </c>
      <c r="AD482" s="133" t="s">
        <v>2417</v>
      </c>
      <c r="AE482" s="144"/>
    </row>
    <row r="483" spans="1:31" ht="13.2" outlineLevel="2">
      <c r="A483" s="68" t="s">
        <v>1352</v>
      </c>
      <c r="B483" s="62" t="s">
        <v>1353</v>
      </c>
      <c r="C483" s="387" t="s">
        <v>2591</v>
      </c>
      <c r="D483" s="351"/>
      <c r="E483" s="133" t="s">
        <v>2417</v>
      </c>
      <c r="F483" s="133" t="s">
        <v>2421</v>
      </c>
      <c r="G483" s="133" t="s">
        <v>2417</v>
      </c>
      <c r="H483" s="133" t="s">
        <v>2417</v>
      </c>
      <c r="I483" s="134" t="s">
        <v>2418</v>
      </c>
      <c r="J483" s="133" t="s">
        <v>2417</v>
      </c>
      <c r="K483" s="133" t="s">
        <v>2417</v>
      </c>
      <c r="L483" s="133" t="s">
        <v>2417</v>
      </c>
      <c r="M483" s="133" t="s">
        <v>2417</v>
      </c>
      <c r="N483" s="133" t="s">
        <v>2417</v>
      </c>
      <c r="O483" s="133" t="s">
        <v>2417</v>
      </c>
      <c r="P483" s="133" t="s">
        <v>2417</v>
      </c>
      <c r="Q483" s="133" t="s">
        <v>2417</v>
      </c>
      <c r="R483" s="133" t="s">
        <v>2417</v>
      </c>
      <c r="S483" s="133" t="s">
        <v>2417</v>
      </c>
      <c r="T483" s="133" t="s">
        <v>2417</v>
      </c>
      <c r="U483" s="133" t="s">
        <v>2417</v>
      </c>
      <c r="V483" s="133" t="s">
        <v>2417</v>
      </c>
      <c r="W483" s="133" t="s">
        <v>2417</v>
      </c>
      <c r="X483" s="133" t="s">
        <v>2417</v>
      </c>
      <c r="Y483" s="133" t="s">
        <v>2417</v>
      </c>
      <c r="Z483" s="133" t="s">
        <v>2417</v>
      </c>
      <c r="AA483" s="133" t="s">
        <v>2417</v>
      </c>
      <c r="AB483" s="133" t="s">
        <v>2417</v>
      </c>
      <c r="AC483" s="133" t="s">
        <v>2417</v>
      </c>
      <c r="AD483" s="133" t="s">
        <v>2417</v>
      </c>
      <c r="AE483" s="144"/>
    </row>
    <row r="484" spans="1:31" ht="13.2" outlineLevel="2">
      <c r="A484" s="68" t="s">
        <v>1355</v>
      </c>
      <c r="B484" s="62" t="s">
        <v>1356</v>
      </c>
      <c r="C484" s="387" t="s">
        <v>1344</v>
      </c>
      <c r="D484" s="351"/>
      <c r="E484" s="133" t="s">
        <v>2417</v>
      </c>
      <c r="F484" s="133" t="s">
        <v>2421</v>
      </c>
      <c r="G484" s="133" t="s">
        <v>2417</v>
      </c>
      <c r="H484" s="133" t="s">
        <v>2417</v>
      </c>
      <c r="I484" s="134" t="s">
        <v>2418</v>
      </c>
      <c r="J484" s="133" t="s">
        <v>2417</v>
      </c>
      <c r="K484" s="133" t="s">
        <v>2417</v>
      </c>
      <c r="L484" s="133" t="s">
        <v>2417</v>
      </c>
      <c r="M484" s="133" t="s">
        <v>2417</v>
      </c>
      <c r="N484" s="133" t="s">
        <v>2417</v>
      </c>
      <c r="O484" s="133" t="s">
        <v>2417</v>
      </c>
      <c r="P484" s="133" t="s">
        <v>2417</v>
      </c>
      <c r="Q484" s="133" t="s">
        <v>2417</v>
      </c>
      <c r="R484" s="133" t="s">
        <v>2417</v>
      </c>
      <c r="S484" s="133" t="s">
        <v>2417</v>
      </c>
      <c r="T484" s="133" t="s">
        <v>2417</v>
      </c>
      <c r="U484" s="133" t="s">
        <v>2417</v>
      </c>
      <c r="V484" s="133" t="s">
        <v>2417</v>
      </c>
      <c r="W484" s="133" t="s">
        <v>2417</v>
      </c>
      <c r="X484" s="133" t="s">
        <v>2417</v>
      </c>
      <c r="Y484" s="133" t="s">
        <v>2417</v>
      </c>
      <c r="Z484" s="133" t="s">
        <v>2417</v>
      </c>
      <c r="AA484" s="133" t="s">
        <v>2417</v>
      </c>
      <c r="AB484" s="133" t="s">
        <v>2417</v>
      </c>
      <c r="AC484" s="133" t="s">
        <v>2417</v>
      </c>
      <c r="AD484" s="133" t="s">
        <v>2417</v>
      </c>
      <c r="AE484" s="151"/>
    </row>
    <row r="485" spans="1:31" ht="13.2" outlineLevel="2">
      <c r="A485" s="68" t="s">
        <v>1357</v>
      </c>
      <c r="B485" s="62" t="s">
        <v>1358</v>
      </c>
      <c r="C485" s="387" t="s">
        <v>1359</v>
      </c>
      <c r="D485" s="351"/>
      <c r="E485" s="133" t="s">
        <v>2417</v>
      </c>
      <c r="F485" s="133" t="s">
        <v>2421</v>
      </c>
      <c r="G485" s="133" t="s">
        <v>2417</v>
      </c>
      <c r="H485" s="133" t="s">
        <v>2417</v>
      </c>
      <c r="I485" s="134" t="s">
        <v>2418</v>
      </c>
      <c r="J485" s="133" t="s">
        <v>2417</v>
      </c>
      <c r="K485" s="133" t="s">
        <v>2417</v>
      </c>
      <c r="L485" s="133" t="s">
        <v>2417</v>
      </c>
      <c r="M485" s="133" t="s">
        <v>2417</v>
      </c>
      <c r="N485" s="133" t="s">
        <v>2417</v>
      </c>
      <c r="O485" s="133" t="s">
        <v>2417</v>
      </c>
      <c r="P485" s="133" t="s">
        <v>2417</v>
      </c>
      <c r="Q485" s="133" t="s">
        <v>2417</v>
      </c>
      <c r="R485" s="133" t="s">
        <v>2417</v>
      </c>
      <c r="S485" s="133" t="s">
        <v>2417</v>
      </c>
      <c r="T485" s="133" t="s">
        <v>2417</v>
      </c>
      <c r="U485" s="133" t="s">
        <v>2417</v>
      </c>
      <c r="V485" s="133" t="s">
        <v>2417</v>
      </c>
      <c r="W485" s="133" t="s">
        <v>2417</v>
      </c>
      <c r="X485" s="133" t="s">
        <v>2417</v>
      </c>
      <c r="Y485" s="133" t="s">
        <v>2417</v>
      </c>
      <c r="Z485" s="133" t="s">
        <v>2417</v>
      </c>
      <c r="AA485" s="133" t="s">
        <v>2417</v>
      </c>
      <c r="AB485" s="133" t="s">
        <v>2417</v>
      </c>
      <c r="AC485" s="133" t="s">
        <v>2417</v>
      </c>
      <c r="AD485" s="133" t="s">
        <v>2417</v>
      </c>
      <c r="AE485" s="151"/>
    </row>
    <row r="486" spans="1:31" ht="13.2" hidden="1" outlineLevel="2">
      <c r="A486" s="68" t="s">
        <v>2592</v>
      </c>
      <c r="B486" s="62" t="s">
        <v>2593</v>
      </c>
      <c r="C486" s="387" t="s">
        <v>2594</v>
      </c>
      <c r="D486" s="351"/>
      <c r="E486" s="133" t="s">
        <v>2417</v>
      </c>
      <c r="F486" s="133" t="s">
        <v>2421</v>
      </c>
      <c r="G486" s="133" t="s">
        <v>2417</v>
      </c>
      <c r="H486" s="133" t="s">
        <v>2417</v>
      </c>
      <c r="I486" s="134" t="s">
        <v>2418</v>
      </c>
      <c r="J486" s="133" t="s">
        <v>2417</v>
      </c>
      <c r="K486" s="133" t="s">
        <v>2417</v>
      </c>
      <c r="L486" s="133" t="s">
        <v>2417</v>
      </c>
      <c r="M486" s="133" t="s">
        <v>2417</v>
      </c>
      <c r="N486" s="133" t="s">
        <v>2417</v>
      </c>
      <c r="O486" s="133" t="s">
        <v>2417</v>
      </c>
      <c r="P486" s="133" t="s">
        <v>2417</v>
      </c>
      <c r="Q486" s="133" t="s">
        <v>2417</v>
      </c>
      <c r="R486" s="133" t="s">
        <v>2417</v>
      </c>
      <c r="S486" s="133" t="s">
        <v>2417</v>
      </c>
      <c r="T486" s="133" t="s">
        <v>2417</v>
      </c>
      <c r="U486" s="133" t="s">
        <v>2417</v>
      </c>
      <c r="V486" s="133" t="s">
        <v>2595</v>
      </c>
      <c r="W486" s="133" t="s">
        <v>2417</v>
      </c>
      <c r="X486" s="133" t="s">
        <v>2417</v>
      </c>
      <c r="Y486" s="133" t="s">
        <v>2417</v>
      </c>
      <c r="Z486" s="133" t="s">
        <v>2417</v>
      </c>
      <c r="AA486" s="133" t="s">
        <v>2417</v>
      </c>
      <c r="AB486" s="133" t="s">
        <v>2417</v>
      </c>
      <c r="AC486" s="133" t="s">
        <v>2417</v>
      </c>
      <c r="AD486" s="133" t="s">
        <v>2417</v>
      </c>
      <c r="AE486" s="151"/>
    </row>
    <row r="487" spans="1:31" ht="13.2" outlineLevel="2">
      <c r="A487" s="68" t="s">
        <v>1360</v>
      </c>
      <c r="B487" s="62" t="s">
        <v>1361</v>
      </c>
      <c r="C487" s="387" t="s">
        <v>1362</v>
      </c>
      <c r="D487" s="351"/>
      <c r="E487" s="133" t="s">
        <v>2417</v>
      </c>
      <c r="F487" s="133" t="s">
        <v>2421</v>
      </c>
      <c r="G487" s="133" t="s">
        <v>2417</v>
      </c>
      <c r="H487" s="133" t="s">
        <v>2417</v>
      </c>
      <c r="I487" s="134" t="s">
        <v>2418</v>
      </c>
      <c r="J487" s="133" t="s">
        <v>2417</v>
      </c>
      <c r="K487" s="133" t="s">
        <v>2417</v>
      </c>
      <c r="L487" s="133" t="s">
        <v>2417</v>
      </c>
      <c r="M487" s="133" t="s">
        <v>2417</v>
      </c>
      <c r="N487" s="133" t="s">
        <v>2417</v>
      </c>
      <c r="O487" s="133" t="s">
        <v>2417</v>
      </c>
      <c r="P487" s="133" t="s">
        <v>2417</v>
      </c>
      <c r="Q487" s="133" t="s">
        <v>2417</v>
      </c>
      <c r="R487" s="133" t="s">
        <v>2417</v>
      </c>
      <c r="S487" s="133" t="s">
        <v>2417</v>
      </c>
      <c r="T487" s="133" t="s">
        <v>2417</v>
      </c>
      <c r="U487" s="133" t="s">
        <v>2417</v>
      </c>
      <c r="V487" s="133" t="s">
        <v>2596</v>
      </c>
      <c r="W487" s="133" t="s">
        <v>2417</v>
      </c>
      <c r="X487" s="133" t="s">
        <v>2417</v>
      </c>
      <c r="Y487" s="133" t="s">
        <v>2417</v>
      </c>
      <c r="Z487" s="133" t="s">
        <v>2417</v>
      </c>
      <c r="AA487" s="133" t="s">
        <v>2417</v>
      </c>
      <c r="AB487" s="133" t="s">
        <v>2417</v>
      </c>
      <c r="AC487" s="133" t="s">
        <v>2417</v>
      </c>
      <c r="AD487" s="133" t="s">
        <v>2417</v>
      </c>
      <c r="AE487" s="151"/>
    </row>
    <row r="488" spans="1:31" ht="13.2" outlineLevel="1">
      <c r="A488" s="382" t="s">
        <v>1363</v>
      </c>
      <c r="B488" s="350"/>
      <c r="C488" s="350"/>
      <c r="D488" s="351"/>
      <c r="E488" s="133" t="s">
        <v>2417</v>
      </c>
      <c r="F488" s="133" t="s">
        <v>2396</v>
      </c>
      <c r="G488" s="133" t="s">
        <v>2417</v>
      </c>
      <c r="H488" s="133" t="s">
        <v>2417</v>
      </c>
      <c r="I488" s="134" t="s">
        <v>2418</v>
      </c>
      <c r="J488" s="133" t="s">
        <v>2417</v>
      </c>
      <c r="K488" s="133" t="s">
        <v>2417</v>
      </c>
      <c r="L488" s="133" t="s">
        <v>2417</v>
      </c>
      <c r="M488" s="133" t="s">
        <v>2417</v>
      </c>
      <c r="N488" s="133" t="s">
        <v>2417</v>
      </c>
      <c r="O488" s="133" t="s">
        <v>2417</v>
      </c>
      <c r="P488" s="133" t="s">
        <v>2417</v>
      </c>
      <c r="Q488" s="133" t="s">
        <v>2417</v>
      </c>
      <c r="R488" s="133" t="s">
        <v>2417</v>
      </c>
      <c r="S488" s="133" t="s">
        <v>2417</v>
      </c>
      <c r="T488" s="133" t="s">
        <v>2417</v>
      </c>
      <c r="U488" s="133" t="s">
        <v>2417</v>
      </c>
      <c r="V488" s="133" t="s">
        <v>2417</v>
      </c>
      <c r="W488" s="133" t="s">
        <v>2417</v>
      </c>
      <c r="X488" s="133" t="s">
        <v>2417</v>
      </c>
      <c r="Y488" s="133" t="s">
        <v>2417</v>
      </c>
      <c r="Z488" s="133" t="s">
        <v>2417</v>
      </c>
      <c r="AA488" s="133" t="s">
        <v>2417</v>
      </c>
      <c r="AB488" s="133" t="s">
        <v>2417</v>
      </c>
      <c r="AC488" s="133" t="s">
        <v>2417</v>
      </c>
      <c r="AD488" s="133" t="s">
        <v>2417</v>
      </c>
      <c r="AE488" s="143"/>
    </row>
    <row r="489" spans="1:31" ht="13.2" outlineLevel="2">
      <c r="A489" s="68" t="s">
        <v>1364</v>
      </c>
      <c r="B489" s="78"/>
      <c r="C489" s="392" t="s">
        <v>2597</v>
      </c>
      <c r="D489" s="351"/>
      <c r="E489" s="133" t="s">
        <v>2417</v>
      </c>
      <c r="F489" s="133" t="s">
        <v>2396</v>
      </c>
      <c r="G489" s="133" t="s">
        <v>2417</v>
      </c>
      <c r="H489" s="133" t="s">
        <v>2417</v>
      </c>
      <c r="I489" s="134" t="s">
        <v>2418</v>
      </c>
      <c r="J489" s="133" t="s">
        <v>2417</v>
      </c>
      <c r="K489" s="133" t="s">
        <v>2417</v>
      </c>
      <c r="L489" s="133" t="s">
        <v>2417</v>
      </c>
      <c r="M489" s="133" t="s">
        <v>2417</v>
      </c>
      <c r="N489" s="133" t="s">
        <v>2417</v>
      </c>
      <c r="O489" s="133" t="s">
        <v>2417</v>
      </c>
      <c r="P489" s="133" t="s">
        <v>2417</v>
      </c>
      <c r="Q489" s="133" t="s">
        <v>2417</v>
      </c>
      <c r="R489" s="133" t="s">
        <v>2417</v>
      </c>
      <c r="S489" s="133" t="s">
        <v>2417</v>
      </c>
      <c r="T489" s="133" t="s">
        <v>2417</v>
      </c>
      <c r="U489" s="133" t="s">
        <v>2417</v>
      </c>
      <c r="V489" s="133" t="s">
        <v>2417</v>
      </c>
      <c r="W489" s="133" t="s">
        <v>2417</v>
      </c>
      <c r="X489" s="133" t="s">
        <v>2417</v>
      </c>
      <c r="Y489" s="133" t="s">
        <v>2417</v>
      </c>
      <c r="Z489" s="133" t="s">
        <v>2417</v>
      </c>
      <c r="AA489" s="133" t="s">
        <v>2417</v>
      </c>
      <c r="AB489" s="133" t="s">
        <v>2417</v>
      </c>
      <c r="AC489" s="133" t="s">
        <v>2417</v>
      </c>
      <c r="AD489" s="133" t="s">
        <v>2417</v>
      </c>
      <c r="AE489" s="144"/>
    </row>
    <row r="490" spans="1:31" ht="13.2" outlineLevel="2">
      <c r="A490" s="68" t="s">
        <v>1366</v>
      </c>
      <c r="B490" s="62" t="s">
        <v>1313</v>
      </c>
      <c r="C490" s="384"/>
      <c r="D490" s="351"/>
      <c r="E490" s="133" t="s">
        <v>2417</v>
      </c>
      <c r="F490" s="133" t="s">
        <v>2396</v>
      </c>
      <c r="G490" s="133" t="s">
        <v>2417</v>
      </c>
      <c r="H490" s="133" t="s">
        <v>2417</v>
      </c>
      <c r="I490" s="134" t="s">
        <v>2418</v>
      </c>
      <c r="J490" s="133" t="s">
        <v>2417</v>
      </c>
      <c r="K490" s="133" t="s">
        <v>2417</v>
      </c>
      <c r="L490" s="133" t="s">
        <v>2417</v>
      </c>
      <c r="M490" s="133" t="s">
        <v>2417</v>
      </c>
      <c r="N490" s="133" t="s">
        <v>2417</v>
      </c>
      <c r="O490" s="133" t="s">
        <v>2417</v>
      </c>
      <c r="P490" s="133" t="s">
        <v>2417</v>
      </c>
      <c r="Q490" s="133" t="s">
        <v>2417</v>
      </c>
      <c r="R490" s="133" t="s">
        <v>2417</v>
      </c>
      <c r="S490" s="133" t="s">
        <v>2417</v>
      </c>
      <c r="T490" s="133" t="s">
        <v>2417</v>
      </c>
      <c r="U490" s="133" t="s">
        <v>2417</v>
      </c>
      <c r="V490" s="133" t="s">
        <v>2417</v>
      </c>
      <c r="W490" s="133" t="s">
        <v>2417</v>
      </c>
      <c r="X490" s="133" t="s">
        <v>2417</v>
      </c>
      <c r="Y490" s="133" t="s">
        <v>2417</v>
      </c>
      <c r="Z490" s="133" t="s">
        <v>2417</v>
      </c>
      <c r="AA490" s="133" t="s">
        <v>2417</v>
      </c>
      <c r="AB490" s="133" t="s">
        <v>2417</v>
      </c>
      <c r="AC490" s="133" t="s">
        <v>2417</v>
      </c>
      <c r="AD490" s="133" t="s">
        <v>2417</v>
      </c>
      <c r="AE490" s="143"/>
    </row>
    <row r="491" spans="1:31" ht="20.399999999999999" outlineLevel="2">
      <c r="A491" s="68" t="s">
        <v>1367</v>
      </c>
      <c r="B491" s="62" t="s">
        <v>1315</v>
      </c>
      <c r="C491" s="384"/>
      <c r="D491" s="351"/>
      <c r="E491" s="133" t="s">
        <v>2417</v>
      </c>
      <c r="F491" s="133" t="s">
        <v>2396</v>
      </c>
      <c r="G491" s="133" t="s">
        <v>2417</v>
      </c>
      <c r="H491" s="133" t="s">
        <v>2417</v>
      </c>
      <c r="I491" s="134" t="s">
        <v>2418</v>
      </c>
      <c r="J491" s="133" t="s">
        <v>2417</v>
      </c>
      <c r="K491" s="133" t="s">
        <v>2417</v>
      </c>
      <c r="L491" s="133" t="s">
        <v>2417</v>
      </c>
      <c r="M491" s="133" t="s">
        <v>2417</v>
      </c>
      <c r="N491" s="133" t="s">
        <v>2417</v>
      </c>
      <c r="O491" s="133" t="s">
        <v>2417</v>
      </c>
      <c r="P491" s="133" t="s">
        <v>2417</v>
      </c>
      <c r="Q491" s="133" t="s">
        <v>2417</v>
      </c>
      <c r="R491" s="133" t="s">
        <v>2417</v>
      </c>
      <c r="S491" s="133" t="s">
        <v>2417</v>
      </c>
      <c r="T491" s="133" t="s">
        <v>2417</v>
      </c>
      <c r="U491" s="133" t="s">
        <v>2417</v>
      </c>
      <c r="V491" s="133" t="s">
        <v>2417</v>
      </c>
      <c r="W491" s="133" t="s">
        <v>2417</v>
      </c>
      <c r="X491" s="133" t="s">
        <v>2417</v>
      </c>
      <c r="Y491" s="133" t="s">
        <v>2417</v>
      </c>
      <c r="Z491" s="133" t="s">
        <v>2417</v>
      </c>
      <c r="AA491" s="133" t="s">
        <v>2417</v>
      </c>
      <c r="AB491" s="133" t="s">
        <v>2417</v>
      </c>
      <c r="AC491" s="133" t="s">
        <v>2417</v>
      </c>
      <c r="AD491" s="133" t="s">
        <v>2417</v>
      </c>
      <c r="AE491" s="143"/>
    </row>
    <row r="492" spans="1:31" ht="30.6" outlineLevel="2">
      <c r="A492" s="68" t="s">
        <v>1368</v>
      </c>
      <c r="B492" s="62" t="s">
        <v>1369</v>
      </c>
      <c r="C492" s="387" t="s">
        <v>1370</v>
      </c>
      <c r="D492" s="351"/>
      <c r="E492" s="133" t="s">
        <v>2417</v>
      </c>
      <c r="F492" s="133" t="s">
        <v>2396</v>
      </c>
      <c r="G492" s="133" t="s">
        <v>2417</v>
      </c>
      <c r="H492" s="133" t="s">
        <v>2417</v>
      </c>
      <c r="I492" s="134" t="s">
        <v>2418</v>
      </c>
      <c r="J492" s="133" t="s">
        <v>2417</v>
      </c>
      <c r="K492" s="133" t="s">
        <v>2417</v>
      </c>
      <c r="L492" s="133" t="s">
        <v>2417</v>
      </c>
      <c r="M492" s="133" t="s">
        <v>2417</v>
      </c>
      <c r="N492" s="133" t="s">
        <v>2417</v>
      </c>
      <c r="O492" s="133" t="s">
        <v>2417</v>
      </c>
      <c r="P492" s="133" t="s">
        <v>2417</v>
      </c>
      <c r="Q492" s="133" t="s">
        <v>2417</v>
      </c>
      <c r="R492" s="133" t="s">
        <v>2417</v>
      </c>
      <c r="S492" s="133" t="s">
        <v>2417</v>
      </c>
      <c r="T492" s="133" t="s">
        <v>2417</v>
      </c>
      <c r="U492" s="133" t="s">
        <v>2417</v>
      </c>
      <c r="V492" s="133" t="s">
        <v>2417</v>
      </c>
      <c r="W492" s="133" t="s">
        <v>2417</v>
      </c>
      <c r="X492" s="133" t="s">
        <v>2417</v>
      </c>
      <c r="Y492" s="133" t="s">
        <v>2417</v>
      </c>
      <c r="Z492" s="133" t="s">
        <v>2417</v>
      </c>
      <c r="AA492" s="133" t="s">
        <v>2417</v>
      </c>
      <c r="AB492" s="133" t="s">
        <v>2417</v>
      </c>
      <c r="AC492" s="133" t="s">
        <v>2417</v>
      </c>
      <c r="AD492" s="133" t="s">
        <v>2417</v>
      </c>
      <c r="AE492" s="144"/>
    </row>
    <row r="493" spans="1:31" ht="30.6" outlineLevel="2">
      <c r="A493" s="68" t="s">
        <v>1371</v>
      </c>
      <c r="B493" s="62" t="s">
        <v>1372</v>
      </c>
      <c r="C493" s="387" t="s">
        <v>1373</v>
      </c>
      <c r="D493" s="351"/>
      <c r="E493" s="133" t="s">
        <v>2417</v>
      </c>
      <c r="F493" s="133" t="s">
        <v>2396</v>
      </c>
      <c r="G493" s="133" t="s">
        <v>2417</v>
      </c>
      <c r="H493" s="133" t="s">
        <v>2417</v>
      </c>
      <c r="I493" s="134" t="s">
        <v>2418</v>
      </c>
      <c r="J493" s="133" t="s">
        <v>2417</v>
      </c>
      <c r="K493" s="133" t="s">
        <v>2417</v>
      </c>
      <c r="L493" s="133" t="s">
        <v>2417</v>
      </c>
      <c r="M493" s="133" t="s">
        <v>2417</v>
      </c>
      <c r="N493" s="133" t="s">
        <v>2417</v>
      </c>
      <c r="O493" s="133" t="s">
        <v>2417</v>
      </c>
      <c r="P493" s="133" t="s">
        <v>2417</v>
      </c>
      <c r="Q493" s="133" t="s">
        <v>2417</v>
      </c>
      <c r="R493" s="133" t="s">
        <v>2417</v>
      </c>
      <c r="S493" s="133" t="s">
        <v>2417</v>
      </c>
      <c r="T493" s="133" t="s">
        <v>2417</v>
      </c>
      <c r="U493" s="133" t="s">
        <v>2417</v>
      </c>
      <c r="V493" s="133" t="s">
        <v>2417</v>
      </c>
      <c r="W493" s="133" t="s">
        <v>2417</v>
      </c>
      <c r="X493" s="133" t="s">
        <v>2417</v>
      </c>
      <c r="Y493" s="133" t="s">
        <v>2417</v>
      </c>
      <c r="Z493" s="133" t="s">
        <v>2417</v>
      </c>
      <c r="AA493" s="133" t="s">
        <v>2417</v>
      </c>
      <c r="AB493" s="133" t="s">
        <v>2417</v>
      </c>
      <c r="AC493" s="133" t="s">
        <v>2417</v>
      </c>
      <c r="AD493" s="133" t="s">
        <v>2417</v>
      </c>
      <c r="AE493" s="144"/>
    </row>
    <row r="494" spans="1:31" ht="20.399999999999999" outlineLevel="2">
      <c r="A494" s="68" t="s">
        <v>1374</v>
      </c>
      <c r="B494" s="62" t="s">
        <v>1375</v>
      </c>
      <c r="C494" s="387" t="s">
        <v>1376</v>
      </c>
      <c r="D494" s="351"/>
      <c r="E494" s="133" t="s">
        <v>2417</v>
      </c>
      <c r="F494" s="133" t="s">
        <v>2396</v>
      </c>
      <c r="G494" s="133" t="s">
        <v>2417</v>
      </c>
      <c r="H494" s="133" t="s">
        <v>2417</v>
      </c>
      <c r="I494" s="134" t="s">
        <v>2418</v>
      </c>
      <c r="J494" s="133" t="s">
        <v>2417</v>
      </c>
      <c r="K494" s="133" t="s">
        <v>2417</v>
      </c>
      <c r="L494" s="133" t="s">
        <v>2417</v>
      </c>
      <c r="M494" s="133" t="s">
        <v>2417</v>
      </c>
      <c r="N494" s="133" t="s">
        <v>2417</v>
      </c>
      <c r="O494" s="133" t="s">
        <v>2417</v>
      </c>
      <c r="P494" s="133" t="s">
        <v>2417</v>
      </c>
      <c r="Q494" s="133" t="s">
        <v>2417</v>
      </c>
      <c r="R494" s="133" t="s">
        <v>2417</v>
      </c>
      <c r="S494" s="133" t="s">
        <v>2417</v>
      </c>
      <c r="T494" s="133" t="s">
        <v>2417</v>
      </c>
      <c r="U494" s="133" t="s">
        <v>2417</v>
      </c>
      <c r="V494" s="133" t="s">
        <v>2417</v>
      </c>
      <c r="W494" s="133" t="s">
        <v>2417</v>
      </c>
      <c r="X494" s="133" t="s">
        <v>2417</v>
      </c>
      <c r="Y494" s="133" t="s">
        <v>2417</v>
      </c>
      <c r="Z494" s="133" t="s">
        <v>2417</v>
      </c>
      <c r="AA494" s="133" t="s">
        <v>2417</v>
      </c>
      <c r="AB494" s="133" t="s">
        <v>2417</v>
      </c>
      <c r="AC494" s="133" t="s">
        <v>2417</v>
      </c>
      <c r="AD494" s="133" t="s">
        <v>2417</v>
      </c>
      <c r="AE494" s="144"/>
    </row>
    <row r="495" spans="1:31" ht="30.6" hidden="1" outlineLevel="2">
      <c r="A495" s="68" t="s">
        <v>1377</v>
      </c>
      <c r="B495" s="62" t="s">
        <v>1378</v>
      </c>
      <c r="C495" s="387" t="s">
        <v>1379</v>
      </c>
      <c r="D495" s="351"/>
      <c r="E495" s="133" t="s">
        <v>2417</v>
      </c>
      <c r="F495" s="133" t="s">
        <v>2396</v>
      </c>
      <c r="G495" s="133" t="s">
        <v>2417</v>
      </c>
      <c r="H495" s="133" t="s">
        <v>2417</v>
      </c>
      <c r="I495" s="134" t="s">
        <v>2418</v>
      </c>
      <c r="J495" s="133" t="s">
        <v>2417</v>
      </c>
      <c r="K495" s="135" t="s">
        <v>2424</v>
      </c>
      <c r="L495" s="133" t="s">
        <v>2417</v>
      </c>
      <c r="M495" s="133" t="s">
        <v>2417</v>
      </c>
      <c r="N495" s="133" t="s">
        <v>2417</v>
      </c>
      <c r="O495" s="133" t="s">
        <v>2417</v>
      </c>
      <c r="P495" s="133" t="s">
        <v>2417</v>
      </c>
      <c r="Q495" s="133" t="s">
        <v>2417</v>
      </c>
      <c r="R495" s="133" t="s">
        <v>2417</v>
      </c>
      <c r="S495" s="133" t="s">
        <v>2417</v>
      </c>
      <c r="T495" s="133" t="s">
        <v>2417</v>
      </c>
      <c r="U495" s="133" t="s">
        <v>2417</v>
      </c>
      <c r="V495" s="133" t="s">
        <v>2417</v>
      </c>
      <c r="W495" s="133" t="s">
        <v>2417</v>
      </c>
      <c r="X495" s="133" t="s">
        <v>2417</v>
      </c>
      <c r="Y495" s="133" t="s">
        <v>2417</v>
      </c>
      <c r="Z495" s="133" t="s">
        <v>2417</v>
      </c>
      <c r="AA495" s="133" t="s">
        <v>2417</v>
      </c>
      <c r="AB495" s="133" t="s">
        <v>2417</v>
      </c>
      <c r="AC495" s="133" t="s">
        <v>2417</v>
      </c>
      <c r="AD495" s="133" t="s">
        <v>2417</v>
      </c>
      <c r="AE495" s="144"/>
    </row>
    <row r="496" spans="1:31" ht="20.399999999999999" hidden="1" outlineLevel="2">
      <c r="A496" s="68" t="s">
        <v>1380</v>
      </c>
      <c r="B496" s="62" t="s">
        <v>1381</v>
      </c>
      <c r="C496" s="387" t="s">
        <v>1382</v>
      </c>
      <c r="D496" s="351"/>
      <c r="E496" s="133" t="s">
        <v>2417</v>
      </c>
      <c r="F496" s="133" t="s">
        <v>2396</v>
      </c>
      <c r="G496" s="133" t="s">
        <v>2417</v>
      </c>
      <c r="H496" s="133" t="s">
        <v>2417</v>
      </c>
      <c r="I496" s="134" t="s">
        <v>2418</v>
      </c>
      <c r="J496" s="133" t="s">
        <v>2417</v>
      </c>
      <c r="K496" s="135" t="s">
        <v>2424</v>
      </c>
      <c r="L496" s="133" t="s">
        <v>2417</v>
      </c>
      <c r="M496" s="133" t="s">
        <v>2417</v>
      </c>
      <c r="N496" s="133" t="s">
        <v>2417</v>
      </c>
      <c r="O496" s="133" t="s">
        <v>2417</v>
      </c>
      <c r="P496" s="133" t="s">
        <v>2417</v>
      </c>
      <c r="Q496" s="133" t="s">
        <v>2417</v>
      </c>
      <c r="R496" s="133" t="s">
        <v>2417</v>
      </c>
      <c r="S496" s="133" t="s">
        <v>2417</v>
      </c>
      <c r="T496" s="133" t="s">
        <v>2417</v>
      </c>
      <c r="U496" s="133" t="s">
        <v>2417</v>
      </c>
      <c r="V496" s="133" t="s">
        <v>2417</v>
      </c>
      <c r="W496" s="133" t="s">
        <v>2417</v>
      </c>
      <c r="X496" s="133" t="s">
        <v>2417</v>
      </c>
      <c r="Y496" s="133" t="s">
        <v>2417</v>
      </c>
      <c r="Z496" s="133" t="s">
        <v>2417</v>
      </c>
      <c r="AA496" s="133" t="s">
        <v>2417</v>
      </c>
      <c r="AB496" s="133" t="s">
        <v>2417</v>
      </c>
      <c r="AC496" s="133" t="s">
        <v>2417</v>
      </c>
      <c r="AD496" s="133" t="s">
        <v>2417</v>
      </c>
      <c r="AE496" s="144"/>
    </row>
    <row r="497" spans="1:31" ht="13.2" outlineLevel="1">
      <c r="A497" s="384" t="s">
        <v>1383</v>
      </c>
      <c r="B497" s="350"/>
      <c r="C497" s="350"/>
      <c r="D497" s="351"/>
      <c r="E497" s="133" t="s">
        <v>2417</v>
      </c>
      <c r="F497" s="133" t="s">
        <v>2426</v>
      </c>
      <c r="G497" s="133" t="s">
        <v>2417</v>
      </c>
      <c r="H497" s="133" t="s">
        <v>2417</v>
      </c>
      <c r="I497" s="134" t="s">
        <v>2418</v>
      </c>
      <c r="J497" s="133" t="s">
        <v>2417</v>
      </c>
      <c r="K497" s="133" t="s">
        <v>2417</v>
      </c>
      <c r="L497" s="133" t="s">
        <v>2417</v>
      </c>
      <c r="M497" s="133" t="s">
        <v>2417</v>
      </c>
      <c r="N497" s="133" t="s">
        <v>2417</v>
      </c>
      <c r="O497" s="133" t="s">
        <v>2417</v>
      </c>
      <c r="P497" s="133" t="s">
        <v>2417</v>
      </c>
      <c r="Q497" s="133" t="s">
        <v>2417</v>
      </c>
      <c r="R497" s="133" t="s">
        <v>2417</v>
      </c>
      <c r="S497" s="133" t="s">
        <v>2417</v>
      </c>
      <c r="T497" s="133" t="s">
        <v>2417</v>
      </c>
      <c r="U497" s="133" t="s">
        <v>2417</v>
      </c>
      <c r="V497" s="133" t="s">
        <v>2417</v>
      </c>
      <c r="W497" s="133" t="s">
        <v>2417</v>
      </c>
      <c r="X497" s="133" t="s">
        <v>2417</v>
      </c>
      <c r="Y497" s="133" t="s">
        <v>2417</v>
      </c>
      <c r="Z497" s="133" t="s">
        <v>2417</v>
      </c>
      <c r="AA497" s="133" t="s">
        <v>2417</v>
      </c>
      <c r="AB497" s="133" t="s">
        <v>2417</v>
      </c>
      <c r="AC497" s="133" t="s">
        <v>2417</v>
      </c>
      <c r="AD497" s="133" t="s">
        <v>2417</v>
      </c>
      <c r="AE497" s="152"/>
    </row>
    <row r="498" spans="1:31" ht="13.2" outlineLevel="2">
      <c r="A498" s="68" t="s">
        <v>1384</v>
      </c>
      <c r="B498" s="78"/>
      <c r="C498" s="389" t="s">
        <v>1385</v>
      </c>
      <c r="D498" s="351"/>
      <c r="E498" s="133" t="s">
        <v>2417</v>
      </c>
      <c r="F498" s="133" t="s">
        <v>2426</v>
      </c>
      <c r="G498" s="133" t="s">
        <v>2417</v>
      </c>
      <c r="H498" s="133" t="s">
        <v>2417</v>
      </c>
      <c r="I498" s="134" t="s">
        <v>2418</v>
      </c>
      <c r="J498" s="133" t="s">
        <v>2417</v>
      </c>
      <c r="K498" s="133" t="s">
        <v>2417</v>
      </c>
      <c r="L498" s="133" t="s">
        <v>2417</v>
      </c>
      <c r="M498" s="133" t="s">
        <v>2417</v>
      </c>
      <c r="N498" s="133" t="s">
        <v>2417</v>
      </c>
      <c r="O498" s="133" t="s">
        <v>2417</v>
      </c>
      <c r="P498" s="133" t="s">
        <v>2417</v>
      </c>
      <c r="Q498" s="133" t="s">
        <v>2417</v>
      </c>
      <c r="R498" s="133" t="s">
        <v>2417</v>
      </c>
      <c r="S498" s="133" t="s">
        <v>2417</v>
      </c>
      <c r="T498" s="133" t="s">
        <v>2417</v>
      </c>
      <c r="U498" s="133" t="s">
        <v>2417</v>
      </c>
      <c r="V498" s="133" t="s">
        <v>2417</v>
      </c>
      <c r="W498" s="133" t="s">
        <v>2417</v>
      </c>
      <c r="X498" s="133" t="s">
        <v>2417</v>
      </c>
      <c r="Y498" s="133" t="s">
        <v>2417</v>
      </c>
      <c r="Z498" s="133" t="s">
        <v>2417</v>
      </c>
      <c r="AA498" s="133" t="s">
        <v>2417</v>
      </c>
      <c r="AB498" s="133" t="s">
        <v>2417</v>
      </c>
      <c r="AC498" s="133" t="s">
        <v>2417</v>
      </c>
      <c r="AD498" s="133" t="s">
        <v>2417</v>
      </c>
      <c r="AE498" s="137"/>
    </row>
    <row r="499" spans="1:31" ht="30.6" outlineLevel="2">
      <c r="A499" s="68" t="s">
        <v>1386</v>
      </c>
      <c r="B499" s="62" t="s">
        <v>1387</v>
      </c>
      <c r="C499" s="387" t="s">
        <v>1388</v>
      </c>
      <c r="D499" s="351"/>
      <c r="E499" s="133" t="s">
        <v>2417</v>
      </c>
      <c r="F499" s="133" t="s">
        <v>2426</v>
      </c>
      <c r="G499" s="133" t="s">
        <v>2417</v>
      </c>
      <c r="H499" s="133" t="s">
        <v>2417</v>
      </c>
      <c r="I499" s="134" t="s">
        <v>2418</v>
      </c>
      <c r="J499" s="133" t="s">
        <v>2417</v>
      </c>
      <c r="K499" s="133" t="s">
        <v>2417</v>
      </c>
      <c r="L499" s="133" t="s">
        <v>2417</v>
      </c>
      <c r="M499" s="133" t="s">
        <v>2417</v>
      </c>
      <c r="N499" s="133" t="s">
        <v>2417</v>
      </c>
      <c r="O499" s="133" t="s">
        <v>2417</v>
      </c>
      <c r="P499" s="133" t="s">
        <v>2417</v>
      </c>
      <c r="Q499" s="133" t="s">
        <v>2417</v>
      </c>
      <c r="R499" s="133" t="s">
        <v>2417</v>
      </c>
      <c r="S499" s="133" t="s">
        <v>2417</v>
      </c>
      <c r="T499" s="133" t="s">
        <v>2417</v>
      </c>
      <c r="U499" s="133" t="s">
        <v>2417</v>
      </c>
      <c r="V499" s="133" t="s">
        <v>2417</v>
      </c>
      <c r="W499" s="133" t="s">
        <v>2417</v>
      </c>
      <c r="X499" s="133" t="s">
        <v>2417</v>
      </c>
      <c r="Y499" s="133" t="s">
        <v>2417</v>
      </c>
      <c r="Z499" s="133" t="s">
        <v>2417</v>
      </c>
      <c r="AA499" s="133" t="s">
        <v>2417</v>
      </c>
      <c r="AB499" s="133" t="s">
        <v>2417</v>
      </c>
      <c r="AC499" s="133" t="s">
        <v>2417</v>
      </c>
      <c r="AD499" s="133" t="s">
        <v>2417</v>
      </c>
      <c r="AE499" s="151"/>
    </row>
    <row r="500" spans="1:31" ht="30.6" outlineLevel="2">
      <c r="A500" s="68" t="s">
        <v>1389</v>
      </c>
      <c r="B500" s="62" t="s">
        <v>1390</v>
      </c>
      <c r="C500" s="387" t="s">
        <v>1391</v>
      </c>
      <c r="D500" s="351"/>
      <c r="E500" s="133" t="s">
        <v>2417</v>
      </c>
      <c r="F500" s="133" t="s">
        <v>2426</v>
      </c>
      <c r="G500" s="133" t="s">
        <v>2417</v>
      </c>
      <c r="H500" s="133" t="s">
        <v>2417</v>
      </c>
      <c r="I500" s="134" t="s">
        <v>2418</v>
      </c>
      <c r="J500" s="133" t="s">
        <v>2417</v>
      </c>
      <c r="K500" s="133" t="s">
        <v>2417</v>
      </c>
      <c r="L500" s="133" t="s">
        <v>2417</v>
      </c>
      <c r="M500" s="133" t="s">
        <v>2417</v>
      </c>
      <c r="N500" s="133" t="s">
        <v>2417</v>
      </c>
      <c r="O500" s="133" t="s">
        <v>2417</v>
      </c>
      <c r="P500" s="133" t="s">
        <v>2417</v>
      </c>
      <c r="Q500" s="133" t="s">
        <v>2417</v>
      </c>
      <c r="R500" s="133" t="s">
        <v>2417</v>
      </c>
      <c r="S500" s="133" t="s">
        <v>2417</v>
      </c>
      <c r="T500" s="133" t="s">
        <v>2417</v>
      </c>
      <c r="U500" s="133" t="s">
        <v>2417</v>
      </c>
      <c r="V500" s="133" t="s">
        <v>2417</v>
      </c>
      <c r="W500" s="133" t="s">
        <v>2417</v>
      </c>
      <c r="X500" s="133" t="s">
        <v>2417</v>
      </c>
      <c r="Y500" s="133" t="s">
        <v>2417</v>
      </c>
      <c r="Z500" s="133" t="s">
        <v>2417</v>
      </c>
      <c r="AA500" s="133" t="s">
        <v>2417</v>
      </c>
      <c r="AB500" s="133" t="s">
        <v>2417</v>
      </c>
      <c r="AC500" s="133" t="s">
        <v>2417</v>
      </c>
      <c r="AD500" s="133" t="s">
        <v>2417</v>
      </c>
      <c r="AE500" s="151"/>
    </row>
    <row r="501" spans="1:31" ht="13.2" outlineLevel="2">
      <c r="A501" s="68" t="s">
        <v>1392</v>
      </c>
      <c r="B501" s="62" t="s">
        <v>1393</v>
      </c>
      <c r="C501" s="387" t="s">
        <v>1391</v>
      </c>
      <c r="D501" s="351"/>
      <c r="E501" s="133" t="s">
        <v>2417</v>
      </c>
      <c r="F501" s="133" t="s">
        <v>2426</v>
      </c>
      <c r="G501" s="133" t="s">
        <v>2417</v>
      </c>
      <c r="H501" s="133" t="s">
        <v>2417</v>
      </c>
      <c r="I501" s="134" t="s">
        <v>2418</v>
      </c>
      <c r="J501" s="133" t="s">
        <v>2417</v>
      </c>
      <c r="K501" s="133" t="s">
        <v>2417</v>
      </c>
      <c r="L501" s="133" t="s">
        <v>2417</v>
      </c>
      <c r="M501" s="133" t="s">
        <v>2417</v>
      </c>
      <c r="N501" s="133" t="s">
        <v>2417</v>
      </c>
      <c r="O501" s="133" t="s">
        <v>2417</v>
      </c>
      <c r="P501" s="133" t="s">
        <v>2417</v>
      </c>
      <c r="Q501" s="133" t="s">
        <v>2417</v>
      </c>
      <c r="R501" s="133" t="s">
        <v>2417</v>
      </c>
      <c r="S501" s="133" t="s">
        <v>2417</v>
      </c>
      <c r="T501" s="133" t="s">
        <v>2417</v>
      </c>
      <c r="U501" s="133" t="s">
        <v>2417</v>
      </c>
      <c r="V501" s="133" t="s">
        <v>2417</v>
      </c>
      <c r="W501" s="133" t="s">
        <v>2417</v>
      </c>
      <c r="X501" s="133" t="s">
        <v>2417</v>
      </c>
      <c r="Y501" s="133" t="s">
        <v>2417</v>
      </c>
      <c r="Z501" s="133" t="s">
        <v>2417</v>
      </c>
      <c r="AA501" s="133" t="s">
        <v>2417</v>
      </c>
      <c r="AB501" s="133" t="s">
        <v>2417</v>
      </c>
      <c r="AC501" s="133" t="s">
        <v>2417</v>
      </c>
      <c r="AD501" s="133" t="s">
        <v>2417</v>
      </c>
      <c r="AE501" s="151"/>
    </row>
    <row r="502" spans="1:31" ht="13.2" outlineLevel="2">
      <c r="A502" s="68" t="s">
        <v>1394</v>
      </c>
      <c r="B502" s="62" t="s">
        <v>1395</v>
      </c>
      <c r="C502" s="387" t="s">
        <v>1396</v>
      </c>
      <c r="D502" s="351"/>
      <c r="E502" s="133" t="s">
        <v>2417</v>
      </c>
      <c r="F502" s="133" t="s">
        <v>2426</v>
      </c>
      <c r="G502" s="133" t="s">
        <v>2417</v>
      </c>
      <c r="H502" s="133" t="s">
        <v>2417</v>
      </c>
      <c r="I502" s="134" t="s">
        <v>2418</v>
      </c>
      <c r="J502" s="133" t="s">
        <v>2417</v>
      </c>
      <c r="K502" s="133" t="s">
        <v>2417</v>
      </c>
      <c r="L502" s="133" t="s">
        <v>2417</v>
      </c>
      <c r="M502" s="133" t="s">
        <v>2417</v>
      </c>
      <c r="N502" s="133" t="s">
        <v>2417</v>
      </c>
      <c r="O502" s="133" t="s">
        <v>2417</v>
      </c>
      <c r="P502" s="133" t="s">
        <v>2417</v>
      </c>
      <c r="Q502" s="133" t="s">
        <v>2417</v>
      </c>
      <c r="R502" s="133" t="s">
        <v>2417</v>
      </c>
      <c r="S502" s="133" t="s">
        <v>2417</v>
      </c>
      <c r="T502" s="133" t="s">
        <v>2417</v>
      </c>
      <c r="U502" s="133" t="s">
        <v>2417</v>
      </c>
      <c r="V502" s="133" t="s">
        <v>2417</v>
      </c>
      <c r="W502" s="133" t="s">
        <v>2417</v>
      </c>
      <c r="X502" s="133" t="s">
        <v>2417</v>
      </c>
      <c r="Y502" s="133" t="s">
        <v>2417</v>
      </c>
      <c r="Z502" s="133" t="s">
        <v>2417</v>
      </c>
      <c r="AA502" s="133" t="s">
        <v>2417</v>
      </c>
      <c r="AB502" s="133" t="s">
        <v>2417</v>
      </c>
      <c r="AC502" s="133" t="s">
        <v>2417</v>
      </c>
      <c r="AD502" s="133" t="s">
        <v>2417</v>
      </c>
      <c r="AE502" s="144"/>
    </row>
    <row r="503" spans="1:31" ht="20.399999999999999" outlineLevel="2">
      <c r="A503" s="68" t="s">
        <v>1397</v>
      </c>
      <c r="B503" s="62" t="s">
        <v>1398</v>
      </c>
      <c r="C503" s="387" t="s">
        <v>1399</v>
      </c>
      <c r="D503" s="351"/>
      <c r="E503" s="133" t="s">
        <v>2417</v>
      </c>
      <c r="F503" s="133" t="s">
        <v>2426</v>
      </c>
      <c r="G503" s="133" t="s">
        <v>2417</v>
      </c>
      <c r="H503" s="133" t="s">
        <v>2417</v>
      </c>
      <c r="I503" s="134" t="s">
        <v>2418</v>
      </c>
      <c r="J503" s="133" t="s">
        <v>2417</v>
      </c>
      <c r="K503" s="133" t="s">
        <v>2417</v>
      </c>
      <c r="L503" s="133" t="s">
        <v>2417</v>
      </c>
      <c r="M503" s="133" t="s">
        <v>2417</v>
      </c>
      <c r="N503" s="133" t="s">
        <v>2417</v>
      </c>
      <c r="O503" s="133" t="s">
        <v>2417</v>
      </c>
      <c r="P503" s="133" t="s">
        <v>2417</v>
      </c>
      <c r="Q503" s="133" t="s">
        <v>2417</v>
      </c>
      <c r="R503" s="133" t="s">
        <v>2417</v>
      </c>
      <c r="S503" s="133" t="s">
        <v>2417</v>
      </c>
      <c r="T503" s="133" t="s">
        <v>2417</v>
      </c>
      <c r="U503" s="133" t="s">
        <v>2417</v>
      </c>
      <c r="V503" s="133" t="s">
        <v>2417</v>
      </c>
      <c r="W503" s="133" t="s">
        <v>2417</v>
      </c>
      <c r="X503" s="133" t="s">
        <v>2417</v>
      </c>
      <c r="Y503" s="133" t="s">
        <v>2417</v>
      </c>
      <c r="Z503" s="133" t="s">
        <v>2417</v>
      </c>
      <c r="AA503" s="133" t="s">
        <v>2417</v>
      </c>
      <c r="AB503" s="133" t="s">
        <v>2417</v>
      </c>
      <c r="AC503" s="133" t="s">
        <v>2417</v>
      </c>
      <c r="AD503" s="133" t="s">
        <v>2417</v>
      </c>
      <c r="AE503" s="151"/>
    </row>
    <row r="504" spans="1:31" ht="13.2" outlineLevel="1">
      <c r="A504" s="386" t="s">
        <v>1400</v>
      </c>
      <c r="B504" s="350"/>
      <c r="C504" s="350"/>
      <c r="D504" s="351"/>
      <c r="E504" s="133" t="s">
        <v>2417</v>
      </c>
      <c r="F504" s="133" t="s">
        <v>2598</v>
      </c>
      <c r="G504" s="133" t="s">
        <v>2417</v>
      </c>
      <c r="H504" s="133" t="s">
        <v>2417</v>
      </c>
      <c r="I504" s="134" t="s">
        <v>2418</v>
      </c>
      <c r="J504" s="133" t="s">
        <v>2417</v>
      </c>
      <c r="K504" s="133" t="s">
        <v>2417</v>
      </c>
      <c r="L504" s="133" t="s">
        <v>2417</v>
      </c>
      <c r="M504" s="133" t="s">
        <v>2417</v>
      </c>
      <c r="N504" s="133" t="s">
        <v>2417</v>
      </c>
      <c r="O504" s="133" t="s">
        <v>2417</v>
      </c>
      <c r="P504" s="133" t="s">
        <v>2417</v>
      </c>
      <c r="Q504" s="133" t="s">
        <v>2417</v>
      </c>
      <c r="R504" s="133" t="s">
        <v>2417</v>
      </c>
      <c r="S504" s="133" t="s">
        <v>2417</v>
      </c>
      <c r="T504" s="133" t="s">
        <v>2417</v>
      </c>
      <c r="U504" s="133" t="s">
        <v>2417</v>
      </c>
      <c r="V504" s="133" t="s">
        <v>2417</v>
      </c>
      <c r="W504" s="133" t="s">
        <v>2417</v>
      </c>
      <c r="X504" s="133" t="s">
        <v>2417</v>
      </c>
      <c r="Y504" s="133" t="s">
        <v>2417</v>
      </c>
      <c r="Z504" s="133" t="s">
        <v>2417</v>
      </c>
      <c r="AA504" s="133" t="s">
        <v>2417</v>
      </c>
      <c r="AB504" s="133" t="s">
        <v>2417</v>
      </c>
      <c r="AC504" s="133" t="s">
        <v>2417</v>
      </c>
      <c r="AD504" s="133" t="s">
        <v>2417</v>
      </c>
      <c r="AE504" s="153"/>
    </row>
    <row r="505" spans="1:31" ht="13.2" outlineLevel="2">
      <c r="A505" s="68" t="s">
        <v>1401</v>
      </c>
      <c r="B505" s="65"/>
      <c r="C505" s="360" t="s">
        <v>1402</v>
      </c>
      <c r="D505" s="351"/>
      <c r="E505" s="133" t="s">
        <v>2417</v>
      </c>
      <c r="F505" s="133" t="s">
        <v>2598</v>
      </c>
      <c r="G505" s="133" t="s">
        <v>2417</v>
      </c>
      <c r="H505" s="133" t="s">
        <v>2417</v>
      </c>
      <c r="I505" s="134" t="s">
        <v>2418</v>
      </c>
      <c r="J505" s="133" t="s">
        <v>2417</v>
      </c>
      <c r="K505" s="133" t="s">
        <v>2417</v>
      </c>
      <c r="L505" s="133" t="s">
        <v>2417</v>
      </c>
      <c r="M505" s="133" t="s">
        <v>2417</v>
      </c>
      <c r="N505" s="133" t="s">
        <v>2417</v>
      </c>
      <c r="O505" s="133" t="s">
        <v>2417</v>
      </c>
      <c r="P505" s="133" t="s">
        <v>2417</v>
      </c>
      <c r="Q505" s="133" t="s">
        <v>2417</v>
      </c>
      <c r="R505" s="133" t="s">
        <v>2417</v>
      </c>
      <c r="S505" s="133" t="s">
        <v>2417</v>
      </c>
      <c r="T505" s="133" t="s">
        <v>2417</v>
      </c>
      <c r="U505" s="133" t="s">
        <v>2417</v>
      </c>
      <c r="V505" s="133" t="s">
        <v>2417</v>
      </c>
      <c r="W505" s="133" t="s">
        <v>2417</v>
      </c>
      <c r="X505" s="133" t="s">
        <v>2417</v>
      </c>
      <c r="Y505" s="133" t="s">
        <v>2417</v>
      </c>
      <c r="Z505" s="133" t="s">
        <v>2417</v>
      </c>
      <c r="AA505" s="133" t="s">
        <v>2417</v>
      </c>
      <c r="AB505" s="133" t="s">
        <v>2417</v>
      </c>
      <c r="AC505" s="133" t="s">
        <v>2417</v>
      </c>
      <c r="AD505" s="133" t="s">
        <v>2417</v>
      </c>
      <c r="AE505" s="123"/>
    </row>
    <row r="506" spans="1:31" ht="13.2" outlineLevel="2">
      <c r="A506" s="68" t="s">
        <v>1403</v>
      </c>
      <c r="B506" s="62" t="s">
        <v>1404</v>
      </c>
      <c r="C506" s="387" t="s">
        <v>1391</v>
      </c>
      <c r="D506" s="351"/>
      <c r="E506" s="133" t="s">
        <v>2417</v>
      </c>
      <c r="F506" s="133" t="s">
        <v>2598</v>
      </c>
      <c r="G506" s="133" t="s">
        <v>2417</v>
      </c>
      <c r="H506" s="133" t="s">
        <v>2417</v>
      </c>
      <c r="I506" s="134" t="s">
        <v>2418</v>
      </c>
      <c r="J506" s="133" t="s">
        <v>2417</v>
      </c>
      <c r="K506" s="133" t="s">
        <v>2417</v>
      </c>
      <c r="L506" s="133" t="s">
        <v>2417</v>
      </c>
      <c r="M506" s="133" t="s">
        <v>2417</v>
      </c>
      <c r="N506" s="133" t="s">
        <v>2417</v>
      </c>
      <c r="O506" s="133" t="s">
        <v>2417</v>
      </c>
      <c r="P506" s="133" t="s">
        <v>2417</v>
      </c>
      <c r="Q506" s="133" t="s">
        <v>2417</v>
      </c>
      <c r="R506" s="133" t="s">
        <v>2417</v>
      </c>
      <c r="S506" s="133" t="s">
        <v>2417</v>
      </c>
      <c r="T506" s="133" t="s">
        <v>2417</v>
      </c>
      <c r="U506" s="133" t="s">
        <v>2417</v>
      </c>
      <c r="V506" s="133" t="s">
        <v>2417</v>
      </c>
      <c r="W506" s="133" t="s">
        <v>2417</v>
      </c>
      <c r="X506" s="133" t="s">
        <v>2417</v>
      </c>
      <c r="Y506" s="133" t="s">
        <v>2417</v>
      </c>
      <c r="Z506" s="133" t="s">
        <v>2417</v>
      </c>
      <c r="AA506" s="133" t="s">
        <v>2417</v>
      </c>
      <c r="AB506" s="133" t="s">
        <v>2417</v>
      </c>
      <c r="AC506" s="133" t="s">
        <v>2417</v>
      </c>
      <c r="AD506" s="133" t="s">
        <v>2417</v>
      </c>
      <c r="AE506" s="57"/>
    </row>
    <row r="507" spans="1:31" ht="13.2" outlineLevel="1">
      <c r="A507" s="386" t="s">
        <v>1405</v>
      </c>
      <c r="B507" s="350"/>
      <c r="C507" s="350"/>
      <c r="D507" s="351"/>
      <c r="E507" s="133" t="s">
        <v>2417</v>
      </c>
      <c r="F507" s="133" t="s">
        <v>2417</v>
      </c>
      <c r="G507" s="133" t="s">
        <v>2417</v>
      </c>
      <c r="H507" s="133" t="s">
        <v>2417</v>
      </c>
      <c r="I507" s="134" t="s">
        <v>2418</v>
      </c>
      <c r="J507" s="133" t="s">
        <v>2417</v>
      </c>
      <c r="K507" s="133" t="s">
        <v>2417</v>
      </c>
      <c r="L507" s="133" t="s">
        <v>2417</v>
      </c>
      <c r="M507" s="133" t="s">
        <v>2417</v>
      </c>
      <c r="N507" s="133" t="s">
        <v>2417</v>
      </c>
      <c r="O507" s="133" t="s">
        <v>2417</v>
      </c>
      <c r="P507" s="133" t="s">
        <v>2417</v>
      </c>
      <c r="Q507" s="133" t="s">
        <v>2417</v>
      </c>
      <c r="R507" s="133" t="s">
        <v>2417</v>
      </c>
      <c r="S507" s="133" t="s">
        <v>2417</v>
      </c>
      <c r="T507" s="133" t="s">
        <v>2417</v>
      </c>
      <c r="U507" s="133" t="s">
        <v>2417</v>
      </c>
      <c r="V507" s="133" t="s">
        <v>2417</v>
      </c>
      <c r="W507" s="133" t="s">
        <v>2417</v>
      </c>
      <c r="X507" s="133" t="s">
        <v>2417</v>
      </c>
      <c r="Y507" s="133" t="s">
        <v>2417</v>
      </c>
      <c r="Z507" s="133" t="s">
        <v>2417</v>
      </c>
      <c r="AA507" s="133" t="s">
        <v>2417</v>
      </c>
      <c r="AB507" s="133" t="s">
        <v>2417</v>
      </c>
      <c r="AC507" s="133" t="s">
        <v>2417</v>
      </c>
      <c r="AD507" s="133" t="s">
        <v>2417</v>
      </c>
      <c r="AE507" s="139"/>
    </row>
    <row r="508" spans="1:31" ht="13.2" outlineLevel="2">
      <c r="A508" s="386" t="s">
        <v>1406</v>
      </c>
      <c r="B508" s="350"/>
      <c r="C508" s="350"/>
      <c r="D508" s="351"/>
      <c r="E508" s="133" t="s">
        <v>2417</v>
      </c>
      <c r="F508" s="133" t="s">
        <v>2417</v>
      </c>
      <c r="G508" s="133" t="s">
        <v>2417</v>
      </c>
      <c r="H508" s="133" t="s">
        <v>2417</v>
      </c>
      <c r="I508" s="134" t="s">
        <v>2418</v>
      </c>
      <c r="J508" s="133" t="s">
        <v>2417</v>
      </c>
      <c r="K508" s="133" t="s">
        <v>2417</v>
      </c>
      <c r="L508" s="133" t="s">
        <v>2417</v>
      </c>
      <c r="M508" s="133" t="s">
        <v>2417</v>
      </c>
      <c r="N508" s="133" t="s">
        <v>2417</v>
      </c>
      <c r="O508" s="133" t="s">
        <v>2417</v>
      </c>
      <c r="P508" s="133" t="s">
        <v>2417</v>
      </c>
      <c r="Q508" s="133" t="s">
        <v>2417</v>
      </c>
      <c r="R508" s="133" t="s">
        <v>2417</v>
      </c>
      <c r="S508" s="133" t="s">
        <v>2417</v>
      </c>
      <c r="T508" s="133" t="s">
        <v>2417</v>
      </c>
      <c r="U508" s="133" t="s">
        <v>2417</v>
      </c>
      <c r="V508" s="133" t="s">
        <v>2417</v>
      </c>
      <c r="W508" s="133" t="s">
        <v>2417</v>
      </c>
      <c r="X508" s="133" t="s">
        <v>2417</v>
      </c>
      <c r="Y508" s="133" t="s">
        <v>2417</v>
      </c>
      <c r="Z508" s="133" t="s">
        <v>2417</v>
      </c>
      <c r="AA508" s="133" t="s">
        <v>2417</v>
      </c>
      <c r="AB508" s="133" t="s">
        <v>2417</v>
      </c>
      <c r="AC508" s="133" t="s">
        <v>2417</v>
      </c>
      <c r="AD508" s="133" t="s">
        <v>2417</v>
      </c>
      <c r="AE508" s="139"/>
    </row>
    <row r="509" spans="1:31" ht="13.2" outlineLevel="2">
      <c r="A509" s="68" t="s">
        <v>1407</v>
      </c>
      <c r="B509" s="64"/>
      <c r="C509" s="360" t="s">
        <v>1408</v>
      </c>
      <c r="D509" s="351"/>
      <c r="E509" s="133" t="s">
        <v>2417</v>
      </c>
      <c r="F509" s="133" t="s">
        <v>2417</v>
      </c>
      <c r="G509" s="133" t="s">
        <v>2417</v>
      </c>
      <c r="H509" s="133" t="s">
        <v>2417</v>
      </c>
      <c r="I509" s="134" t="s">
        <v>2418</v>
      </c>
      <c r="J509" s="133" t="s">
        <v>2417</v>
      </c>
      <c r="K509" s="133" t="s">
        <v>2417</v>
      </c>
      <c r="L509" s="133" t="s">
        <v>2417</v>
      </c>
      <c r="M509" s="133" t="s">
        <v>2417</v>
      </c>
      <c r="N509" s="133" t="s">
        <v>2417</v>
      </c>
      <c r="O509" s="133" t="s">
        <v>2417</v>
      </c>
      <c r="P509" s="133" t="s">
        <v>2417</v>
      </c>
      <c r="Q509" s="133" t="s">
        <v>2417</v>
      </c>
      <c r="R509" s="133" t="s">
        <v>2417</v>
      </c>
      <c r="S509" s="133" t="s">
        <v>2417</v>
      </c>
      <c r="T509" s="133" t="s">
        <v>2417</v>
      </c>
      <c r="U509" s="133" t="s">
        <v>2417</v>
      </c>
      <c r="V509" s="133" t="s">
        <v>2417</v>
      </c>
      <c r="W509" s="133" t="s">
        <v>2417</v>
      </c>
      <c r="X509" s="133" t="s">
        <v>2417</v>
      </c>
      <c r="Y509" s="133" t="s">
        <v>2417</v>
      </c>
      <c r="Z509" s="133" t="s">
        <v>2417</v>
      </c>
      <c r="AA509" s="133" t="s">
        <v>2417</v>
      </c>
      <c r="AB509" s="133" t="s">
        <v>2417</v>
      </c>
      <c r="AC509" s="133" t="s">
        <v>2417</v>
      </c>
      <c r="AD509" s="133" t="s">
        <v>2417</v>
      </c>
      <c r="AE509" s="123"/>
    </row>
    <row r="510" spans="1:31" ht="30.6" outlineLevel="2">
      <c r="A510" s="68" t="s">
        <v>1409</v>
      </c>
      <c r="B510" s="62" t="s">
        <v>1410</v>
      </c>
      <c r="C510" s="387" t="s">
        <v>1411</v>
      </c>
      <c r="D510" s="351"/>
      <c r="E510" s="133" t="s">
        <v>2417</v>
      </c>
      <c r="F510" s="133" t="s">
        <v>2417</v>
      </c>
      <c r="G510" s="133" t="s">
        <v>2417</v>
      </c>
      <c r="H510" s="133" t="s">
        <v>2417</v>
      </c>
      <c r="I510" s="134" t="s">
        <v>2418</v>
      </c>
      <c r="J510" s="133" t="s">
        <v>2417</v>
      </c>
      <c r="K510" s="133" t="s">
        <v>2417</v>
      </c>
      <c r="L510" s="133" t="s">
        <v>2417</v>
      </c>
      <c r="M510" s="133" t="s">
        <v>2417</v>
      </c>
      <c r="N510" s="133" t="s">
        <v>2417</v>
      </c>
      <c r="O510" s="133" t="s">
        <v>2417</v>
      </c>
      <c r="P510" s="133" t="s">
        <v>2417</v>
      </c>
      <c r="Q510" s="133" t="s">
        <v>2417</v>
      </c>
      <c r="R510" s="133" t="s">
        <v>2417</v>
      </c>
      <c r="S510" s="133" t="s">
        <v>2417</v>
      </c>
      <c r="T510" s="133" t="s">
        <v>2417</v>
      </c>
      <c r="U510" s="133" t="s">
        <v>2417</v>
      </c>
      <c r="V510" s="133" t="s">
        <v>2417</v>
      </c>
      <c r="W510" s="133" t="s">
        <v>2417</v>
      </c>
      <c r="X510" s="133" t="s">
        <v>2417</v>
      </c>
      <c r="Y510" s="133" t="s">
        <v>2417</v>
      </c>
      <c r="Z510" s="133" t="s">
        <v>2417</v>
      </c>
      <c r="AA510" s="133" t="s">
        <v>2417</v>
      </c>
      <c r="AB510" s="133" t="s">
        <v>2417</v>
      </c>
      <c r="AC510" s="133" t="s">
        <v>2417</v>
      </c>
      <c r="AD510" s="133" t="s">
        <v>2417</v>
      </c>
      <c r="AE510" s="59"/>
    </row>
    <row r="511" spans="1:31" ht="20.399999999999999" outlineLevel="2">
      <c r="A511" s="68" t="s">
        <v>1412</v>
      </c>
      <c r="B511" s="63" t="s">
        <v>1413</v>
      </c>
      <c r="C511" s="387" t="s">
        <v>1414</v>
      </c>
      <c r="D511" s="351"/>
      <c r="E511" s="133" t="s">
        <v>2417</v>
      </c>
      <c r="F511" s="133" t="s">
        <v>2417</v>
      </c>
      <c r="G511" s="133" t="s">
        <v>2417</v>
      </c>
      <c r="H511" s="133" t="s">
        <v>2417</v>
      </c>
      <c r="I511" s="134" t="s">
        <v>2418</v>
      </c>
      <c r="J511" s="133" t="s">
        <v>2417</v>
      </c>
      <c r="K511" s="133" t="s">
        <v>2417</v>
      </c>
      <c r="L511" s="133" t="s">
        <v>2417</v>
      </c>
      <c r="M511" s="133" t="s">
        <v>2417</v>
      </c>
      <c r="N511" s="133" t="s">
        <v>2417</v>
      </c>
      <c r="O511" s="133" t="s">
        <v>2417</v>
      </c>
      <c r="P511" s="133" t="s">
        <v>2417</v>
      </c>
      <c r="Q511" s="133" t="s">
        <v>2417</v>
      </c>
      <c r="R511" s="133" t="s">
        <v>2417</v>
      </c>
      <c r="S511" s="133" t="s">
        <v>2417</v>
      </c>
      <c r="T511" s="133" t="s">
        <v>2417</v>
      </c>
      <c r="U511" s="133" t="s">
        <v>2417</v>
      </c>
      <c r="V511" s="133" t="s">
        <v>2417</v>
      </c>
      <c r="W511" s="133" t="s">
        <v>2417</v>
      </c>
      <c r="X511" s="133" t="s">
        <v>2417</v>
      </c>
      <c r="Y511" s="133" t="s">
        <v>2417</v>
      </c>
      <c r="Z511" s="133" t="s">
        <v>2417</v>
      </c>
      <c r="AA511" s="133" t="s">
        <v>2417</v>
      </c>
      <c r="AB511" s="133" t="s">
        <v>2417</v>
      </c>
      <c r="AC511" s="133" t="s">
        <v>2417</v>
      </c>
      <c r="AD511" s="133" t="s">
        <v>2417</v>
      </c>
      <c r="AE511" s="59"/>
    </row>
    <row r="512" spans="1:31" ht="13.2" outlineLevel="1">
      <c r="A512" s="386" t="s">
        <v>1415</v>
      </c>
      <c r="B512" s="350"/>
      <c r="C512" s="350"/>
      <c r="D512" s="351"/>
      <c r="E512" s="133" t="s">
        <v>2417</v>
      </c>
      <c r="F512" s="133" t="s">
        <v>2417</v>
      </c>
      <c r="G512" s="133" t="s">
        <v>2417</v>
      </c>
      <c r="H512" s="133" t="s">
        <v>2417</v>
      </c>
      <c r="I512" s="134" t="s">
        <v>2418</v>
      </c>
      <c r="J512" s="133" t="s">
        <v>2417</v>
      </c>
      <c r="K512" s="133" t="s">
        <v>2417</v>
      </c>
      <c r="L512" s="133" t="s">
        <v>2417</v>
      </c>
      <c r="M512" s="133" t="s">
        <v>2417</v>
      </c>
      <c r="N512" s="133" t="s">
        <v>2417</v>
      </c>
      <c r="O512" s="133" t="s">
        <v>2417</v>
      </c>
      <c r="P512" s="133" t="s">
        <v>2417</v>
      </c>
      <c r="Q512" s="133" t="s">
        <v>2417</v>
      </c>
      <c r="R512" s="133" t="s">
        <v>2417</v>
      </c>
      <c r="S512" s="133" t="s">
        <v>2417</v>
      </c>
      <c r="T512" s="133" t="s">
        <v>2417</v>
      </c>
      <c r="U512" s="133" t="s">
        <v>2417</v>
      </c>
      <c r="V512" s="133" t="s">
        <v>2417</v>
      </c>
      <c r="W512" s="133" t="s">
        <v>2417</v>
      </c>
      <c r="X512" s="133" t="s">
        <v>2417</v>
      </c>
      <c r="Y512" s="133" t="s">
        <v>2417</v>
      </c>
      <c r="Z512" s="133" t="s">
        <v>2417</v>
      </c>
      <c r="AA512" s="133" t="s">
        <v>2417</v>
      </c>
      <c r="AB512" s="133" t="s">
        <v>2417</v>
      </c>
      <c r="AC512" s="133" t="s">
        <v>2417</v>
      </c>
      <c r="AD512" s="133" t="s">
        <v>2417</v>
      </c>
      <c r="AE512" s="139"/>
    </row>
    <row r="513" spans="1:31" ht="13.2" outlineLevel="1">
      <c r="A513" s="383" t="s">
        <v>1416</v>
      </c>
      <c r="B513" s="350"/>
      <c r="C513" s="350"/>
      <c r="D513" s="351"/>
      <c r="E513" s="133" t="s">
        <v>2417</v>
      </c>
      <c r="F513" s="133" t="s">
        <v>2417</v>
      </c>
      <c r="G513" s="133" t="s">
        <v>2417</v>
      </c>
      <c r="H513" s="133" t="s">
        <v>2417</v>
      </c>
      <c r="I513" s="134" t="s">
        <v>2418</v>
      </c>
      <c r="J513" s="133" t="s">
        <v>2417</v>
      </c>
      <c r="K513" s="133" t="s">
        <v>2417</v>
      </c>
      <c r="L513" s="133" t="s">
        <v>2417</v>
      </c>
      <c r="M513" s="133" t="s">
        <v>2417</v>
      </c>
      <c r="N513" s="133" t="s">
        <v>2417</v>
      </c>
      <c r="O513" s="133" t="s">
        <v>2417</v>
      </c>
      <c r="P513" s="133" t="s">
        <v>2417</v>
      </c>
      <c r="Q513" s="133" t="s">
        <v>2417</v>
      </c>
      <c r="R513" s="133" t="s">
        <v>2417</v>
      </c>
      <c r="S513" s="133" t="s">
        <v>2417</v>
      </c>
      <c r="T513" s="133" t="s">
        <v>2417</v>
      </c>
      <c r="U513" s="133" t="s">
        <v>2417</v>
      </c>
      <c r="V513" s="133" t="s">
        <v>2417</v>
      </c>
      <c r="W513" s="133" t="s">
        <v>2417</v>
      </c>
      <c r="X513" s="133" t="s">
        <v>2417</v>
      </c>
      <c r="Y513" s="133" t="s">
        <v>2417</v>
      </c>
      <c r="Z513" s="133" t="s">
        <v>2417</v>
      </c>
      <c r="AA513" s="133" t="s">
        <v>2417</v>
      </c>
      <c r="AB513" s="133" t="s">
        <v>2417</v>
      </c>
      <c r="AC513" s="133" t="s">
        <v>2417</v>
      </c>
      <c r="AD513" s="133" t="s">
        <v>2417</v>
      </c>
      <c r="AE513" s="160"/>
    </row>
    <row r="514" spans="1:31" ht="13.2" outlineLevel="2">
      <c r="A514" s="68" t="s">
        <v>1417</v>
      </c>
      <c r="B514" s="86"/>
      <c r="C514" s="360" t="s">
        <v>1418</v>
      </c>
      <c r="D514" s="351"/>
      <c r="E514" s="133" t="s">
        <v>2417</v>
      </c>
      <c r="F514" s="133" t="s">
        <v>2417</v>
      </c>
      <c r="G514" s="133" t="s">
        <v>2417</v>
      </c>
      <c r="H514" s="133" t="s">
        <v>2417</v>
      </c>
      <c r="I514" s="134" t="s">
        <v>2418</v>
      </c>
      <c r="J514" s="133" t="s">
        <v>2417</v>
      </c>
      <c r="K514" s="133" t="s">
        <v>2417</v>
      </c>
      <c r="L514" s="133" t="s">
        <v>2417</v>
      </c>
      <c r="M514" s="133" t="s">
        <v>2417</v>
      </c>
      <c r="N514" s="133" t="s">
        <v>2417</v>
      </c>
      <c r="O514" s="133" t="s">
        <v>2417</v>
      </c>
      <c r="P514" s="133" t="s">
        <v>2417</v>
      </c>
      <c r="Q514" s="133" t="s">
        <v>2417</v>
      </c>
      <c r="R514" s="133" t="s">
        <v>2417</v>
      </c>
      <c r="S514" s="133" t="s">
        <v>2417</v>
      </c>
      <c r="T514" s="133" t="s">
        <v>2417</v>
      </c>
      <c r="U514" s="133" t="s">
        <v>2417</v>
      </c>
      <c r="V514" s="133" t="s">
        <v>2417</v>
      </c>
      <c r="W514" s="133" t="s">
        <v>2417</v>
      </c>
      <c r="X514" s="133" t="s">
        <v>2417</v>
      </c>
      <c r="Y514" s="133" t="s">
        <v>2417</v>
      </c>
      <c r="Z514" s="133" t="s">
        <v>2417</v>
      </c>
      <c r="AA514" s="133" t="s">
        <v>2417</v>
      </c>
      <c r="AB514" s="133" t="s">
        <v>2417</v>
      </c>
      <c r="AC514" s="133" t="s">
        <v>2417</v>
      </c>
      <c r="AD514" s="133" t="s">
        <v>2417</v>
      </c>
      <c r="AE514" s="123"/>
    </row>
    <row r="515" spans="1:31" ht="30.6" outlineLevel="2">
      <c r="A515" s="68" t="s">
        <v>1419</v>
      </c>
      <c r="B515" s="79" t="s">
        <v>1420</v>
      </c>
      <c r="C515" s="387" t="s">
        <v>1421</v>
      </c>
      <c r="D515" s="351"/>
      <c r="E515" s="133" t="s">
        <v>2417</v>
      </c>
      <c r="F515" s="59" t="s">
        <v>2421</v>
      </c>
      <c r="G515" s="133" t="s">
        <v>2417</v>
      </c>
      <c r="H515" s="133" t="s">
        <v>2417</v>
      </c>
      <c r="I515" s="134" t="s">
        <v>2418</v>
      </c>
      <c r="J515" s="59" t="s">
        <v>2599</v>
      </c>
      <c r="K515" s="133" t="s">
        <v>2417</v>
      </c>
      <c r="L515" s="133" t="s">
        <v>2417</v>
      </c>
      <c r="M515" s="133" t="s">
        <v>2417</v>
      </c>
      <c r="N515" s="133" t="s">
        <v>2417</v>
      </c>
      <c r="O515" s="133" t="s">
        <v>2417</v>
      </c>
      <c r="P515" s="133" t="s">
        <v>2417</v>
      </c>
      <c r="Q515" s="133" t="s">
        <v>2417</v>
      </c>
      <c r="R515" s="133" t="s">
        <v>2417</v>
      </c>
      <c r="S515" s="133" t="s">
        <v>2417</v>
      </c>
      <c r="T515" s="133" t="s">
        <v>2417</v>
      </c>
      <c r="U515" s="133" t="s">
        <v>2417</v>
      </c>
      <c r="V515" s="133" t="s">
        <v>2417</v>
      </c>
      <c r="W515" s="133" t="s">
        <v>2417</v>
      </c>
      <c r="X515" s="133" t="s">
        <v>2417</v>
      </c>
      <c r="Y515" s="133" t="s">
        <v>2417</v>
      </c>
      <c r="Z515" s="133" t="s">
        <v>2417</v>
      </c>
      <c r="AA515" s="133" t="s">
        <v>2417</v>
      </c>
      <c r="AB515" s="133" t="s">
        <v>2417</v>
      </c>
      <c r="AC515" s="133" t="s">
        <v>2417</v>
      </c>
      <c r="AD515" s="133" t="s">
        <v>2417</v>
      </c>
      <c r="AE515" s="59"/>
    </row>
    <row r="516" spans="1:31" ht="13.2" hidden="1" outlineLevel="2">
      <c r="A516" s="68" t="s">
        <v>1419</v>
      </c>
      <c r="B516" s="63" t="s">
        <v>2600</v>
      </c>
      <c r="C516" s="387" t="s">
        <v>2601</v>
      </c>
      <c r="D516" s="351"/>
      <c r="E516" s="133" t="s">
        <v>2417</v>
      </c>
      <c r="F516" s="59" t="s">
        <v>2421</v>
      </c>
      <c r="G516" s="133" t="s">
        <v>2417</v>
      </c>
      <c r="H516" s="133" t="s">
        <v>2417</v>
      </c>
      <c r="I516" s="134" t="s">
        <v>2418</v>
      </c>
      <c r="J516" s="59" t="s">
        <v>2500</v>
      </c>
      <c r="K516" s="133" t="s">
        <v>2417</v>
      </c>
      <c r="L516" s="133" t="s">
        <v>2417</v>
      </c>
      <c r="M516" s="133" t="s">
        <v>2417</v>
      </c>
      <c r="N516" s="133" t="s">
        <v>2417</v>
      </c>
      <c r="O516" s="133" t="s">
        <v>2417</v>
      </c>
      <c r="P516" s="133" t="s">
        <v>2417</v>
      </c>
      <c r="Q516" s="133" t="s">
        <v>2417</v>
      </c>
      <c r="R516" s="133" t="s">
        <v>2417</v>
      </c>
      <c r="S516" s="133" t="s">
        <v>2417</v>
      </c>
      <c r="T516" s="133" t="s">
        <v>2417</v>
      </c>
      <c r="U516" s="133" t="s">
        <v>2417</v>
      </c>
      <c r="V516" s="133" t="s">
        <v>2417</v>
      </c>
      <c r="W516" s="133" t="s">
        <v>2417</v>
      </c>
      <c r="X516" s="133" t="s">
        <v>2417</v>
      </c>
      <c r="Y516" s="133" t="s">
        <v>2417</v>
      </c>
      <c r="Z516" s="133" t="s">
        <v>2417</v>
      </c>
      <c r="AA516" s="133" t="s">
        <v>2417</v>
      </c>
      <c r="AB516" s="133" t="s">
        <v>2417</v>
      </c>
      <c r="AC516" s="133" t="s">
        <v>2417</v>
      </c>
      <c r="AD516" s="133" t="s">
        <v>2417</v>
      </c>
      <c r="AE516" s="59"/>
    </row>
    <row r="517" spans="1:31" ht="13.2" hidden="1" outlineLevel="2">
      <c r="A517" s="68" t="s">
        <v>1419</v>
      </c>
      <c r="B517" s="63" t="s">
        <v>2602</v>
      </c>
      <c r="C517" s="387" t="s">
        <v>2603</v>
      </c>
      <c r="D517" s="351"/>
      <c r="E517" s="133" t="s">
        <v>2417</v>
      </c>
      <c r="F517" s="59" t="s">
        <v>2421</v>
      </c>
      <c r="G517" s="133" t="s">
        <v>2417</v>
      </c>
      <c r="H517" s="133" t="s">
        <v>2417</v>
      </c>
      <c r="I517" s="134" t="s">
        <v>2418</v>
      </c>
      <c r="J517" s="59" t="s">
        <v>2430</v>
      </c>
      <c r="K517" s="133" t="s">
        <v>2417</v>
      </c>
      <c r="L517" s="133" t="s">
        <v>2417</v>
      </c>
      <c r="M517" s="133" t="s">
        <v>2417</v>
      </c>
      <c r="N517" s="133" t="s">
        <v>2417</v>
      </c>
      <c r="O517" s="133" t="s">
        <v>2417</v>
      </c>
      <c r="P517" s="133" t="s">
        <v>2417</v>
      </c>
      <c r="Q517" s="133" t="s">
        <v>2417</v>
      </c>
      <c r="R517" s="133" t="s">
        <v>2417</v>
      </c>
      <c r="S517" s="133" t="s">
        <v>2417</v>
      </c>
      <c r="T517" s="133" t="s">
        <v>2417</v>
      </c>
      <c r="U517" s="133" t="s">
        <v>2417</v>
      </c>
      <c r="V517" s="133" t="s">
        <v>2417</v>
      </c>
      <c r="W517" s="133" t="s">
        <v>2417</v>
      </c>
      <c r="X517" s="133" t="s">
        <v>2417</v>
      </c>
      <c r="Y517" s="133" t="s">
        <v>2417</v>
      </c>
      <c r="Z517" s="133" t="s">
        <v>2417</v>
      </c>
      <c r="AA517" s="133" t="s">
        <v>2417</v>
      </c>
      <c r="AB517" s="133" t="s">
        <v>2417</v>
      </c>
      <c r="AC517" s="133" t="s">
        <v>2417</v>
      </c>
      <c r="AD517" s="133" t="s">
        <v>2417</v>
      </c>
      <c r="AE517" s="59"/>
    </row>
    <row r="518" spans="1:31" ht="13.2" outlineLevel="2">
      <c r="A518" s="68" t="s">
        <v>1422</v>
      </c>
      <c r="B518" s="63" t="s">
        <v>1423</v>
      </c>
      <c r="C518" s="387" t="s">
        <v>1424</v>
      </c>
      <c r="D518" s="351"/>
      <c r="E518" s="133" t="s">
        <v>2417</v>
      </c>
      <c r="F518" s="59" t="s">
        <v>2396</v>
      </c>
      <c r="G518" s="133" t="s">
        <v>2417</v>
      </c>
      <c r="H518" s="133" t="s">
        <v>2417</v>
      </c>
      <c r="I518" s="134" t="s">
        <v>2418</v>
      </c>
      <c r="J518" s="133" t="s">
        <v>2417</v>
      </c>
      <c r="K518" s="133" t="s">
        <v>2417</v>
      </c>
      <c r="L518" s="133" t="s">
        <v>2417</v>
      </c>
      <c r="M518" s="133" t="s">
        <v>2417</v>
      </c>
      <c r="N518" s="133" t="s">
        <v>2417</v>
      </c>
      <c r="O518" s="133" t="s">
        <v>2417</v>
      </c>
      <c r="P518" s="133" t="s">
        <v>2417</v>
      </c>
      <c r="Q518" s="133" t="s">
        <v>2417</v>
      </c>
      <c r="R518" s="133" t="s">
        <v>2417</v>
      </c>
      <c r="S518" s="133" t="s">
        <v>2417</v>
      </c>
      <c r="T518" s="133" t="s">
        <v>2417</v>
      </c>
      <c r="U518" s="133" t="s">
        <v>2417</v>
      </c>
      <c r="V518" s="133" t="s">
        <v>2417</v>
      </c>
      <c r="W518" s="133" t="s">
        <v>2417</v>
      </c>
      <c r="X518" s="133" t="s">
        <v>2417</v>
      </c>
      <c r="Y518" s="133" t="s">
        <v>2417</v>
      </c>
      <c r="Z518" s="133" t="s">
        <v>2417</v>
      </c>
      <c r="AA518" s="133" t="s">
        <v>2417</v>
      </c>
      <c r="AB518" s="133" t="s">
        <v>2417</v>
      </c>
      <c r="AC518" s="133" t="s">
        <v>2417</v>
      </c>
      <c r="AD518" s="133" t="s">
        <v>2417</v>
      </c>
      <c r="AE518" s="57"/>
    </row>
    <row r="519" spans="1:31" ht="13.2" outlineLevel="2">
      <c r="A519" s="68" t="s">
        <v>1425</v>
      </c>
      <c r="B519" s="64" t="s">
        <v>1426</v>
      </c>
      <c r="C519" s="387" t="s">
        <v>2604</v>
      </c>
      <c r="D519" s="351"/>
      <c r="E519" s="133" t="s">
        <v>2417</v>
      </c>
      <c r="F519" s="133" t="s">
        <v>2417</v>
      </c>
      <c r="G519" s="133" t="s">
        <v>2417</v>
      </c>
      <c r="H519" s="133" t="s">
        <v>2417</v>
      </c>
      <c r="I519" s="134" t="s">
        <v>2418</v>
      </c>
      <c r="J519" s="133" t="s">
        <v>2417</v>
      </c>
      <c r="K519" s="133" t="s">
        <v>2417</v>
      </c>
      <c r="L519" s="133" t="s">
        <v>2417</v>
      </c>
      <c r="M519" s="133" t="s">
        <v>2417</v>
      </c>
      <c r="N519" s="133" t="s">
        <v>2417</v>
      </c>
      <c r="O519" s="133" t="s">
        <v>2417</v>
      </c>
      <c r="P519" s="133" t="s">
        <v>2417</v>
      </c>
      <c r="Q519" s="133" t="s">
        <v>2417</v>
      </c>
      <c r="R519" s="133" t="s">
        <v>2417</v>
      </c>
      <c r="S519" s="133" t="s">
        <v>2417</v>
      </c>
      <c r="T519" s="133" t="s">
        <v>2417</v>
      </c>
      <c r="U519" s="133" t="s">
        <v>2417</v>
      </c>
      <c r="V519" s="133" t="s">
        <v>2417</v>
      </c>
      <c r="W519" s="133" t="s">
        <v>2417</v>
      </c>
      <c r="X519" s="133" t="s">
        <v>2417</v>
      </c>
      <c r="Y519" s="133" t="s">
        <v>2417</v>
      </c>
      <c r="Z519" s="133" t="s">
        <v>2417</v>
      </c>
      <c r="AA519" s="133" t="s">
        <v>2417</v>
      </c>
      <c r="AB519" s="133" t="s">
        <v>2417</v>
      </c>
      <c r="AC519" s="133" t="s">
        <v>2417</v>
      </c>
      <c r="AD519" s="133" t="s">
        <v>2417</v>
      </c>
      <c r="AE519" s="59"/>
    </row>
    <row r="520" spans="1:31" ht="30.6" outlineLevel="2">
      <c r="A520" s="68" t="s">
        <v>1428</v>
      </c>
      <c r="B520" s="63" t="s">
        <v>1429</v>
      </c>
      <c r="C520" s="387" t="s">
        <v>1430</v>
      </c>
      <c r="D520" s="351"/>
      <c r="E520" s="133" t="s">
        <v>2417</v>
      </c>
      <c r="F520" s="133" t="s">
        <v>2417</v>
      </c>
      <c r="G520" s="133" t="s">
        <v>2417</v>
      </c>
      <c r="H520" s="133" t="s">
        <v>2417</v>
      </c>
      <c r="I520" s="134" t="s">
        <v>2418</v>
      </c>
      <c r="J520" s="133" t="s">
        <v>2417</v>
      </c>
      <c r="K520" s="133" t="s">
        <v>2417</v>
      </c>
      <c r="L520" s="133" t="s">
        <v>2417</v>
      </c>
      <c r="M520" s="133" t="s">
        <v>2417</v>
      </c>
      <c r="N520" s="133" t="s">
        <v>2417</v>
      </c>
      <c r="O520" s="133" t="s">
        <v>2417</v>
      </c>
      <c r="P520" s="133" t="s">
        <v>2417</v>
      </c>
      <c r="Q520" s="59" t="s">
        <v>2605</v>
      </c>
      <c r="R520" s="133" t="s">
        <v>2417</v>
      </c>
      <c r="S520" s="133" t="s">
        <v>2417</v>
      </c>
      <c r="T520" s="133" t="s">
        <v>2417</v>
      </c>
      <c r="U520" s="133" t="s">
        <v>2417</v>
      </c>
      <c r="V520" s="133" t="s">
        <v>2417</v>
      </c>
      <c r="W520" s="133" t="s">
        <v>2417</v>
      </c>
      <c r="X520" s="133" t="s">
        <v>2417</v>
      </c>
      <c r="Y520" s="133" t="s">
        <v>2417</v>
      </c>
      <c r="Z520" s="133" t="s">
        <v>2417</v>
      </c>
      <c r="AA520" s="133" t="s">
        <v>2417</v>
      </c>
      <c r="AB520" s="133" t="s">
        <v>2417</v>
      </c>
      <c r="AC520" s="133" t="s">
        <v>2417</v>
      </c>
      <c r="AD520" s="133" t="s">
        <v>2417</v>
      </c>
      <c r="AE520" s="59"/>
    </row>
    <row r="521" spans="1:31" ht="30.6" outlineLevel="2">
      <c r="A521" s="68" t="s">
        <v>1431</v>
      </c>
      <c r="B521" s="63" t="s">
        <v>1432</v>
      </c>
      <c r="C521" s="387" t="s">
        <v>1433</v>
      </c>
      <c r="D521" s="351"/>
      <c r="E521" s="133" t="s">
        <v>2417</v>
      </c>
      <c r="F521" s="133" t="s">
        <v>2417</v>
      </c>
      <c r="G521" s="133" t="s">
        <v>2417</v>
      </c>
      <c r="H521" s="133" t="s">
        <v>2417</v>
      </c>
      <c r="I521" s="134" t="s">
        <v>2418</v>
      </c>
      <c r="J521" s="133" t="s">
        <v>2417</v>
      </c>
      <c r="K521" s="133" t="s">
        <v>2417</v>
      </c>
      <c r="L521" s="133" t="s">
        <v>2417</v>
      </c>
      <c r="M521" s="133" t="s">
        <v>2417</v>
      </c>
      <c r="N521" s="133" t="s">
        <v>2417</v>
      </c>
      <c r="O521" s="133" t="s">
        <v>2417</v>
      </c>
      <c r="P521" s="133" t="s">
        <v>2417</v>
      </c>
      <c r="Q521" s="59" t="s">
        <v>2605</v>
      </c>
      <c r="R521" s="133" t="s">
        <v>2417</v>
      </c>
      <c r="S521" s="133" t="s">
        <v>2417</v>
      </c>
      <c r="T521" s="133" t="s">
        <v>2417</v>
      </c>
      <c r="U521" s="133" t="s">
        <v>2417</v>
      </c>
      <c r="V521" s="133" t="s">
        <v>2417</v>
      </c>
      <c r="W521" s="133" t="s">
        <v>2417</v>
      </c>
      <c r="X521" s="133" t="s">
        <v>2417</v>
      </c>
      <c r="Y521" s="133" t="s">
        <v>2417</v>
      </c>
      <c r="Z521" s="133" t="s">
        <v>2417</v>
      </c>
      <c r="AA521" s="133" t="s">
        <v>2417</v>
      </c>
      <c r="AB521" s="133" t="s">
        <v>2417</v>
      </c>
      <c r="AC521" s="133" t="s">
        <v>2417</v>
      </c>
      <c r="AD521" s="133" t="s">
        <v>2417</v>
      </c>
      <c r="AE521" s="59"/>
    </row>
    <row r="522" spans="1:31" ht="30.6" outlineLevel="2">
      <c r="A522" s="68" t="s">
        <v>1434</v>
      </c>
      <c r="B522" s="63" t="s">
        <v>1435</v>
      </c>
      <c r="C522" s="387" t="s">
        <v>1436</v>
      </c>
      <c r="D522" s="351"/>
      <c r="E522" s="133" t="s">
        <v>2417</v>
      </c>
      <c r="F522" s="133" t="s">
        <v>2417</v>
      </c>
      <c r="G522" s="133" t="s">
        <v>2417</v>
      </c>
      <c r="H522" s="133" t="s">
        <v>2417</v>
      </c>
      <c r="I522" s="134" t="s">
        <v>2418</v>
      </c>
      <c r="J522" s="133" t="s">
        <v>2417</v>
      </c>
      <c r="K522" s="133" t="s">
        <v>2417</v>
      </c>
      <c r="L522" s="133" t="s">
        <v>2417</v>
      </c>
      <c r="M522" s="133" t="s">
        <v>2417</v>
      </c>
      <c r="N522" s="133" t="s">
        <v>2417</v>
      </c>
      <c r="O522" s="133" t="s">
        <v>2417</v>
      </c>
      <c r="P522" s="133" t="s">
        <v>2417</v>
      </c>
      <c r="Q522" s="59" t="s">
        <v>2606</v>
      </c>
      <c r="R522" s="133" t="s">
        <v>2417</v>
      </c>
      <c r="S522" s="133" t="s">
        <v>2417</v>
      </c>
      <c r="T522" s="133" t="s">
        <v>2417</v>
      </c>
      <c r="U522" s="133" t="s">
        <v>2417</v>
      </c>
      <c r="V522" s="133" t="s">
        <v>2417</v>
      </c>
      <c r="W522" s="133" t="s">
        <v>2417</v>
      </c>
      <c r="X522" s="133" t="s">
        <v>2417</v>
      </c>
      <c r="Y522" s="133" t="s">
        <v>2417</v>
      </c>
      <c r="Z522" s="133" t="s">
        <v>2417</v>
      </c>
      <c r="AA522" s="133" t="s">
        <v>2417</v>
      </c>
      <c r="AB522" s="133" t="s">
        <v>2417</v>
      </c>
      <c r="AC522" s="133" t="s">
        <v>2417</v>
      </c>
      <c r="AD522" s="133" t="s">
        <v>2417</v>
      </c>
      <c r="AE522" s="57"/>
    </row>
    <row r="523" spans="1:31" ht="20.399999999999999" outlineLevel="2">
      <c r="A523" s="68" t="s">
        <v>1437</v>
      </c>
      <c r="B523" s="63" t="s">
        <v>1438</v>
      </c>
      <c r="C523" s="387" t="s">
        <v>1439</v>
      </c>
      <c r="D523" s="351"/>
      <c r="E523" s="133" t="s">
        <v>2417</v>
      </c>
      <c r="F523" s="133" t="s">
        <v>2417</v>
      </c>
      <c r="G523" s="133" t="s">
        <v>2417</v>
      </c>
      <c r="H523" s="133" t="s">
        <v>2417</v>
      </c>
      <c r="I523" s="134" t="s">
        <v>2418</v>
      </c>
      <c r="J523" s="133" t="s">
        <v>2417</v>
      </c>
      <c r="K523" s="133" t="s">
        <v>2417</v>
      </c>
      <c r="L523" s="133" t="s">
        <v>2417</v>
      </c>
      <c r="M523" s="133" t="s">
        <v>2417</v>
      </c>
      <c r="N523" s="133" t="s">
        <v>2417</v>
      </c>
      <c r="O523" s="133" t="s">
        <v>2417</v>
      </c>
      <c r="P523" s="133" t="s">
        <v>2417</v>
      </c>
      <c r="Q523" s="59" t="s">
        <v>2606</v>
      </c>
      <c r="R523" s="133" t="s">
        <v>2417</v>
      </c>
      <c r="S523" s="133" t="s">
        <v>2417</v>
      </c>
      <c r="T523" s="133" t="s">
        <v>2417</v>
      </c>
      <c r="U523" s="133" t="s">
        <v>2417</v>
      </c>
      <c r="V523" s="133" t="s">
        <v>2417</v>
      </c>
      <c r="W523" s="133" t="s">
        <v>2417</v>
      </c>
      <c r="X523" s="133" t="s">
        <v>2417</v>
      </c>
      <c r="Y523" s="133" t="s">
        <v>2417</v>
      </c>
      <c r="Z523" s="133" t="s">
        <v>2417</v>
      </c>
      <c r="AA523" s="133" t="s">
        <v>2417</v>
      </c>
      <c r="AB523" s="133" t="s">
        <v>2417</v>
      </c>
      <c r="AC523" s="133" t="s">
        <v>2417</v>
      </c>
      <c r="AD523" s="133" t="s">
        <v>2417</v>
      </c>
      <c r="AE523" s="57"/>
    </row>
    <row r="524" spans="1:31" ht="30.6" outlineLevel="2">
      <c r="A524" s="68" t="s">
        <v>1440</v>
      </c>
      <c r="B524" s="63" t="s">
        <v>1441</v>
      </c>
      <c r="C524" s="387" t="s">
        <v>1442</v>
      </c>
      <c r="D524" s="351"/>
      <c r="E524" s="133" t="s">
        <v>2417</v>
      </c>
      <c r="F524" s="133" t="s">
        <v>2417</v>
      </c>
      <c r="G524" s="133" t="s">
        <v>2417</v>
      </c>
      <c r="H524" s="133" t="s">
        <v>2417</v>
      </c>
      <c r="I524" s="134" t="s">
        <v>2418</v>
      </c>
      <c r="J524" s="133" t="s">
        <v>2417</v>
      </c>
      <c r="K524" s="133" t="s">
        <v>2417</v>
      </c>
      <c r="L524" s="133" t="s">
        <v>2417</v>
      </c>
      <c r="M524" s="133" t="s">
        <v>2417</v>
      </c>
      <c r="N524" s="133" t="s">
        <v>2417</v>
      </c>
      <c r="O524" s="133" t="s">
        <v>2417</v>
      </c>
      <c r="P524" s="133" t="s">
        <v>2417</v>
      </c>
      <c r="Q524" s="59" t="s">
        <v>2606</v>
      </c>
      <c r="R524" s="133" t="s">
        <v>2417</v>
      </c>
      <c r="S524" s="133" t="s">
        <v>2417</v>
      </c>
      <c r="T524" s="133" t="s">
        <v>2417</v>
      </c>
      <c r="U524" s="133" t="s">
        <v>2417</v>
      </c>
      <c r="V524" s="133" t="s">
        <v>2417</v>
      </c>
      <c r="W524" s="133" t="s">
        <v>2417</v>
      </c>
      <c r="X524" s="133" t="s">
        <v>2417</v>
      </c>
      <c r="Y524" s="133" t="s">
        <v>2417</v>
      </c>
      <c r="Z524" s="133" t="s">
        <v>2417</v>
      </c>
      <c r="AA524" s="133" t="s">
        <v>2417</v>
      </c>
      <c r="AB524" s="133" t="s">
        <v>2417</v>
      </c>
      <c r="AC524" s="133" t="s">
        <v>2417</v>
      </c>
      <c r="AD524" s="133" t="s">
        <v>2417</v>
      </c>
      <c r="AE524" s="57"/>
    </row>
    <row r="525" spans="1:31" ht="20.399999999999999" outlineLevel="1">
      <c r="A525" s="382" t="s">
        <v>1443</v>
      </c>
      <c r="B525" s="350"/>
      <c r="C525" s="350"/>
      <c r="D525" s="351"/>
      <c r="E525" s="133" t="s">
        <v>2417</v>
      </c>
      <c r="F525" s="133" t="s">
        <v>2417</v>
      </c>
      <c r="G525" s="133" t="s">
        <v>2417</v>
      </c>
      <c r="H525" s="133" t="s">
        <v>2417</v>
      </c>
      <c r="I525" s="134" t="s">
        <v>2418</v>
      </c>
      <c r="J525" s="133" t="s">
        <v>2417</v>
      </c>
      <c r="K525" s="133" t="s">
        <v>2417</v>
      </c>
      <c r="L525" s="133" t="s">
        <v>2417</v>
      </c>
      <c r="M525" s="133" t="s">
        <v>2417</v>
      </c>
      <c r="N525" s="133" t="s">
        <v>2417</v>
      </c>
      <c r="O525" s="133" t="s">
        <v>2417</v>
      </c>
      <c r="P525" s="133" t="s">
        <v>2417</v>
      </c>
      <c r="Q525" s="59" t="s">
        <v>2606</v>
      </c>
      <c r="R525" s="133" t="s">
        <v>2417</v>
      </c>
      <c r="S525" s="133" t="s">
        <v>2417</v>
      </c>
      <c r="T525" s="133" t="s">
        <v>2417</v>
      </c>
      <c r="U525" s="133" t="s">
        <v>2417</v>
      </c>
      <c r="V525" s="133" t="s">
        <v>2417</v>
      </c>
      <c r="W525" s="133" t="s">
        <v>2417</v>
      </c>
      <c r="X525" s="133" t="s">
        <v>2417</v>
      </c>
      <c r="Y525" s="133" t="s">
        <v>2417</v>
      </c>
      <c r="Z525" s="133" t="s">
        <v>2417</v>
      </c>
      <c r="AA525" s="133" t="s">
        <v>2417</v>
      </c>
      <c r="AB525" s="133" t="s">
        <v>2417</v>
      </c>
      <c r="AC525" s="133" t="s">
        <v>2417</v>
      </c>
      <c r="AD525" s="133" t="s">
        <v>2417</v>
      </c>
      <c r="AE525" s="160"/>
    </row>
    <row r="526" spans="1:31" ht="20.399999999999999" outlineLevel="2">
      <c r="A526" s="68" t="s">
        <v>1444</v>
      </c>
      <c r="B526" s="87"/>
      <c r="C526" s="387" t="s">
        <v>1445</v>
      </c>
      <c r="D526" s="351"/>
      <c r="E526" s="133" t="s">
        <v>2417</v>
      </c>
      <c r="F526" s="133" t="s">
        <v>2417</v>
      </c>
      <c r="G526" s="133" t="s">
        <v>2417</v>
      </c>
      <c r="H526" s="133" t="s">
        <v>2417</v>
      </c>
      <c r="I526" s="134" t="s">
        <v>2418</v>
      </c>
      <c r="J526" s="133" t="s">
        <v>2417</v>
      </c>
      <c r="K526" s="133" t="s">
        <v>2417</v>
      </c>
      <c r="L526" s="133" t="s">
        <v>2417</v>
      </c>
      <c r="M526" s="133" t="s">
        <v>2417</v>
      </c>
      <c r="N526" s="133" t="s">
        <v>2417</v>
      </c>
      <c r="O526" s="133" t="s">
        <v>2417</v>
      </c>
      <c r="P526" s="133" t="s">
        <v>2417</v>
      </c>
      <c r="Q526" s="59" t="s">
        <v>2606</v>
      </c>
      <c r="R526" s="133" t="s">
        <v>2417</v>
      </c>
      <c r="S526" s="133" t="s">
        <v>2417</v>
      </c>
      <c r="T526" s="133" t="s">
        <v>2417</v>
      </c>
      <c r="U526" s="133" t="s">
        <v>2417</v>
      </c>
      <c r="V526" s="133" t="s">
        <v>2417</v>
      </c>
      <c r="W526" s="133" t="s">
        <v>2417</v>
      </c>
      <c r="X526" s="133" t="s">
        <v>2417</v>
      </c>
      <c r="Y526" s="133" t="s">
        <v>2417</v>
      </c>
      <c r="Z526" s="133" t="s">
        <v>2417</v>
      </c>
      <c r="AA526" s="133" t="s">
        <v>2417</v>
      </c>
      <c r="AB526" s="133" t="s">
        <v>2417</v>
      </c>
      <c r="AC526" s="133" t="s">
        <v>2417</v>
      </c>
      <c r="AD526" s="133" t="s">
        <v>2417</v>
      </c>
      <c r="AE526" s="57"/>
    </row>
    <row r="527" spans="1:31" ht="13.2">
      <c r="A527" s="393" t="s">
        <v>511</v>
      </c>
      <c r="B527" s="350"/>
      <c r="C527" s="350"/>
      <c r="D527" s="351"/>
      <c r="E527" s="133" t="s">
        <v>2417</v>
      </c>
      <c r="F527" s="133" t="s">
        <v>2417</v>
      </c>
      <c r="G527" s="133" t="s">
        <v>2417</v>
      </c>
      <c r="H527" s="133" t="s">
        <v>2417</v>
      </c>
      <c r="I527" s="134" t="s">
        <v>2418</v>
      </c>
      <c r="J527" s="133" t="s">
        <v>2417</v>
      </c>
      <c r="K527" s="133" t="s">
        <v>2417</v>
      </c>
      <c r="L527" s="133" t="s">
        <v>2417</v>
      </c>
      <c r="M527" s="133" t="s">
        <v>2417</v>
      </c>
      <c r="N527" s="133" t="s">
        <v>2417</v>
      </c>
      <c r="O527" s="133" t="s">
        <v>2417</v>
      </c>
      <c r="P527" s="133" t="s">
        <v>2417</v>
      </c>
      <c r="Q527" s="133" t="s">
        <v>2417</v>
      </c>
      <c r="R527" s="133" t="s">
        <v>2417</v>
      </c>
      <c r="S527" s="133" t="s">
        <v>2417</v>
      </c>
      <c r="T527" s="133" t="s">
        <v>2417</v>
      </c>
      <c r="U527" s="133" t="s">
        <v>2417</v>
      </c>
      <c r="V527" s="133" t="s">
        <v>2417</v>
      </c>
      <c r="W527" s="133" t="s">
        <v>2417</v>
      </c>
      <c r="X527" s="133" t="s">
        <v>2417</v>
      </c>
      <c r="Y527" s="133" t="s">
        <v>2417</v>
      </c>
      <c r="Z527" s="133" t="s">
        <v>2417</v>
      </c>
      <c r="AA527" s="133" t="s">
        <v>2417</v>
      </c>
      <c r="AB527" s="133" t="s">
        <v>2417</v>
      </c>
      <c r="AC527" s="133" t="s">
        <v>2417</v>
      </c>
      <c r="AD527" s="133" t="s">
        <v>2417</v>
      </c>
      <c r="AE527" s="138"/>
    </row>
    <row r="528" spans="1:31" ht="13.2" outlineLevel="1">
      <c r="A528" s="394" t="s">
        <v>1446</v>
      </c>
      <c r="B528" s="350"/>
      <c r="C528" s="350"/>
      <c r="D528" s="351"/>
      <c r="E528" s="133" t="s">
        <v>2417</v>
      </c>
      <c r="F528" s="133" t="s">
        <v>2417</v>
      </c>
      <c r="G528" s="133" t="s">
        <v>2417</v>
      </c>
      <c r="H528" s="133" t="s">
        <v>2417</v>
      </c>
      <c r="I528" s="133" t="s">
        <v>2417</v>
      </c>
      <c r="J528" s="133" t="s">
        <v>2417</v>
      </c>
      <c r="K528" s="133" t="s">
        <v>2417</v>
      </c>
      <c r="L528" s="133" t="s">
        <v>2417</v>
      </c>
      <c r="M528" s="133" t="s">
        <v>2417</v>
      </c>
      <c r="N528" s="133" t="s">
        <v>2417</v>
      </c>
      <c r="O528" s="133" t="s">
        <v>2417</v>
      </c>
      <c r="P528" s="133" t="s">
        <v>2417</v>
      </c>
      <c r="Q528" s="133" t="s">
        <v>2417</v>
      </c>
      <c r="R528" s="133" t="s">
        <v>2417</v>
      </c>
      <c r="S528" s="133" t="s">
        <v>2417</v>
      </c>
      <c r="T528" s="133" t="s">
        <v>2417</v>
      </c>
      <c r="U528" s="133" t="s">
        <v>2417</v>
      </c>
      <c r="V528" s="133" t="s">
        <v>2417</v>
      </c>
      <c r="W528" s="133" t="s">
        <v>2417</v>
      </c>
      <c r="X528" s="133" t="s">
        <v>2417</v>
      </c>
      <c r="Y528" s="133" t="s">
        <v>2417</v>
      </c>
      <c r="Z528" s="133" t="s">
        <v>2417</v>
      </c>
      <c r="AA528" s="133" t="s">
        <v>2417</v>
      </c>
      <c r="AB528" s="133" t="s">
        <v>2417</v>
      </c>
      <c r="AC528" s="133" t="s">
        <v>2417</v>
      </c>
      <c r="AD528" s="133" t="s">
        <v>2417</v>
      </c>
      <c r="AE528" s="161"/>
    </row>
    <row r="529" spans="1:31" ht="13.2" outlineLevel="2">
      <c r="A529" s="88"/>
      <c r="B529" s="88"/>
      <c r="C529" s="360" t="s">
        <v>1447</v>
      </c>
      <c r="D529" s="351"/>
      <c r="E529" s="133" t="s">
        <v>2417</v>
      </c>
      <c r="F529" s="133" t="s">
        <v>2417</v>
      </c>
      <c r="G529" s="133" t="s">
        <v>2417</v>
      </c>
      <c r="H529" s="133" t="s">
        <v>2417</v>
      </c>
      <c r="I529" s="133" t="s">
        <v>2417</v>
      </c>
      <c r="J529" s="133" t="s">
        <v>2417</v>
      </c>
      <c r="K529" s="133" t="s">
        <v>2417</v>
      </c>
      <c r="L529" s="133" t="s">
        <v>2417</v>
      </c>
      <c r="M529" s="133" t="s">
        <v>2417</v>
      </c>
      <c r="N529" s="133" t="s">
        <v>2417</v>
      </c>
      <c r="O529" s="133" t="s">
        <v>2417</v>
      </c>
      <c r="P529" s="133" t="s">
        <v>2417</v>
      </c>
      <c r="Q529" s="133" t="s">
        <v>2417</v>
      </c>
      <c r="R529" s="133" t="s">
        <v>2417</v>
      </c>
      <c r="S529" s="133" t="s">
        <v>2417</v>
      </c>
      <c r="T529" s="133" t="s">
        <v>2417</v>
      </c>
      <c r="U529" s="133" t="s">
        <v>2417</v>
      </c>
      <c r="V529" s="133" t="s">
        <v>2417</v>
      </c>
      <c r="W529" s="133" t="s">
        <v>2417</v>
      </c>
      <c r="X529" s="133" t="s">
        <v>2417</v>
      </c>
      <c r="Y529" s="133" t="s">
        <v>2417</v>
      </c>
      <c r="Z529" s="133" t="s">
        <v>2417</v>
      </c>
      <c r="AA529" s="133" t="s">
        <v>2417</v>
      </c>
      <c r="AB529" s="133" t="s">
        <v>2417</v>
      </c>
      <c r="AC529" s="133" t="s">
        <v>2417</v>
      </c>
      <c r="AD529" s="133" t="s">
        <v>2417</v>
      </c>
      <c r="AE529" s="123"/>
    </row>
    <row r="530" spans="1:31" ht="13.2" outlineLevel="1">
      <c r="A530" s="395" t="s">
        <v>2607</v>
      </c>
      <c r="B530" s="350"/>
      <c r="C530" s="350"/>
      <c r="D530" s="351"/>
      <c r="E530" s="133" t="s">
        <v>2417</v>
      </c>
      <c r="F530" s="133" t="s">
        <v>2417</v>
      </c>
      <c r="G530" s="133" t="s">
        <v>2417</v>
      </c>
      <c r="H530" s="133" t="s">
        <v>2417</v>
      </c>
      <c r="I530" s="133" t="s">
        <v>2417</v>
      </c>
      <c r="J530" s="133" t="s">
        <v>2417</v>
      </c>
      <c r="K530" s="133" t="s">
        <v>2417</v>
      </c>
      <c r="L530" s="133" t="s">
        <v>2417</v>
      </c>
      <c r="M530" s="133" t="s">
        <v>2417</v>
      </c>
      <c r="N530" s="133" t="s">
        <v>2417</v>
      </c>
      <c r="O530" s="133" t="s">
        <v>2417</v>
      </c>
      <c r="P530" s="133" t="s">
        <v>2417</v>
      </c>
      <c r="Q530" s="133" t="s">
        <v>2417</v>
      </c>
      <c r="R530" s="133" t="s">
        <v>2417</v>
      </c>
      <c r="S530" s="133" t="s">
        <v>2417</v>
      </c>
      <c r="T530" s="133" t="s">
        <v>2417</v>
      </c>
      <c r="U530" s="133" t="s">
        <v>2417</v>
      </c>
      <c r="V530" s="133" t="s">
        <v>2417</v>
      </c>
      <c r="W530" s="133" t="s">
        <v>2417</v>
      </c>
      <c r="X530" s="133" t="s">
        <v>2417</v>
      </c>
      <c r="Y530" s="133" t="s">
        <v>2417</v>
      </c>
      <c r="Z530" s="133" t="s">
        <v>2417</v>
      </c>
      <c r="AA530" s="133" t="s">
        <v>2417</v>
      </c>
      <c r="AB530" s="133" t="s">
        <v>2417</v>
      </c>
      <c r="AC530" s="133" t="s">
        <v>2417</v>
      </c>
      <c r="AD530" s="133" t="s">
        <v>2417</v>
      </c>
      <c r="AE530" s="162"/>
    </row>
    <row r="531" spans="1:31" ht="13.2" outlineLevel="2">
      <c r="A531" s="68" t="s">
        <v>1449</v>
      </c>
      <c r="B531" s="89"/>
      <c r="C531" s="387" t="s">
        <v>1450</v>
      </c>
      <c r="D531" s="351"/>
      <c r="E531" s="133" t="s">
        <v>2417</v>
      </c>
      <c r="F531" s="133" t="s">
        <v>2417</v>
      </c>
      <c r="G531" s="133" t="s">
        <v>2417</v>
      </c>
      <c r="H531" s="133" t="s">
        <v>2417</v>
      </c>
      <c r="I531" s="133" t="s">
        <v>2417</v>
      </c>
      <c r="J531" s="133" t="s">
        <v>2417</v>
      </c>
      <c r="K531" s="133" t="s">
        <v>2417</v>
      </c>
      <c r="L531" s="133" t="s">
        <v>2417</v>
      </c>
      <c r="M531" s="133" t="s">
        <v>2417</v>
      </c>
      <c r="N531" s="133" t="s">
        <v>2417</v>
      </c>
      <c r="O531" s="133" t="s">
        <v>2417</v>
      </c>
      <c r="P531" s="133" t="s">
        <v>2417</v>
      </c>
      <c r="Q531" s="133" t="s">
        <v>2417</v>
      </c>
      <c r="R531" s="133" t="s">
        <v>2417</v>
      </c>
      <c r="S531" s="133" t="s">
        <v>2417</v>
      </c>
      <c r="T531" s="133" t="s">
        <v>2417</v>
      </c>
      <c r="U531" s="133" t="s">
        <v>2417</v>
      </c>
      <c r="V531" s="133" t="s">
        <v>2417</v>
      </c>
      <c r="W531" s="133" t="s">
        <v>2417</v>
      </c>
      <c r="X531" s="133" t="s">
        <v>2417</v>
      </c>
      <c r="Y531" s="133" t="s">
        <v>2417</v>
      </c>
      <c r="Z531" s="133" t="s">
        <v>2417</v>
      </c>
      <c r="AA531" s="133" t="s">
        <v>2417</v>
      </c>
      <c r="AB531" s="133" t="s">
        <v>2417</v>
      </c>
      <c r="AC531" s="133" t="s">
        <v>2417</v>
      </c>
      <c r="AD531" s="133" t="s">
        <v>2417</v>
      </c>
      <c r="AE531" s="59"/>
    </row>
    <row r="532" spans="1:31" ht="13.2" outlineLevel="2">
      <c r="A532" s="68" t="s">
        <v>1451</v>
      </c>
      <c r="B532" s="62" t="s">
        <v>1452</v>
      </c>
      <c r="C532" s="387" t="s">
        <v>1453</v>
      </c>
      <c r="D532" s="351"/>
      <c r="E532" s="133" t="s">
        <v>2417</v>
      </c>
      <c r="F532" s="133" t="s">
        <v>2417</v>
      </c>
      <c r="G532" s="133" t="s">
        <v>2417</v>
      </c>
      <c r="H532" s="133" t="s">
        <v>2417</v>
      </c>
      <c r="I532" s="133" t="s">
        <v>2417</v>
      </c>
      <c r="J532" s="133" t="s">
        <v>2417</v>
      </c>
      <c r="K532" s="133" t="s">
        <v>2417</v>
      </c>
      <c r="L532" s="133" t="s">
        <v>2417</v>
      </c>
      <c r="M532" s="133" t="s">
        <v>2417</v>
      </c>
      <c r="N532" s="133" t="s">
        <v>2417</v>
      </c>
      <c r="O532" s="133" t="s">
        <v>2417</v>
      </c>
      <c r="P532" s="133" t="s">
        <v>2417</v>
      </c>
      <c r="Q532" s="133" t="s">
        <v>2417</v>
      </c>
      <c r="R532" s="133" t="s">
        <v>2417</v>
      </c>
      <c r="S532" s="133" t="s">
        <v>2417</v>
      </c>
      <c r="T532" s="133" t="s">
        <v>2417</v>
      </c>
      <c r="U532" s="133" t="s">
        <v>2417</v>
      </c>
      <c r="V532" s="133" t="s">
        <v>2417</v>
      </c>
      <c r="W532" s="133" t="s">
        <v>2417</v>
      </c>
      <c r="X532" s="133" t="s">
        <v>2417</v>
      </c>
      <c r="Y532" s="133" t="s">
        <v>2417</v>
      </c>
      <c r="Z532" s="133" t="s">
        <v>2417</v>
      </c>
      <c r="AA532" s="133" t="s">
        <v>2417</v>
      </c>
      <c r="AB532" s="133" t="s">
        <v>2417</v>
      </c>
      <c r="AC532" s="133" t="s">
        <v>2417</v>
      </c>
      <c r="AD532" s="133" t="s">
        <v>2417</v>
      </c>
      <c r="AE532" s="57"/>
    </row>
    <row r="533" spans="1:31" ht="13.2" outlineLevel="2">
      <c r="A533" s="68" t="s">
        <v>1454</v>
      </c>
      <c r="B533" s="62" t="s">
        <v>1455</v>
      </c>
      <c r="C533" s="387" t="s">
        <v>1456</v>
      </c>
      <c r="D533" s="351"/>
      <c r="E533" s="133" t="s">
        <v>2417</v>
      </c>
      <c r="F533" s="133" t="s">
        <v>2417</v>
      </c>
      <c r="G533" s="133" t="s">
        <v>2417</v>
      </c>
      <c r="H533" s="133" t="s">
        <v>2417</v>
      </c>
      <c r="I533" s="133" t="s">
        <v>2417</v>
      </c>
      <c r="J533" s="133" t="s">
        <v>2417</v>
      </c>
      <c r="K533" s="133" t="s">
        <v>2417</v>
      </c>
      <c r="L533" s="133" t="s">
        <v>2417</v>
      </c>
      <c r="M533" s="133" t="s">
        <v>2417</v>
      </c>
      <c r="N533" s="133" t="s">
        <v>2417</v>
      </c>
      <c r="O533" s="133" t="s">
        <v>2417</v>
      </c>
      <c r="P533" s="133" t="s">
        <v>2417</v>
      </c>
      <c r="Q533" s="133" t="s">
        <v>2417</v>
      </c>
      <c r="R533" s="133" t="s">
        <v>2417</v>
      </c>
      <c r="S533" s="133" t="s">
        <v>2417</v>
      </c>
      <c r="T533" s="133" t="s">
        <v>2417</v>
      </c>
      <c r="U533" s="133" t="s">
        <v>2417</v>
      </c>
      <c r="V533" s="133" t="s">
        <v>2417</v>
      </c>
      <c r="W533" s="133" t="s">
        <v>2417</v>
      </c>
      <c r="X533" s="133" t="s">
        <v>2417</v>
      </c>
      <c r="Y533" s="133" t="s">
        <v>2417</v>
      </c>
      <c r="Z533" s="133" t="s">
        <v>2417</v>
      </c>
      <c r="AA533" s="133" t="s">
        <v>2417</v>
      </c>
      <c r="AB533" s="133" t="s">
        <v>2417</v>
      </c>
      <c r="AC533" s="133" t="s">
        <v>2417</v>
      </c>
      <c r="AD533" s="133" t="s">
        <v>2417</v>
      </c>
      <c r="AE533" s="57"/>
    </row>
    <row r="534" spans="1:31" ht="13.2" outlineLevel="1">
      <c r="A534" s="395" t="s">
        <v>2608</v>
      </c>
      <c r="B534" s="350"/>
      <c r="C534" s="350"/>
      <c r="D534" s="351"/>
      <c r="E534" s="133" t="s">
        <v>2417</v>
      </c>
      <c r="F534" s="133" t="s">
        <v>2417</v>
      </c>
      <c r="G534" s="133" t="s">
        <v>2417</v>
      </c>
      <c r="H534" s="133" t="s">
        <v>2417</v>
      </c>
      <c r="I534" s="133" t="s">
        <v>2417</v>
      </c>
      <c r="J534" s="133" t="s">
        <v>2417</v>
      </c>
      <c r="K534" s="133" t="s">
        <v>2417</v>
      </c>
      <c r="L534" s="133" t="s">
        <v>2417</v>
      </c>
      <c r="M534" s="133" t="s">
        <v>2417</v>
      </c>
      <c r="N534" s="133" t="s">
        <v>2417</v>
      </c>
      <c r="O534" s="133" t="s">
        <v>2417</v>
      </c>
      <c r="P534" s="133" t="s">
        <v>2417</v>
      </c>
      <c r="Q534" s="133" t="s">
        <v>2417</v>
      </c>
      <c r="R534" s="133" t="s">
        <v>2417</v>
      </c>
      <c r="S534" s="133" t="s">
        <v>2417</v>
      </c>
      <c r="T534" s="133" t="s">
        <v>2417</v>
      </c>
      <c r="U534" s="133" t="s">
        <v>2417</v>
      </c>
      <c r="V534" s="133" t="s">
        <v>2417</v>
      </c>
      <c r="W534" s="133" t="s">
        <v>2417</v>
      </c>
      <c r="X534" s="133" t="s">
        <v>2417</v>
      </c>
      <c r="Y534" s="133" t="s">
        <v>2417</v>
      </c>
      <c r="Z534" s="133" t="s">
        <v>2417</v>
      </c>
      <c r="AA534" s="133" t="s">
        <v>2417</v>
      </c>
      <c r="AB534" s="133" t="s">
        <v>2417</v>
      </c>
      <c r="AC534" s="133" t="s">
        <v>2417</v>
      </c>
      <c r="AD534" s="133" t="s">
        <v>2417</v>
      </c>
      <c r="AE534" s="162"/>
    </row>
    <row r="535" spans="1:31" ht="13.2" outlineLevel="2">
      <c r="A535" s="68" t="s">
        <v>1458</v>
      </c>
      <c r="B535" s="89"/>
      <c r="C535" s="360" t="s">
        <v>1459</v>
      </c>
      <c r="D535" s="351"/>
      <c r="E535" s="133" t="s">
        <v>2417</v>
      </c>
      <c r="F535" s="133" t="s">
        <v>2417</v>
      </c>
      <c r="G535" s="133" t="s">
        <v>2417</v>
      </c>
      <c r="H535" s="133" t="s">
        <v>2417</v>
      </c>
      <c r="I535" s="133" t="s">
        <v>2417</v>
      </c>
      <c r="J535" s="133" t="s">
        <v>2417</v>
      </c>
      <c r="K535" s="133" t="s">
        <v>2417</v>
      </c>
      <c r="L535" s="133" t="s">
        <v>2417</v>
      </c>
      <c r="M535" s="133" t="s">
        <v>2417</v>
      </c>
      <c r="N535" s="133" t="s">
        <v>2417</v>
      </c>
      <c r="O535" s="133" t="s">
        <v>2417</v>
      </c>
      <c r="P535" s="133" t="s">
        <v>2417</v>
      </c>
      <c r="Q535" s="133" t="s">
        <v>2417</v>
      </c>
      <c r="R535" s="133" t="s">
        <v>2417</v>
      </c>
      <c r="S535" s="133" t="s">
        <v>2417</v>
      </c>
      <c r="T535" s="133" t="s">
        <v>2417</v>
      </c>
      <c r="U535" s="133" t="s">
        <v>2417</v>
      </c>
      <c r="V535" s="133" t="s">
        <v>2417</v>
      </c>
      <c r="W535" s="133" t="s">
        <v>2417</v>
      </c>
      <c r="X535" s="133" t="s">
        <v>2417</v>
      </c>
      <c r="Y535" s="133" t="s">
        <v>2417</v>
      </c>
      <c r="Z535" s="133" t="s">
        <v>2417</v>
      </c>
      <c r="AA535" s="133" t="s">
        <v>2417</v>
      </c>
      <c r="AB535" s="133" t="s">
        <v>2417</v>
      </c>
      <c r="AC535" s="133" t="s">
        <v>2417</v>
      </c>
      <c r="AD535" s="133" t="s">
        <v>2417</v>
      </c>
      <c r="AE535" s="123"/>
    </row>
    <row r="536" spans="1:31" ht="20.399999999999999" outlineLevel="2">
      <c r="A536" s="68" t="s">
        <v>1460</v>
      </c>
      <c r="B536" s="62" t="s">
        <v>1461</v>
      </c>
      <c r="C536" s="387" t="s">
        <v>1462</v>
      </c>
      <c r="D536" s="351"/>
      <c r="E536" s="133" t="s">
        <v>2417</v>
      </c>
      <c r="F536" s="133" t="s">
        <v>2417</v>
      </c>
      <c r="G536" s="133" t="s">
        <v>2417</v>
      </c>
      <c r="H536" s="133" t="s">
        <v>2417</v>
      </c>
      <c r="I536" s="133" t="s">
        <v>2417</v>
      </c>
      <c r="J536" s="133" t="s">
        <v>2417</v>
      </c>
      <c r="K536" s="133" t="s">
        <v>2417</v>
      </c>
      <c r="L536" s="133" t="s">
        <v>2417</v>
      </c>
      <c r="M536" s="133" t="s">
        <v>2417</v>
      </c>
      <c r="N536" s="133" t="s">
        <v>2417</v>
      </c>
      <c r="O536" s="133" t="s">
        <v>2417</v>
      </c>
      <c r="P536" s="133" t="s">
        <v>2417</v>
      </c>
      <c r="Q536" s="133" t="s">
        <v>2417</v>
      </c>
      <c r="R536" s="133" t="s">
        <v>2417</v>
      </c>
      <c r="S536" s="133" t="s">
        <v>2417</v>
      </c>
      <c r="T536" s="133" t="s">
        <v>2417</v>
      </c>
      <c r="U536" s="133" t="s">
        <v>2417</v>
      </c>
      <c r="V536" s="133" t="s">
        <v>2417</v>
      </c>
      <c r="W536" s="133" t="s">
        <v>2417</v>
      </c>
      <c r="X536" s="133" t="s">
        <v>2417</v>
      </c>
      <c r="Y536" s="133" t="s">
        <v>2417</v>
      </c>
      <c r="Z536" s="133" t="s">
        <v>2417</v>
      </c>
      <c r="AA536" s="133" t="s">
        <v>2417</v>
      </c>
      <c r="AB536" s="133" t="s">
        <v>2417</v>
      </c>
      <c r="AC536" s="133" t="s">
        <v>2417</v>
      </c>
      <c r="AD536" s="133" t="s">
        <v>2417</v>
      </c>
      <c r="AE536" s="57"/>
    </row>
    <row r="537" spans="1:31" ht="20.399999999999999" outlineLevel="2">
      <c r="A537" s="68" t="s">
        <v>1463</v>
      </c>
      <c r="B537" s="62" t="s">
        <v>1464</v>
      </c>
      <c r="C537" s="387" t="s">
        <v>1465</v>
      </c>
      <c r="D537" s="351"/>
      <c r="E537" s="133" t="s">
        <v>2417</v>
      </c>
      <c r="F537" s="133" t="s">
        <v>2417</v>
      </c>
      <c r="G537" s="133" t="s">
        <v>2417</v>
      </c>
      <c r="H537" s="133" t="s">
        <v>2417</v>
      </c>
      <c r="I537" s="133" t="s">
        <v>2417</v>
      </c>
      <c r="J537" s="133" t="s">
        <v>2417</v>
      </c>
      <c r="K537" s="133" t="s">
        <v>2417</v>
      </c>
      <c r="L537" s="133" t="s">
        <v>2417</v>
      </c>
      <c r="M537" s="133" t="s">
        <v>2417</v>
      </c>
      <c r="N537" s="133" t="s">
        <v>2417</v>
      </c>
      <c r="O537" s="133" t="s">
        <v>2417</v>
      </c>
      <c r="P537" s="133" t="s">
        <v>2417</v>
      </c>
      <c r="Q537" s="133" t="s">
        <v>2417</v>
      </c>
      <c r="R537" s="133" t="s">
        <v>2417</v>
      </c>
      <c r="S537" s="133" t="s">
        <v>2417</v>
      </c>
      <c r="T537" s="133" t="s">
        <v>2417</v>
      </c>
      <c r="U537" s="133" t="s">
        <v>2417</v>
      </c>
      <c r="V537" s="133" t="s">
        <v>2417</v>
      </c>
      <c r="W537" s="133" t="s">
        <v>2417</v>
      </c>
      <c r="X537" s="133" t="s">
        <v>2417</v>
      </c>
      <c r="Y537" s="133" t="s">
        <v>2417</v>
      </c>
      <c r="Z537" s="133" t="s">
        <v>2417</v>
      </c>
      <c r="AA537" s="133" t="s">
        <v>2417</v>
      </c>
      <c r="AB537" s="133" t="s">
        <v>2417</v>
      </c>
      <c r="AC537" s="133" t="s">
        <v>2417</v>
      </c>
      <c r="AD537" s="133" t="s">
        <v>2417</v>
      </c>
      <c r="AE537" s="57"/>
    </row>
    <row r="538" spans="1:31" ht="20.399999999999999" outlineLevel="2">
      <c r="A538" s="68" t="s">
        <v>1466</v>
      </c>
      <c r="B538" s="62" t="s">
        <v>1467</v>
      </c>
      <c r="C538" s="387" t="s">
        <v>1468</v>
      </c>
      <c r="D538" s="351"/>
      <c r="E538" s="133" t="s">
        <v>2417</v>
      </c>
      <c r="F538" s="133" t="s">
        <v>2417</v>
      </c>
      <c r="G538" s="133" t="s">
        <v>2417</v>
      </c>
      <c r="H538" s="133" t="s">
        <v>2417</v>
      </c>
      <c r="I538" s="133" t="s">
        <v>2417</v>
      </c>
      <c r="J538" s="133" t="s">
        <v>2417</v>
      </c>
      <c r="K538" s="133" t="s">
        <v>2417</v>
      </c>
      <c r="L538" s="133" t="s">
        <v>2417</v>
      </c>
      <c r="M538" s="133" t="s">
        <v>2417</v>
      </c>
      <c r="N538" s="133" t="s">
        <v>2417</v>
      </c>
      <c r="O538" s="133" t="s">
        <v>2417</v>
      </c>
      <c r="P538" s="133" t="s">
        <v>2417</v>
      </c>
      <c r="Q538" s="133" t="s">
        <v>2417</v>
      </c>
      <c r="R538" s="133" t="s">
        <v>2417</v>
      </c>
      <c r="S538" s="133" t="s">
        <v>2417</v>
      </c>
      <c r="T538" s="133" t="s">
        <v>2417</v>
      </c>
      <c r="U538" s="133" t="s">
        <v>2417</v>
      </c>
      <c r="V538" s="133" t="s">
        <v>2417</v>
      </c>
      <c r="W538" s="133" t="s">
        <v>2417</v>
      </c>
      <c r="X538" s="133" t="s">
        <v>2417</v>
      </c>
      <c r="Y538" s="133" t="s">
        <v>2417</v>
      </c>
      <c r="Z538" s="133" t="s">
        <v>2417</v>
      </c>
      <c r="AA538" s="133" t="s">
        <v>2417</v>
      </c>
      <c r="AB538" s="133" t="s">
        <v>2417</v>
      </c>
      <c r="AC538" s="133" t="s">
        <v>2417</v>
      </c>
      <c r="AD538" s="133" t="s">
        <v>2417</v>
      </c>
      <c r="AE538" s="57"/>
    </row>
    <row r="539" spans="1:31" ht="13.2" outlineLevel="2">
      <c r="A539" s="68" t="s">
        <v>1469</v>
      </c>
      <c r="B539" s="62" t="s">
        <v>1470</v>
      </c>
      <c r="C539" s="387" t="s">
        <v>1471</v>
      </c>
      <c r="D539" s="351"/>
      <c r="E539" s="133" t="s">
        <v>2417</v>
      </c>
      <c r="F539" s="133" t="s">
        <v>2417</v>
      </c>
      <c r="G539" s="133" t="s">
        <v>2417</v>
      </c>
      <c r="H539" s="133" t="s">
        <v>2417</v>
      </c>
      <c r="I539" s="133" t="s">
        <v>2417</v>
      </c>
      <c r="J539" s="133" t="s">
        <v>2417</v>
      </c>
      <c r="K539" s="133" t="s">
        <v>2417</v>
      </c>
      <c r="L539" s="133" t="s">
        <v>2417</v>
      </c>
      <c r="M539" s="133" t="s">
        <v>2417</v>
      </c>
      <c r="N539" s="133" t="s">
        <v>2417</v>
      </c>
      <c r="O539" s="133" t="s">
        <v>2417</v>
      </c>
      <c r="P539" s="133" t="s">
        <v>2417</v>
      </c>
      <c r="Q539" s="133" t="s">
        <v>2417</v>
      </c>
      <c r="R539" s="133" t="s">
        <v>2417</v>
      </c>
      <c r="S539" s="133" t="s">
        <v>2417</v>
      </c>
      <c r="T539" s="133" t="s">
        <v>2417</v>
      </c>
      <c r="U539" s="133" t="s">
        <v>2417</v>
      </c>
      <c r="V539" s="133" t="s">
        <v>2417</v>
      </c>
      <c r="W539" s="133" t="s">
        <v>2417</v>
      </c>
      <c r="X539" s="133" t="s">
        <v>2417</v>
      </c>
      <c r="Y539" s="133" t="s">
        <v>2417</v>
      </c>
      <c r="Z539" s="133" t="s">
        <v>2417</v>
      </c>
      <c r="AA539" s="133" t="s">
        <v>2417</v>
      </c>
      <c r="AB539" s="133" t="s">
        <v>2417</v>
      </c>
      <c r="AC539" s="133" t="s">
        <v>2417</v>
      </c>
      <c r="AD539" s="133" t="s">
        <v>2417</v>
      </c>
      <c r="AE539" s="57"/>
    </row>
    <row r="540" spans="1:31" ht="13.2" outlineLevel="2">
      <c r="A540" s="68" t="s">
        <v>1472</v>
      </c>
      <c r="B540" s="62" t="s">
        <v>1473</v>
      </c>
      <c r="C540" s="387" t="s">
        <v>2609</v>
      </c>
      <c r="D540" s="351"/>
      <c r="E540" s="133" t="s">
        <v>2417</v>
      </c>
      <c r="F540" s="133" t="s">
        <v>2417</v>
      </c>
      <c r="G540" s="133" t="s">
        <v>2417</v>
      </c>
      <c r="H540" s="133" t="s">
        <v>2417</v>
      </c>
      <c r="I540" s="133" t="s">
        <v>2417</v>
      </c>
      <c r="J540" s="133" t="s">
        <v>2417</v>
      </c>
      <c r="K540" s="133" t="s">
        <v>2417</v>
      </c>
      <c r="L540" s="133" t="s">
        <v>2417</v>
      </c>
      <c r="M540" s="133" t="s">
        <v>2417</v>
      </c>
      <c r="N540" s="133" t="s">
        <v>2417</v>
      </c>
      <c r="O540" s="133" t="s">
        <v>2417</v>
      </c>
      <c r="P540" s="133" t="s">
        <v>2417</v>
      </c>
      <c r="Q540" s="133" t="s">
        <v>2417</v>
      </c>
      <c r="R540" s="133" t="s">
        <v>2417</v>
      </c>
      <c r="S540" s="133" t="s">
        <v>2417</v>
      </c>
      <c r="T540" s="133" t="s">
        <v>2417</v>
      </c>
      <c r="U540" s="133" t="s">
        <v>2417</v>
      </c>
      <c r="V540" s="133" t="s">
        <v>2417</v>
      </c>
      <c r="W540" s="133" t="s">
        <v>2417</v>
      </c>
      <c r="X540" s="133" t="s">
        <v>2417</v>
      </c>
      <c r="Y540" s="133" t="s">
        <v>2417</v>
      </c>
      <c r="Z540" s="133" t="s">
        <v>2417</v>
      </c>
      <c r="AA540" s="133" t="s">
        <v>2417</v>
      </c>
      <c r="AB540" s="133" t="s">
        <v>2417</v>
      </c>
      <c r="AC540" s="133" t="s">
        <v>2417</v>
      </c>
      <c r="AD540" s="133" t="s">
        <v>2417</v>
      </c>
      <c r="AE540" s="57"/>
    </row>
    <row r="541" spans="1:31" ht="20.399999999999999" outlineLevel="2">
      <c r="A541" s="68" t="s">
        <v>1475</v>
      </c>
      <c r="B541" s="62" t="s">
        <v>1476</v>
      </c>
      <c r="C541" s="387" t="s">
        <v>1477</v>
      </c>
      <c r="D541" s="351"/>
      <c r="E541" s="133" t="s">
        <v>2417</v>
      </c>
      <c r="F541" s="133" t="s">
        <v>2417</v>
      </c>
      <c r="G541" s="133" t="s">
        <v>2417</v>
      </c>
      <c r="H541" s="133" t="s">
        <v>2417</v>
      </c>
      <c r="I541" s="133" t="s">
        <v>2417</v>
      </c>
      <c r="J541" s="133" t="s">
        <v>2417</v>
      </c>
      <c r="K541" s="133" t="s">
        <v>2417</v>
      </c>
      <c r="L541" s="133" t="s">
        <v>2417</v>
      </c>
      <c r="M541" s="133" t="s">
        <v>2417</v>
      </c>
      <c r="N541" s="133" t="s">
        <v>2417</v>
      </c>
      <c r="O541" s="133" t="s">
        <v>2417</v>
      </c>
      <c r="P541" s="133" t="s">
        <v>2417</v>
      </c>
      <c r="Q541" s="133" t="s">
        <v>2417</v>
      </c>
      <c r="R541" s="133" t="s">
        <v>2417</v>
      </c>
      <c r="S541" s="133" t="s">
        <v>2417</v>
      </c>
      <c r="T541" s="133" t="s">
        <v>2417</v>
      </c>
      <c r="U541" s="133" t="s">
        <v>2417</v>
      </c>
      <c r="V541" s="133" t="s">
        <v>2417</v>
      </c>
      <c r="W541" s="133" t="s">
        <v>2417</v>
      </c>
      <c r="X541" s="133" t="s">
        <v>2417</v>
      </c>
      <c r="Y541" s="133" t="s">
        <v>2417</v>
      </c>
      <c r="Z541" s="133" t="s">
        <v>2417</v>
      </c>
      <c r="AA541" s="133" t="s">
        <v>2417</v>
      </c>
      <c r="AB541" s="133" t="s">
        <v>2417</v>
      </c>
      <c r="AC541" s="133" t="s">
        <v>2417</v>
      </c>
      <c r="AD541" s="133" t="s">
        <v>2417</v>
      </c>
      <c r="AE541" s="57"/>
    </row>
    <row r="542" spans="1:31" ht="13.2" hidden="1" outlineLevel="1">
      <c r="A542" s="395" t="s">
        <v>2610</v>
      </c>
      <c r="B542" s="350"/>
      <c r="C542" s="350"/>
      <c r="D542" s="351"/>
      <c r="E542" s="133" t="s">
        <v>2417</v>
      </c>
      <c r="F542" s="133" t="s">
        <v>2417</v>
      </c>
      <c r="G542" s="133" t="s">
        <v>2417</v>
      </c>
      <c r="H542" s="133" t="s">
        <v>2417</v>
      </c>
      <c r="I542" s="163" t="s">
        <v>2418</v>
      </c>
      <c r="J542" s="123" t="s">
        <v>2500</v>
      </c>
      <c r="K542" s="133" t="s">
        <v>2417</v>
      </c>
      <c r="L542" s="133" t="s">
        <v>2417</v>
      </c>
      <c r="M542" s="133" t="s">
        <v>2417</v>
      </c>
      <c r="N542" s="133" t="s">
        <v>2417</v>
      </c>
      <c r="O542" s="133" t="s">
        <v>2417</v>
      </c>
      <c r="P542" s="133" t="s">
        <v>2417</v>
      </c>
      <c r="Q542" s="133" t="s">
        <v>2417</v>
      </c>
      <c r="R542" s="133" t="s">
        <v>2417</v>
      </c>
      <c r="S542" s="133" t="s">
        <v>2417</v>
      </c>
      <c r="T542" s="133" t="s">
        <v>2417</v>
      </c>
      <c r="U542" s="133" t="s">
        <v>2417</v>
      </c>
      <c r="V542" s="133" t="s">
        <v>2417</v>
      </c>
      <c r="W542" s="133" t="s">
        <v>2417</v>
      </c>
      <c r="X542" s="133" t="s">
        <v>2417</v>
      </c>
      <c r="Y542" s="133" t="s">
        <v>2417</v>
      </c>
      <c r="Z542" s="133" t="s">
        <v>2417</v>
      </c>
      <c r="AA542" s="133" t="s">
        <v>2417</v>
      </c>
      <c r="AB542" s="133" t="s">
        <v>2417</v>
      </c>
      <c r="AC542" s="133" t="s">
        <v>2417</v>
      </c>
      <c r="AD542" s="133" t="s">
        <v>2417</v>
      </c>
      <c r="AE542" s="164"/>
    </row>
    <row r="543" spans="1:31" ht="13.2" hidden="1" outlineLevel="2">
      <c r="A543" s="61" t="s">
        <v>2611</v>
      </c>
      <c r="B543" s="65"/>
      <c r="C543" s="360" t="s">
        <v>2612</v>
      </c>
      <c r="D543" s="351"/>
      <c r="E543" s="133" t="s">
        <v>2417</v>
      </c>
      <c r="F543" s="133" t="s">
        <v>2417</v>
      </c>
      <c r="G543" s="133" t="s">
        <v>2417</v>
      </c>
      <c r="H543" s="133" t="s">
        <v>2417</v>
      </c>
      <c r="I543" s="163" t="s">
        <v>2418</v>
      </c>
      <c r="J543" s="123" t="s">
        <v>2500</v>
      </c>
      <c r="K543" s="133" t="s">
        <v>2417</v>
      </c>
      <c r="L543" s="133" t="s">
        <v>2417</v>
      </c>
      <c r="M543" s="133" t="s">
        <v>2417</v>
      </c>
      <c r="N543" s="133" t="s">
        <v>2417</v>
      </c>
      <c r="O543" s="133" t="s">
        <v>2417</v>
      </c>
      <c r="P543" s="133" t="s">
        <v>2417</v>
      </c>
      <c r="Q543" s="133" t="s">
        <v>2417</v>
      </c>
      <c r="R543" s="133" t="s">
        <v>2417</v>
      </c>
      <c r="S543" s="133" t="s">
        <v>2417</v>
      </c>
      <c r="T543" s="133" t="s">
        <v>2417</v>
      </c>
      <c r="U543" s="133" t="s">
        <v>2417</v>
      </c>
      <c r="V543" s="133" t="s">
        <v>2417</v>
      </c>
      <c r="W543" s="133" t="s">
        <v>2417</v>
      </c>
      <c r="X543" s="133" t="s">
        <v>2417</v>
      </c>
      <c r="Y543" s="133" t="s">
        <v>2417</v>
      </c>
      <c r="Z543" s="133" t="s">
        <v>2417</v>
      </c>
      <c r="AA543" s="133" t="s">
        <v>2417</v>
      </c>
      <c r="AB543" s="133" t="s">
        <v>2417</v>
      </c>
      <c r="AC543" s="133" t="s">
        <v>2417</v>
      </c>
      <c r="AD543" s="133" t="s">
        <v>2417</v>
      </c>
      <c r="AE543" s="123"/>
    </row>
    <row r="544" spans="1:31" ht="13.2" outlineLevel="1">
      <c r="A544" s="395" t="s">
        <v>1478</v>
      </c>
      <c r="B544" s="350"/>
      <c r="C544" s="350"/>
      <c r="D544" s="351"/>
      <c r="E544" s="133" t="s">
        <v>2417</v>
      </c>
      <c r="F544" s="133" t="s">
        <v>2417</v>
      </c>
      <c r="G544" s="133" t="s">
        <v>2417</v>
      </c>
      <c r="H544" s="133" t="s">
        <v>2417</v>
      </c>
      <c r="I544" s="133" t="s">
        <v>2417</v>
      </c>
      <c r="J544" s="133" t="s">
        <v>2417</v>
      </c>
      <c r="K544" s="133" t="s">
        <v>2417</v>
      </c>
      <c r="L544" s="133" t="s">
        <v>2417</v>
      </c>
      <c r="M544" s="133" t="s">
        <v>2417</v>
      </c>
      <c r="N544" s="133" t="s">
        <v>2417</v>
      </c>
      <c r="O544" s="133" t="s">
        <v>2417</v>
      </c>
      <c r="P544" s="133" t="s">
        <v>2417</v>
      </c>
      <c r="Q544" s="133" t="s">
        <v>2417</v>
      </c>
      <c r="R544" s="133" t="s">
        <v>2417</v>
      </c>
      <c r="S544" s="133" t="s">
        <v>2417</v>
      </c>
      <c r="T544" s="133" t="s">
        <v>2417</v>
      </c>
      <c r="U544" s="133" t="s">
        <v>2417</v>
      </c>
      <c r="V544" s="133" t="s">
        <v>2417</v>
      </c>
      <c r="W544" s="133" t="s">
        <v>2417</v>
      </c>
      <c r="X544" s="133" t="s">
        <v>2417</v>
      </c>
      <c r="Y544" s="133" t="s">
        <v>2417</v>
      </c>
      <c r="Z544" s="133" t="s">
        <v>2417</v>
      </c>
      <c r="AA544" s="133" t="s">
        <v>2417</v>
      </c>
      <c r="AB544" s="133" t="s">
        <v>2417</v>
      </c>
      <c r="AC544" s="133" t="s">
        <v>2417</v>
      </c>
      <c r="AD544" s="133" t="s">
        <v>2417</v>
      </c>
      <c r="AE544" s="164"/>
    </row>
    <row r="545" spans="1:31" ht="13.2" outlineLevel="2">
      <c r="A545" s="61" t="s">
        <v>1479</v>
      </c>
      <c r="B545" s="65" t="s">
        <v>1480</v>
      </c>
      <c r="C545" s="360" t="s">
        <v>1481</v>
      </c>
      <c r="D545" s="351"/>
      <c r="E545" s="133" t="s">
        <v>2417</v>
      </c>
      <c r="F545" s="133" t="s">
        <v>2417</v>
      </c>
      <c r="G545" s="133" t="s">
        <v>2417</v>
      </c>
      <c r="H545" s="133" t="s">
        <v>2417</v>
      </c>
      <c r="I545" s="133" t="s">
        <v>2417</v>
      </c>
      <c r="J545" s="133" t="s">
        <v>2417</v>
      </c>
      <c r="K545" s="133" t="s">
        <v>2417</v>
      </c>
      <c r="L545" s="133" t="s">
        <v>2417</v>
      </c>
      <c r="M545" s="133" t="s">
        <v>2417</v>
      </c>
      <c r="N545" s="133" t="s">
        <v>2417</v>
      </c>
      <c r="O545" s="133" t="s">
        <v>2417</v>
      </c>
      <c r="P545" s="133" t="s">
        <v>2417</v>
      </c>
      <c r="Q545" s="133" t="s">
        <v>2417</v>
      </c>
      <c r="R545" s="133" t="s">
        <v>2417</v>
      </c>
      <c r="S545" s="133" t="s">
        <v>2417</v>
      </c>
      <c r="T545" s="133" t="s">
        <v>2417</v>
      </c>
      <c r="U545" s="133" t="s">
        <v>2417</v>
      </c>
      <c r="V545" s="133" t="s">
        <v>2417</v>
      </c>
      <c r="W545" s="133" t="s">
        <v>2417</v>
      </c>
      <c r="X545" s="133" t="s">
        <v>2417</v>
      </c>
      <c r="Y545" s="133" t="s">
        <v>2417</v>
      </c>
      <c r="Z545" s="133" t="s">
        <v>2417</v>
      </c>
      <c r="AA545" s="133" t="s">
        <v>2417</v>
      </c>
      <c r="AB545" s="133" t="s">
        <v>2417</v>
      </c>
      <c r="AC545" s="133" t="s">
        <v>2417</v>
      </c>
      <c r="AD545" s="133" t="s">
        <v>2417</v>
      </c>
      <c r="AE545" s="123"/>
    </row>
    <row r="546" spans="1:31" ht="13.2" outlineLevel="2">
      <c r="A546" s="61" t="s">
        <v>1482</v>
      </c>
      <c r="B546" s="65" t="s">
        <v>1483</v>
      </c>
      <c r="C546" s="360" t="s">
        <v>1484</v>
      </c>
      <c r="D546" s="351"/>
      <c r="E546" s="133" t="s">
        <v>2417</v>
      </c>
      <c r="F546" s="133" t="s">
        <v>2417</v>
      </c>
      <c r="G546" s="133" t="s">
        <v>2417</v>
      </c>
      <c r="H546" s="133" t="s">
        <v>2417</v>
      </c>
      <c r="I546" s="133" t="s">
        <v>2417</v>
      </c>
      <c r="J546" s="133" t="s">
        <v>2417</v>
      </c>
      <c r="K546" s="133" t="s">
        <v>2417</v>
      </c>
      <c r="L546" s="133" t="s">
        <v>2417</v>
      </c>
      <c r="M546" s="133" t="s">
        <v>2417</v>
      </c>
      <c r="N546" s="133" t="s">
        <v>2417</v>
      </c>
      <c r="O546" s="133" t="s">
        <v>2417</v>
      </c>
      <c r="P546" s="133" t="s">
        <v>2417</v>
      </c>
      <c r="Q546" s="133" t="s">
        <v>2417</v>
      </c>
      <c r="R546" s="133" t="s">
        <v>2417</v>
      </c>
      <c r="S546" s="133" t="s">
        <v>2417</v>
      </c>
      <c r="T546" s="133" t="s">
        <v>2417</v>
      </c>
      <c r="U546" s="133" t="s">
        <v>2417</v>
      </c>
      <c r="V546" s="133" t="s">
        <v>2417</v>
      </c>
      <c r="W546" s="133" t="s">
        <v>2417</v>
      </c>
      <c r="X546" s="133" t="s">
        <v>2417</v>
      </c>
      <c r="Y546" s="133" t="s">
        <v>2417</v>
      </c>
      <c r="Z546" s="133" t="s">
        <v>2417</v>
      </c>
      <c r="AA546" s="133" t="s">
        <v>2417</v>
      </c>
      <c r="AB546" s="133" t="s">
        <v>2417</v>
      </c>
      <c r="AC546" s="133" t="s">
        <v>2417</v>
      </c>
      <c r="AD546" s="133" t="s">
        <v>2417</v>
      </c>
      <c r="AE546" s="123"/>
    </row>
    <row r="547" spans="1:31" ht="13.2" outlineLevel="2">
      <c r="A547" s="61" t="s">
        <v>1485</v>
      </c>
      <c r="B547" s="65" t="s">
        <v>1486</v>
      </c>
      <c r="C547" s="360" t="s">
        <v>1487</v>
      </c>
      <c r="D547" s="351"/>
      <c r="E547" s="133" t="s">
        <v>2417</v>
      </c>
      <c r="F547" s="133" t="s">
        <v>2417</v>
      </c>
      <c r="G547" s="133" t="s">
        <v>2417</v>
      </c>
      <c r="H547" s="133" t="s">
        <v>2417</v>
      </c>
      <c r="I547" s="133" t="s">
        <v>2417</v>
      </c>
      <c r="J547" s="133" t="s">
        <v>2417</v>
      </c>
      <c r="K547" s="133" t="s">
        <v>2417</v>
      </c>
      <c r="L547" s="133" t="s">
        <v>2417</v>
      </c>
      <c r="M547" s="133" t="s">
        <v>2417</v>
      </c>
      <c r="N547" s="133" t="s">
        <v>2417</v>
      </c>
      <c r="O547" s="133" t="s">
        <v>2417</v>
      </c>
      <c r="P547" s="133" t="s">
        <v>2417</v>
      </c>
      <c r="Q547" s="133" t="s">
        <v>2417</v>
      </c>
      <c r="R547" s="133" t="s">
        <v>2417</v>
      </c>
      <c r="S547" s="133" t="s">
        <v>2417</v>
      </c>
      <c r="T547" s="133" t="s">
        <v>2417</v>
      </c>
      <c r="U547" s="133" t="s">
        <v>2417</v>
      </c>
      <c r="V547" s="133" t="s">
        <v>2417</v>
      </c>
      <c r="W547" s="133" t="s">
        <v>2417</v>
      </c>
      <c r="X547" s="133" t="s">
        <v>2417</v>
      </c>
      <c r="Y547" s="133" t="s">
        <v>2417</v>
      </c>
      <c r="Z547" s="133" t="s">
        <v>2417</v>
      </c>
      <c r="AA547" s="133" t="s">
        <v>2417</v>
      </c>
      <c r="AB547" s="133" t="s">
        <v>2417</v>
      </c>
      <c r="AC547" s="133" t="s">
        <v>2417</v>
      </c>
      <c r="AD547" s="133" t="s">
        <v>2417</v>
      </c>
      <c r="AE547" s="123"/>
    </row>
    <row r="548" spans="1:31" ht="20.399999999999999" outlineLevel="2">
      <c r="A548" s="61" t="s">
        <v>1488</v>
      </c>
      <c r="B548" s="65" t="s">
        <v>1489</v>
      </c>
      <c r="C548" s="360" t="s">
        <v>1490</v>
      </c>
      <c r="D548" s="351"/>
      <c r="E548" s="133" t="s">
        <v>2417</v>
      </c>
      <c r="F548" s="133" t="s">
        <v>2417</v>
      </c>
      <c r="G548" s="133" t="s">
        <v>2417</v>
      </c>
      <c r="H548" s="133" t="s">
        <v>2417</v>
      </c>
      <c r="I548" s="133" t="s">
        <v>2417</v>
      </c>
      <c r="J548" s="133" t="s">
        <v>2417</v>
      </c>
      <c r="K548" s="133" t="s">
        <v>2417</v>
      </c>
      <c r="L548" s="133" t="s">
        <v>2417</v>
      </c>
      <c r="M548" s="133" t="s">
        <v>2417</v>
      </c>
      <c r="N548" s="133" t="s">
        <v>2417</v>
      </c>
      <c r="O548" s="133" t="s">
        <v>2417</v>
      </c>
      <c r="P548" s="133" t="s">
        <v>2417</v>
      </c>
      <c r="Q548" s="133" t="s">
        <v>2417</v>
      </c>
      <c r="R548" s="133" t="s">
        <v>2417</v>
      </c>
      <c r="S548" s="133" t="s">
        <v>2417</v>
      </c>
      <c r="T548" s="133" t="s">
        <v>2417</v>
      </c>
      <c r="U548" s="133" t="s">
        <v>2417</v>
      </c>
      <c r="V548" s="133" t="s">
        <v>2417</v>
      </c>
      <c r="W548" s="133" t="s">
        <v>2417</v>
      </c>
      <c r="X548" s="133" t="s">
        <v>2417</v>
      </c>
      <c r="Y548" s="133" t="s">
        <v>2417</v>
      </c>
      <c r="Z548" s="133" t="s">
        <v>2417</v>
      </c>
      <c r="AA548" s="133" t="s">
        <v>2417</v>
      </c>
      <c r="AB548" s="133" t="s">
        <v>2417</v>
      </c>
      <c r="AC548" s="133" t="s">
        <v>2417</v>
      </c>
      <c r="AD548" s="133" t="s">
        <v>2417</v>
      </c>
      <c r="AE548" s="123"/>
    </row>
    <row r="549" spans="1:31" ht="13.2" outlineLevel="1">
      <c r="A549" s="395" t="s">
        <v>1491</v>
      </c>
      <c r="B549" s="350"/>
      <c r="C549" s="350"/>
      <c r="D549" s="351"/>
      <c r="E549" s="133" t="s">
        <v>2454</v>
      </c>
      <c r="F549" s="133" t="s">
        <v>2417</v>
      </c>
      <c r="G549" s="133" t="s">
        <v>2417</v>
      </c>
      <c r="H549" s="133" t="s">
        <v>2417</v>
      </c>
      <c r="I549" s="134" t="s">
        <v>2418</v>
      </c>
      <c r="J549" s="133" t="s">
        <v>2417</v>
      </c>
      <c r="K549" s="133" t="s">
        <v>2417</v>
      </c>
      <c r="L549" s="133" t="s">
        <v>2417</v>
      </c>
      <c r="M549" s="133" t="s">
        <v>2417</v>
      </c>
      <c r="N549" s="133" t="s">
        <v>2417</v>
      </c>
      <c r="O549" s="133" t="s">
        <v>2417</v>
      </c>
      <c r="P549" s="133" t="s">
        <v>2417</v>
      </c>
      <c r="Q549" s="133" t="s">
        <v>2417</v>
      </c>
      <c r="R549" s="133" t="s">
        <v>2417</v>
      </c>
      <c r="S549" s="133" t="s">
        <v>2417</v>
      </c>
      <c r="T549" s="133" t="s">
        <v>2417</v>
      </c>
      <c r="U549" s="133" t="s">
        <v>2417</v>
      </c>
      <c r="V549" s="133" t="s">
        <v>2417</v>
      </c>
      <c r="W549" s="133" t="s">
        <v>2417</v>
      </c>
      <c r="X549" s="133" t="s">
        <v>2417</v>
      </c>
      <c r="Y549" s="133" t="s">
        <v>2417</v>
      </c>
      <c r="Z549" s="133" t="s">
        <v>2417</v>
      </c>
      <c r="AA549" s="133" t="s">
        <v>2417</v>
      </c>
      <c r="AB549" s="133" t="s">
        <v>2417</v>
      </c>
      <c r="AC549" s="133" t="s">
        <v>2417</v>
      </c>
      <c r="AD549" s="133" t="s">
        <v>2417</v>
      </c>
      <c r="AE549" s="165"/>
    </row>
    <row r="550" spans="1:31" ht="13.2" hidden="1" outlineLevel="2">
      <c r="A550" s="61" t="s">
        <v>1492</v>
      </c>
      <c r="B550" s="63" t="s">
        <v>2613</v>
      </c>
      <c r="C550" s="360" t="s">
        <v>1494</v>
      </c>
      <c r="D550" s="351"/>
      <c r="E550" s="133" t="s">
        <v>2454</v>
      </c>
      <c r="F550" s="133" t="s">
        <v>2417</v>
      </c>
      <c r="G550" s="137" t="s">
        <v>2457</v>
      </c>
      <c r="H550" s="133" t="s">
        <v>2417</v>
      </c>
      <c r="I550" s="134" t="s">
        <v>2418</v>
      </c>
      <c r="J550" s="133" t="s">
        <v>2417</v>
      </c>
      <c r="K550" s="133" t="s">
        <v>2417</v>
      </c>
      <c r="L550" s="133" t="s">
        <v>2417</v>
      </c>
      <c r="M550" s="133" t="s">
        <v>2417</v>
      </c>
      <c r="N550" s="133" t="s">
        <v>2417</v>
      </c>
      <c r="O550" s="133" t="s">
        <v>2417</v>
      </c>
      <c r="P550" s="133" t="s">
        <v>2417</v>
      </c>
      <c r="Q550" s="133" t="s">
        <v>2417</v>
      </c>
      <c r="R550" s="133" t="s">
        <v>2417</v>
      </c>
      <c r="S550" s="133" t="s">
        <v>2417</v>
      </c>
      <c r="T550" s="133" t="s">
        <v>2417</v>
      </c>
      <c r="U550" s="133" t="s">
        <v>2417</v>
      </c>
      <c r="V550" s="133" t="s">
        <v>2417</v>
      </c>
      <c r="W550" s="133" t="s">
        <v>2417</v>
      </c>
      <c r="X550" s="133" t="s">
        <v>2417</v>
      </c>
      <c r="Y550" s="133" t="s">
        <v>2417</v>
      </c>
      <c r="Z550" s="133" t="s">
        <v>2417</v>
      </c>
      <c r="AA550" s="133" t="s">
        <v>2417</v>
      </c>
      <c r="AB550" s="133" t="s">
        <v>2417</v>
      </c>
      <c r="AC550" s="133" t="s">
        <v>2417</v>
      </c>
      <c r="AD550" s="133" t="s">
        <v>2417</v>
      </c>
      <c r="AE550" s="137"/>
    </row>
    <row r="551" spans="1:31" ht="13.2" outlineLevel="2">
      <c r="A551" s="61" t="s">
        <v>1492</v>
      </c>
      <c r="B551" s="63" t="s">
        <v>1493</v>
      </c>
      <c r="C551" s="360" t="s">
        <v>1494</v>
      </c>
      <c r="D551" s="351"/>
      <c r="E551" s="133" t="s">
        <v>2454</v>
      </c>
      <c r="F551" s="133" t="s">
        <v>2417</v>
      </c>
      <c r="G551" s="137" t="s">
        <v>5</v>
      </c>
      <c r="H551" s="133" t="s">
        <v>2417</v>
      </c>
      <c r="I551" s="134" t="s">
        <v>2418</v>
      </c>
      <c r="J551" s="133" t="s">
        <v>2417</v>
      </c>
      <c r="K551" s="133" t="s">
        <v>2417</v>
      </c>
      <c r="L551" s="133" t="s">
        <v>2417</v>
      </c>
      <c r="M551" s="133" t="s">
        <v>2417</v>
      </c>
      <c r="N551" s="133" t="s">
        <v>2417</v>
      </c>
      <c r="O551" s="133" t="s">
        <v>2417</v>
      </c>
      <c r="P551" s="133" t="s">
        <v>2417</v>
      </c>
      <c r="Q551" s="133" t="s">
        <v>2417</v>
      </c>
      <c r="R551" s="133" t="s">
        <v>2417</v>
      </c>
      <c r="S551" s="133" t="s">
        <v>2417</v>
      </c>
      <c r="T551" s="133" t="s">
        <v>2417</v>
      </c>
      <c r="U551" s="133" t="s">
        <v>2417</v>
      </c>
      <c r="V551" s="133" t="s">
        <v>2417</v>
      </c>
      <c r="W551" s="133" t="s">
        <v>2417</v>
      </c>
      <c r="X551" s="133" t="s">
        <v>2417</v>
      </c>
      <c r="Y551" s="133" t="s">
        <v>2417</v>
      </c>
      <c r="Z551" s="133" t="s">
        <v>2417</v>
      </c>
      <c r="AA551" s="133" t="s">
        <v>2417</v>
      </c>
      <c r="AB551" s="133" t="s">
        <v>2417</v>
      </c>
      <c r="AC551" s="133" t="s">
        <v>2417</v>
      </c>
      <c r="AD551" s="133" t="s">
        <v>2417</v>
      </c>
      <c r="AE551" s="137"/>
    </row>
    <row r="552" spans="1:31" ht="13.2" hidden="1" outlineLevel="2">
      <c r="A552" s="61" t="s">
        <v>1492</v>
      </c>
      <c r="B552" s="63" t="s">
        <v>2614</v>
      </c>
      <c r="C552" s="360" t="s">
        <v>1494</v>
      </c>
      <c r="D552" s="351"/>
      <c r="E552" s="133" t="s">
        <v>2454</v>
      </c>
      <c r="F552" s="133" t="s">
        <v>2417</v>
      </c>
      <c r="G552" s="137" t="s">
        <v>2519</v>
      </c>
      <c r="H552" s="133" t="s">
        <v>2417</v>
      </c>
      <c r="I552" s="134" t="s">
        <v>2418</v>
      </c>
      <c r="J552" s="133" t="s">
        <v>2417</v>
      </c>
      <c r="K552" s="133" t="s">
        <v>2417</v>
      </c>
      <c r="L552" s="133" t="s">
        <v>2417</v>
      </c>
      <c r="M552" s="133" t="s">
        <v>2417</v>
      </c>
      <c r="N552" s="133" t="s">
        <v>2417</v>
      </c>
      <c r="O552" s="133" t="s">
        <v>2417</v>
      </c>
      <c r="P552" s="133" t="s">
        <v>2417</v>
      </c>
      <c r="Q552" s="133" t="s">
        <v>2417</v>
      </c>
      <c r="R552" s="133" t="s">
        <v>2417</v>
      </c>
      <c r="S552" s="133" t="s">
        <v>2417</v>
      </c>
      <c r="T552" s="133" t="s">
        <v>2417</v>
      </c>
      <c r="U552" s="133" t="s">
        <v>2417</v>
      </c>
      <c r="V552" s="133" t="s">
        <v>2417</v>
      </c>
      <c r="W552" s="133" t="s">
        <v>2417</v>
      </c>
      <c r="X552" s="133" t="s">
        <v>2417</v>
      </c>
      <c r="Y552" s="133" t="s">
        <v>2417</v>
      </c>
      <c r="Z552" s="133" t="s">
        <v>2417</v>
      </c>
      <c r="AA552" s="133" t="s">
        <v>2417</v>
      </c>
      <c r="AB552" s="133" t="s">
        <v>2417</v>
      </c>
      <c r="AC552" s="133" t="s">
        <v>2417</v>
      </c>
      <c r="AD552" s="133" t="s">
        <v>2417</v>
      </c>
      <c r="AE552" s="137"/>
    </row>
    <row r="553" spans="1:31" ht="13.2" outlineLevel="1">
      <c r="A553" s="395" t="s">
        <v>1495</v>
      </c>
      <c r="B553" s="350"/>
      <c r="C553" s="350"/>
      <c r="D553" s="351"/>
      <c r="E553" s="133" t="s">
        <v>2454</v>
      </c>
      <c r="F553" s="133" t="s">
        <v>2417</v>
      </c>
      <c r="G553" s="133" t="s">
        <v>2417</v>
      </c>
      <c r="H553" s="133" t="s">
        <v>2417</v>
      </c>
      <c r="I553" s="134" t="s">
        <v>2418</v>
      </c>
      <c r="J553" s="133" t="s">
        <v>2417</v>
      </c>
      <c r="K553" s="133" t="s">
        <v>2417</v>
      </c>
      <c r="L553" s="133" t="s">
        <v>2417</v>
      </c>
      <c r="M553" s="133" t="s">
        <v>2417</v>
      </c>
      <c r="N553" s="133" t="s">
        <v>2417</v>
      </c>
      <c r="O553" s="133" t="s">
        <v>2417</v>
      </c>
      <c r="P553" s="133" t="s">
        <v>2417</v>
      </c>
      <c r="Q553" s="133" t="s">
        <v>2417</v>
      </c>
      <c r="R553" s="133" t="s">
        <v>2417</v>
      </c>
      <c r="S553" s="133" t="s">
        <v>2417</v>
      </c>
      <c r="T553" s="133" t="s">
        <v>2417</v>
      </c>
      <c r="U553" s="133" t="s">
        <v>2417</v>
      </c>
      <c r="V553" s="133" t="s">
        <v>2417</v>
      </c>
      <c r="W553" s="133" t="s">
        <v>2417</v>
      </c>
      <c r="X553" s="133" t="s">
        <v>2417</v>
      </c>
      <c r="Y553" s="133" t="s">
        <v>2417</v>
      </c>
      <c r="Z553" s="133" t="s">
        <v>2417</v>
      </c>
      <c r="AA553" s="133" t="s">
        <v>2417</v>
      </c>
      <c r="AB553" s="133" t="s">
        <v>2417</v>
      </c>
      <c r="AC553" s="133" t="s">
        <v>2417</v>
      </c>
      <c r="AD553" s="133" t="s">
        <v>2417</v>
      </c>
      <c r="AE553" s="165"/>
    </row>
    <row r="554" spans="1:31" ht="13.2" hidden="1" outlineLevel="2">
      <c r="A554" s="61" t="s">
        <v>1496</v>
      </c>
      <c r="B554" s="63" t="s">
        <v>2615</v>
      </c>
      <c r="C554" s="360" t="s">
        <v>1498</v>
      </c>
      <c r="D554" s="351"/>
      <c r="E554" s="133" t="s">
        <v>2454</v>
      </c>
      <c r="F554" s="133" t="s">
        <v>2417</v>
      </c>
      <c r="G554" s="137" t="s">
        <v>2457</v>
      </c>
      <c r="H554" s="133" t="s">
        <v>2417</v>
      </c>
      <c r="I554" s="134" t="s">
        <v>2418</v>
      </c>
      <c r="J554" s="133" t="s">
        <v>2417</v>
      </c>
      <c r="K554" s="133" t="s">
        <v>2417</v>
      </c>
      <c r="L554" s="133" t="s">
        <v>2417</v>
      </c>
      <c r="M554" s="133" t="s">
        <v>2417</v>
      </c>
      <c r="N554" s="133" t="s">
        <v>2417</v>
      </c>
      <c r="O554" s="133" t="s">
        <v>2417</v>
      </c>
      <c r="P554" s="133" t="s">
        <v>2417</v>
      </c>
      <c r="Q554" s="133" t="s">
        <v>2417</v>
      </c>
      <c r="R554" s="133" t="s">
        <v>2417</v>
      </c>
      <c r="S554" s="133" t="s">
        <v>2417</v>
      </c>
      <c r="T554" s="133" t="s">
        <v>2417</v>
      </c>
      <c r="U554" s="133" t="s">
        <v>2417</v>
      </c>
      <c r="V554" s="133" t="s">
        <v>2417</v>
      </c>
      <c r="W554" s="133" t="s">
        <v>2417</v>
      </c>
      <c r="X554" s="133" t="s">
        <v>2417</v>
      </c>
      <c r="Y554" s="133" t="s">
        <v>2417</v>
      </c>
      <c r="Z554" s="133" t="s">
        <v>2417</v>
      </c>
      <c r="AA554" s="133" t="s">
        <v>2417</v>
      </c>
      <c r="AB554" s="133" t="s">
        <v>2417</v>
      </c>
      <c r="AC554" s="133" t="s">
        <v>2417</v>
      </c>
      <c r="AD554" s="133" t="s">
        <v>2417</v>
      </c>
      <c r="AE554" s="137"/>
    </row>
    <row r="555" spans="1:31" ht="13.2" outlineLevel="2">
      <c r="A555" s="61" t="s">
        <v>1496</v>
      </c>
      <c r="B555" s="63" t="s">
        <v>1497</v>
      </c>
      <c r="C555" s="360" t="s">
        <v>1498</v>
      </c>
      <c r="D555" s="351"/>
      <c r="E555" s="133" t="s">
        <v>2454</v>
      </c>
      <c r="F555" s="133" t="s">
        <v>2417</v>
      </c>
      <c r="G555" s="137" t="s">
        <v>5</v>
      </c>
      <c r="H555" s="133" t="s">
        <v>2417</v>
      </c>
      <c r="I555" s="134" t="s">
        <v>2418</v>
      </c>
      <c r="J555" s="133" t="s">
        <v>2417</v>
      </c>
      <c r="K555" s="133" t="s">
        <v>2417</v>
      </c>
      <c r="L555" s="133" t="s">
        <v>2417</v>
      </c>
      <c r="M555" s="133" t="s">
        <v>2417</v>
      </c>
      <c r="N555" s="133" t="s">
        <v>2417</v>
      </c>
      <c r="O555" s="133" t="s">
        <v>2417</v>
      </c>
      <c r="P555" s="133" t="s">
        <v>2417</v>
      </c>
      <c r="Q555" s="133" t="s">
        <v>2417</v>
      </c>
      <c r="R555" s="133" t="s">
        <v>2417</v>
      </c>
      <c r="S555" s="133" t="s">
        <v>2417</v>
      </c>
      <c r="T555" s="133" t="s">
        <v>2417</v>
      </c>
      <c r="U555" s="133" t="s">
        <v>2417</v>
      </c>
      <c r="V555" s="133" t="s">
        <v>2417</v>
      </c>
      <c r="W555" s="133" t="s">
        <v>2417</v>
      </c>
      <c r="X555" s="133" t="s">
        <v>2417</v>
      </c>
      <c r="Y555" s="133" t="s">
        <v>2417</v>
      </c>
      <c r="Z555" s="133" t="s">
        <v>2417</v>
      </c>
      <c r="AA555" s="133" t="s">
        <v>2417</v>
      </c>
      <c r="AB555" s="133" t="s">
        <v>2417</v>
      </c>
      <c r="AC555" s="133" t="s">
        <v>2417</v>
      </c>
      <c r="AD555" s="133" t="s">
        <v>2417</v>
      </c>
      <c r="AE555" s="137"/>
    </row>
    <row r="556" spans="1:31" ht="13.2" hidden="1" outlineLevel="2">
      <c r="A556" s="61" t="s">
        <v>1496</v>
      </c>
      <c r="B556" s="63" t="s">
        <v>2616</v>
      </c>
      <c r="C556" s="360" t="s">
        <v>1498</v>
      </c>
      <c r="D556" s="351"/>
      <c r="E556" s="133" t="s">
        <v>2454</v>
      </c>
      <c r="F556" s="133" t="s">
        <v>2417</v>
      </c>
      <c r="G556" s="137" t="s">
        <v>2519</v>
      </c>
      <c r="H556" s="133" t="s">
        <v>2417</v>
      </c>
      <c r="I556" s="134" t="s">
        <v>2418</v>
      </c>
      <c r="J556" s="133" t="s">
        <v>2417</v>
      </c>
      <c r="K556" s="133" t="s">
        <v>2417</v>
      </c>
      <c r="L556" s="133" t="s">
        <v>2417</v>
      </c>
      <c r="M556" s="133" t="s">
        <v>2417</v>
      </c>
      <c r="N556" s="133" t="s">
        <v>2417</v>
      </c>
      <c r="O556" s="133" t="s">
        <v>2417</v>
      </c>
      <c r="P556" s="133" t="s">
        <v>2417</v>
      </c>
      <c r="Q556" s="133" t="s">
        <v>2417</v>
      </c>
      <c r="R556" s="133" t="s">
        <v>2417</v>
      </c>
      <c r="S556" s="133" t="s">
        <v>2417</v>
      </c>
      <c r="T556" s="133" t="s">
        <v>2417</v>
      </c>
      <c r="U556" s="133" t="s">
        <v>2417</v>
      </c>
      <c r="V556" s="133" t="s">
        <v>2417</v>
      </c>
      <c r="W556" s="133" t="s">
        <v>2417</v>
      </c>
      <c r="X556" s="133" t="s">
        <v>2417</v>
      </c>
      <c r="Y556" s="133" t="s">
        <v>2417</v>
      </c>
      <c r="Z556" s="133" t="s">
        <v>2417</v>
      </c>
      <c r="AA556" s="133" t="s">
        <v>2417</v>
      </c>
      <c r="AB556" s="133" t="s">
        <v>2417</v>
      </c>
      <c r="AC556" s="133" t="s">
        <v>2417</v>
      </c>
      <c r="AD556" s="133" t="s">
        <v>2417</v>
      </c>
      <c r="AE556" s="137"/>
    </row>
    <row r="557" spans="1:31" ht="13.2" outlineLevel="1">
      <c r="A557" s="395" t="s">
        <v>1499</v>
      </c>
      <c r="B557" s="350"/>
      <c r="C557" s="350"/>
      <c r="D557" s="351"/>
      <c r="E557" s="133" t="s">
        <v>2417</v>
      </c>
      <c r="F557" s="133" t="s">
        <v>2417</v>
      </c>
      <c r="G557" s="133" t="s">
        <v>2417</v>
      </c>
      <c r="H557" s="133" t="s">
        <v>2417</v>
      </c>
      <c r="I557" s="134" t="s">
        <v>2418</v>
      </c>
      <c r="J557" s="133" t="s">
        <v>2417</v>
      </c>
      <c r="K557" s="133" t="s">
        <v>2417</v>
      </c>
      <c r="L557" s="133" t="s">
        <v>2417</v>
      </c>
      <c r="M557" s="133" t="s">
        <v>2417</v>
      </c>
      <c r="N557" s="133" t="s">
        <v>2417</v>
      </c>
      <c r="O557" s="133" t="s">
        <v>2417</v>
      </c>
      <c r="P557" s="133" t="s">
        <v>2417</v>
      </c>
      <c r="Q557" s="133" t="s">
        <v>2417</v>
      </c>
      <c r="R557" s="133" t="s">
        <v>2417</v>
      </c>
      <c r="S557" s="133" t="s">
        <v>2417</v>
      </c>
      <c r="T557" s="133" t="s">
        <v>2417</v>
      </c>
      <c r="U557" s="133" t="s">
        <v>2417</v>
      </c>
      <c r="V557" s="133" t="s">
        <v>2417</v>
      </c>
      <c r="W557" s="133" t="s">
        <v>2417</v>
      </c>
      <c r="X557" s="133" t="s">
        <v>2417</v>
      </c>
      <c r="Y557" s="133" t="s">
        <v>2417</v>
      </c>
      <c r="Z557" s="133" t="s">
        <v>2417</v>
      </c>
      <c r="AA557" s="133" t="s">
        <v>2417</v>
      </c>
      <c r="AB557" s="133" t="s">
        <v>2417</v>
      </c>
      <c r="AC557" s="133" t="s">
        <v>2417</v>
      </c>
      <c r="AD557" s="133" t="s">
        <v>2417</v>
      </c>
      <c r="AE557" s="166"/>
    </row>
    <row r="558" spans="1:31" ht="13.2" outlineLevel="1">
      <c r="A558" s="394" t="s">
        <v>1500</v>
      </c>
      <c r="B558" s="350"/>
      <c r="C558" s="350"/>
      <c r="D558" s="351"/>
      <c r="E558" s="133" t="s">
        <v>2455</v>
      </c>
      <c r="F558" s="133" t="s">
        <v>2417</v>
      </c>
      <c r="G558" s="133" t="s">
        <v>2417</v>
      </c>
      <c r="H558" s="133" t="s">
        <v>2417</v>
      </c>
      <c r="I558" s="134" t="s">
        <v>2418</v>
      </c>
      <c r="J558" s="133" t="s">
        <v>2417</v>
      </c>
      <c r="K558" s="133" t="s">
        <v>2417</v>
      </c>
      <c r="L558" s="133" t="s">
        <v>2417</v>
      </c>
      <c r="M558" s="133" t="s">
        <v>2417</v>
      </c>
      <c r="N558" s="133" t="s">
        <v>2417</v>
      </c>
      <c r="O558" s="133" t="s">
        <v>2417</v>
      </c>
      <c r="P558" s="133" t="s">
        <v>2417</v>
      </c>
      <c r="Q558" s="133" t="s">
        <v>2417</v>
      </c>
      <c r="R558" s="133" t="s">
        <v>2417</v>
      </c>
      <c r="S558" s="133" t="s">
        <v>2417</v>
      </c>
      <c r="T558" s="133" t="s">
        <v>2417</v>
      </c>
      <c r="U558" s="133" t="s">
        <v>2417</v>
      </c>
      <c r="V558" s="133" t="s">
        <v>2417</v>
      </c>
      <c r="W558" s="133" t="s">
        <v>2417</v>
      </c>
      <c r="X558" s="133" t="s">
        <v>2417</v>
      </c>
      <c r="Y558" s="133" t="s">
        <v>2417</v>
      </c>
      <c r="Z558" s="133" t="s">
        <v>2417</v>
      </c>
      <c r="AA558" s="133" t="s">
        <v>2417</v>
      </c>
      <c r="AB558" s="133" t="s">
        <v>2417</v>
      </c>
      <c r="AC558" s="133" t="s">
        <v>2417</v>
      </c>
      <c r="AD558" s="133" t="s">
        <v>2417</v>
      </c>
      <c r="AE558" s="161"/>
    </row>
    <row r="559" spans="1:31" ht="13.2" outlineLevel="2">
      <c r="A559" s="68" t="s">
        <v>1501</v>
      </c>
      <c r="B559" s="64"/>
      <c r="C559" s="360" t="s">
        <v>2617</v>
      </c>
      <c r="D559" s="351"/>
      <c r="E559" s="133" t="s">
        <v>2455</v>
      </c>
      <c r="F559" s="133" t="s">
        <v>2417</v>
      </c>
      <c r="G559" s="133" t="s">
        <v>2417</v>
      </c>
      <c r="H559" s="133" t="s">
        <v>2417</v>
      </c>
      <c r="I559" s="134" t="s">
        <v>2418</v>
      </c>
      <c r="J559" s="133" t="s">
        <v>2417</v>
      </c>
      <c r="K559" s="133" t="s">
        <v>2417</v>
      </c>
      <c r="L559" s="133" t="s">
        <v>2417</v>
      </c>
      <c r="M559" s="133" t="s">
        <v>2417</v>
      </c>
      <c r="N559" s="133" t="s">
        <v>2417</v>
      </c>
      <c r="O559" s="133" t="s">
        <v>2417</v>
      </c>
      <c r="P559" s="133" t="s">
        <v>2417</v>
      </c>
      <c r="Q559" s="133" t="s">
        <v>2417</v>
      </c>
      <c r="R559" s="133" t="s">
        <v>2417</v>
      </c>
      <c r="S559" s="133" t="s">
        <v>2417</v>
      </c>
      <c r="T559" s="133" t="s">
        <v>2417</v>
      </c>
      <c r="U559" s="133" t="s">
        <v>2417</v>
      </c>
      <c r="V559" s="133" t="s">
        <v>2417</v>
      </c>
      <c r="W559" s="133" t="s">
        <v>2417</v>
      </c>
      <c r="X559" s="133" t="s">
        <v>2417</v>
      </c>
      <c r="Y559" s="133" t="s">
        <v>2417</v>
      </c>
      <c r="Z559" s="133" t="s">
        <v>2417</v>
      </c>
      <c r="AA559" s="133" t="s">
        <v>2417</v>
      </c>
      <c r="AB559" s="133" t="s">
        <v>2417</v>
      </c>
      <c r="AC559" s="133" t="s">
        <v>2417</v>
      </c>
      <c r="AD559" s="133" t="s">
        <v>2417</v>
      </c>
      <c r="AE559" s="123"/>
    </row>
    <row r="560" spans="1:31" ht="13.2" outlineLevel="2">
      <c r="A560" s="68" t="s">
        <v>1503</v>
      </c>
      <c r="B560" s="62" t="s">
        <v>1504</v>
      </c>
      <c r="C560" s="387" t="s">
        <v>1505</v>
      </c>
      <c r="D560" s="351"/>
      <c r="E560" s="133" t="s">
        <v>2455</v>
      </c>
      <c r="F560" s="133" t="s">
        <v>2417</v>
      </c>
      <c r="G560" s="133" t="s">
        <v>2417</v>
      </c>
      <c r="H560" s="133" t="s">
        <v>2417</v>
      </c>
      <c r="I560" s="134" t="s">
        <v>2418</v>
      </c>
      <c r="J560" s="133" t="s">
        <v>2417</v>
      </c>
      <c r="K560" s="133" t="s">
        <v>2417</v>
      </c>
      <c r="L560" s="133" t="s">
        <v>2417</v>
      </c>
      <c r="M560" s="133" t="s">
        <v>2417</v>
      </c>
      <c r="N560" s="133" t="s">
        <v>2417</v>
      </c>
      <c r="O560" s="133" t="s">
        <v>2417</v>
      </c>
      <c r="P560" s="133" t="s">
        <v>2417</v>
      </c>
      <c r="Q560" s="133" t="s">
        <v>2417</v>
      </c>
      <c r="R560" s="133" t="s">
        <v>2417</v>
      </c>
      <c r="S560" s="133" t="s">
        <v>2417</v>
      </c>
      <c r="T560" s="133" t="s">
        <v>2417</v>
      </c>
      <c r="U560" s="133" t="s">
        <v>2417</v>
      </c>
      <c r="V560" s="133" t="s">
        <v>2417</v>
      </c>
      <c r="W560" s="133" t="s">
        <v>2417</v>
      </c>
      <c r="X560" s="133" t="s">
        <v>2417</v>
      </c>
      <c r="Y560" s="133" t="s">
        <v>2417</v>
      </c>
      <c r="Z560" s="133" t="s">
        <v>2417</v>
      </c>
      <c r="AA560" s="133" t="s">
        <v>2417</v>
      </c>
      <c r="AB560" s="133" t="s">
        <v>2417</v>
      </c>
      <c r="AC560" s="133" t="s">
        <v>2417</v>
      </c>
      <c r="AD560" s="133" t="s">
        <v>2417</v>
      </c>
      <c r="AE560" s="59"/>
    </row>
    <row r="561" spans="1:31" ht="13.2" outlineLevel="2">
      <c r="A561" s="68" t="s">
        <v>1506</v>
      </c>
      <c r="B561" s="62" t="s">
        <v>1507</v>
      </c>
      <c r="C561" s="387" t="s">
        <v>1508</v>
      </c>
      <c r="D561" s="351"/>
      <c r="E561" s="133" t="s">
        <v>2455</v>
      </c>
      <c r="F561" s="133" t="s">
        <v>2417</v>
      </c>
      <c r="G561" s="133" t="s">
        <v>2417</v>
      </c>
      <c r="H561" s="133" t="s">
        <v>2417</v>
      </c>
      <c r="I561" s="134" t="s">
        <v>2418</v>
      </c>
      <c r="J561" s="133" t="s">
        <v>2417</v>
      </c>
      <c r="K561" s="133" t="s">
        <v>2417</v>
      </c>
      <c r="L561" s="133" t="s">
        <v>2417</v>
      </c>
      <c r="M561" s="133" t="s">
        <v>2417</v>
      </c>
      <c r="N561" s="133" t="s">
        <v>2417</v>
      </c>
      <c r="O561" s="133" t="s">
        <v>2417</v>
      </c>
      <c r="P561" s="133" t="s">
        <v>2417</v>
      </c>
      <c r="Q561" s="133" t="s">
        <v>2417</v>
      </c>
      <c r="R561" s="133" t="s">
        <v>2417</v>
      </c>
      <c r="S561" s="133" t="s">
        <v>2417</v>
      </c>
      <c r="T561" s="133" t="s">
        <v>2417</v>
      </c>
      <c r="U561" s="133" t="s">
        <v>2417</v>
      </c>
      <c r="V561" s="133" t="s">
        <v>2417</v>
      </c>
      <c r="W561" s="133" t="s">
        <v>2417</v>
      </c>
      <c r="X561" s="133" t="s">
        <v>2417</v>
      </c>
      <c r="Y561" s="133" t="s">
        <v>2417</v>
      </c>
      <c r="Z561" s="133" t="s">
        <v>2417</v>
      </c>
      <c r="AA561" s="133" t="s">
        <v>2417</v>
      </c>
      <c r="AB561" s="133" t="s">
        <v>2417</v>
      </c>
      <c r="AC561" s="133" t="s">
        <v>2417</v>
      </c>
      <c r="AD561" s="133" t="s">
        <v>2417</v>
      </c>
      <c r="AE561" s="59"/>
    </row>
    <row r="562" spans="1:31" ht="20.399999999999999" outlineLevel="2">
      <c r="A562" s="68" t="s">
        <v>1509</v>
      </c>
      <c r="B562" s="63" t="s">
        <v>1510</v>
      </c>
      <c r="C562" s="387" t="s">
        <v>1511</v>
      </c>
      <c r="D562" s="351"/>
      <c r="E562" s="133" t="s">
        <v>2455</v>
      </c>
      <c r="F562" s="133" t="s">
        <v>2417</v>
      </c>
      <c r="G562" s="133" t="s">
        <v>2417</v>
      </c>
      <c r="H562" s="133" t="s">
        <v>2417</v>
      </c>
      <c r="I562" s="134" t="s">
        <v>2418</v>
      </c>
      <c r="J562" s="133" t="s">
        <v>2417</v>
      </c>
      <c r="K562" s="133" t="s">
        <v>2417</v>
      </c>
      <c r="L562" s="133" t="s">
        <v>2417</v>
      </c>
      <c r="M562" s="133" t="s">
        <v>2417</v>
      </c>
      <c r="N562" s="133" t="s">
        <v>2417</v>
      </c>
      <c r="O562" s="133" t="s">
        <v>2417</v>
      </c>
      <c r="P562" s="133" t="s">
        <v>2417</v>
      </c>
      <c r="Q562" s="133" t="s">
        <v>2417</v>
      </c>
      <c r="R562" s="133" t="s">
        <v>2417</v>
      </c>
      <c r="S562" s="133" t="s">
        <v>2417</v>
      </c>
      <c r="T562" s="133" t="s">
        <v>2417</v>
      </c>
      <c r="U562" s="133" t="s">
        <v>2417</v>
      </c>
      <c r="V562" s="133" t="s">
        <v>2417</v>
      </c>
      <c r="W562" s="133" t="s">
        <v>2417</v>
      </c>
      <c r="X562" s="133" t="s">
        <v>2417</v>
      </c>
      <c r="Y562" s="133" t="s">
        <v>2417</v>
      </c>
      <c r="Z562" s="133" t="s">
        <v>2417</v>
      </c>
      <c r="AA562" s="133" t="s">
        <v>2417</v>
      </c>
      <c r="AB562" s="133" t="s">
        <v>2417</v>
      </c>
      <c r="AC562" s="133" t="s">
        <v>2417</v>
      </c>
      <c r="AD562" s="133" t="s">
        <v>2417</v>
      </c>
      <c r="AE562" s="57"/>
    </row>
    <row r="563" spans="1:31" ht="20.399999999999999" outlineLevel="2">
      <c r="A563" s="68" t="s">
        <v>1512</v>
      </c>
      <c r="B563" s="63" t="s">
        <v>2618</v>
      </c>
      <c r="C563" s="360" t="s">
        <v>1514</v>
      </c>
      <c r="D563" s="351"/>
      <c r="E563" s="133" t="s">
        <v>2455</v>
      </c>
      <c r="F563" s="133" t="s">
        <v>2417</v>
      </c>
      <c r="G563" s="133" t="s">
        <v>2417</v>
      </c>
      <c r="H563" s="133" t="s">
        <v>2417</v>
      </c>
      <c r="I563" s="134" t="s">
        <v>2418</v>
      </c>
      <c r="J563" s="133" t="s">
        <v>2417</v>
      </c>
      <c r="K563" s="133" t="s">
        <v>2417</v>
      </c>
      <c r="L563" s="133" t="s">
        <v>2417</v>
      </c>
      <c r="M563" s="133" t="s">
        <v>2417</v>
      </c>
      <c r="N563" s="133" t="s">
        <v>2417</v>
      </c>
      <c r="O563" s="133" t="s">
        <v>2417</v>
      </c>
      <c r="P563" s="133" t="s">
        <v>2417</v>
      </c>
      <c r="Q563" s="133" t="s">
        <v>2417</v>
      </c>
      <c r="R563" s="133" t="s">
        <v>2417</v>
      </c>
      <c r="S563" s="123" t="s">
        <v>2619</v>
      </c>
      <c r="T563" s="133" t="s">
        <v>2417</v>
      </c>
      <c r="U563" s="133" t="s">
        <v>2417</v>
      </c>
      <c r="V563" s="133" t="s">
        <v>2417</v>
      </c>
      <c r="W563" s="133" t="s">
        <v>2417</v>
      </c>
      <c r="X563" s="133" t="s">
        <v>2417</v>
      </c>
      <c r="Y563" s="133" t="s">
        <v>2417</v>
      </c>
      <c r="Z563" s="133" t="s">
        <v>2417</v>
      </c>
      <c r="AA563" s="133" t="s">
        <v>2417</v>
      </c>
      <c r="AB563" s="133" t="s">
        <v>2417</v>
      </c>
      <c r="AC563" s="133" t="s">
        <v>2417</v>
      </c>
      <c r="AD563" s="133" t="s">
        <v>2417</v>
      </c>
      <c r="AE563" s="123"/>
    </row>
    <row r="564" spans="1:31" ht="20.399999999999999" outlineLevel="2">
      <c r="A564" s="68" t="s">
        <v>1515</v>
      </c>
      <c r="B564" s="63" t="s">
        <v>1516</v>
      </c>
      <c r="C564" s="387" t="s">
        <v>1517</v>
      </c>
      <c r="D564" s="351"/>
      <c r="E564" s="133" t="s">
        <v>2455</v>
      </c>
      <c r="F564" s="133" t="s">
        <v>2417</v>
      </c>
      <c r="G564" s="133" t="s">
        <v>2417</v>
      </c>
      <c r="H564" s="133" t="s">
        <v>2417</v>
      </c>
      <c r="I564" s="134" t="s">
        <v>2418</v>
      </c>
      <c r="J564" s="133" t="s">
        <v>2417</v>
      </c>
      <c r="K564" s="133" t="s">
        <v>2417</v>
      </c>
      <c r="L564" s="133" t="s">
        <v>2417</v>
      </c>
      <c r="M564" s="133" t="s">
        <v>2417</v>
      </c>
      <c r="N564" s="133" t="s">
        <v>2417</v>
      </c>
      <c r="O564" s="133" t="s">
        <v>2417</v>
      </c>
      <c r="P564" s="133" t="s">
        <v>2417</v>
      </c>
      <c r="Q564" s="133" t="s">
        <v>2417</v>
      </c>
      <c r="R564" s="133" t="s">
        <v>2417</v>
      </c>
      <c r="S564" s="133" t="s">
        <v>2417</v>
      </c>
      <c r="T564" s="133" t="s">
        <v>2417</v>
      </c>
      <c r="U564" s="133" t="s">
        <v>2417</v>
      </c>
      <c r="V564" s="133" t="s">
        <v>2417</v>
      </c>
      <c r="W564" s="133" t="s">
        <v>2417</v>
      </c>
      <c r="X564" s="133" t="s">
        <v>2417</v>
      </c>
      <c r="Y564" s="133" t="s">
        <v>2417</v>
      </c>
      <c r="Z564" s="133" t="s">
        <v>2417</v>
      </c>
      <c r="AA564" s="133" t="s">
        <v>2417</v>
      </c>
      <c r="AB564" s="133" t="s">
        <v>2417</v>
      </c>
      <c r="AC564" s="133" t="s">
        <v>2417</v>
      </c>
      <c r="AD564" s="133" t="s">
        <v>2417</v>
      </c>
      <c r="AE564" s="59"/>
    </row>
    <row r="565" spans="1:31" ht="20.399999999999999" outlineLevel="2">
      <c r="A565" s="68" t="s">
        <v>1518</v>
      </c>
      <c r="B565" s="63" t="s">
        <v>1519</v>
      </c>
      <c r="C565" s="387" t="s">
        <v>1520</v>
      </c>
      <c r="D565" s="351"/>
      <c r="E565" s="133" t="s">
        <v>2455</v>
      </c>
      <c r="F565" s="133" t="s">
        <v>2417</v>
      </c>
      <c r="G565" s="133" t="s">
        <v>2417</v>
      </c>
      <c r="H565" s="133" t="s">
        <v>2417</v>
      </c>
      <c r="I565" s="134" t="s">
        <v>2418</v>
      </c>
      <c r="J565" s="133" t="s">
        <v>2417</v>
      </c>
      <c r="K565" s="133" t="s">
        <v>2417</v>
      </c>
      <c r="L565" s="133" t="s">
        <v>2417</v>
      </c>
      <c r="M565" s="133" t="s">
        <v>2417</v>
      </c>
      <c r="N565" s="133" t="s">
        <v>2417</v>
      </c>
      <c r="O565" s="133" t="s">
        <v>2417</v>
      </c>
      <c r="P565" s="133" t="s">
        <v>2417</v>
      </c>
      <c r="Q565" s="133" t="s">
        <v>2417</v>
      </c>
      <c r="R565" s="133" t="s">
        <v>2417</v>
      </c>
      <c r="S565" s="133" t="s">
        <v>2417</v>
      </c>
      <c r="T565" s="133" t="s">
        <v>2417</v>
      </c>
      <c r="U565" s="133" t="s">
        <v>2417</v>
      </c>
      <c r="V565" s="133" t="s">
        <v>2417</v>
      </c>
      <c r="W565" s="133" t="s">
        <v>2417</v>
      </c>
      <c r="X565" s="133" t="s">
        <v>2417</v>
      </c>
      <c r="Y565" s="133" t="s">
        <v>2417</v>
      </c>
      <c r="Z565" s="133" t="s">
        <v>2417</v>
      </c>
      <c r="AA565" s="133" t="s">
        <v>2417</v>
      </c>
      <c r="AB565" s="133" t="s">
        <v>2417</v>
      </c>
      <c r="AC565" s="133" t="s">
        <v>2417</v>
      </c>
      <c r="AD565" s="133" t="s">
        <v>2417</v>
      </c>
      <c r="AE565" s="59"/>
    </row>
    <row r="566" spans="1:31" ht="20.399999999999999" outlineLevel="2">
      <c r="A566" s="68" t="s">
        <v>1521</v>
      </c>
      <c r="B566" s="64" t="s">
        <v>1522</v>
      </c>
      <c r="C566" s="387" t="s">
        <v>1523</v>
      </c>
      <c r="D566" s="351"/>
      <c r="E566" s="133" t="s">
        <v>2455</v>
      </c>
      <c r="F566" s="133" t="s">
        <v>2417</v>
      </c>
      <c r="G566" s="133" t="s">
        <v>2417</v>
      </c>
      <c r="H566" s="133" t="s">
        <v>2417</v>
      </c>
      <c r="I566" s="134" t="s">
        <v>2418</v>
      </c>
      <c r="J566" s="133" t="s">
        <v>2417</v>
      </c>
      <c r="K566" s="133" t="s">
        <v>2417</v>
      </c>
      <c r="L566" s="133" t="s">
        <v>2417</v>
      </c>
      <c r="M566" s="133" t="s">
        <v>2417</v>
      </c>
      <c r="N566" s="133" t="s">
        <v>2417</v>
      </c>
      <c r="O566" s="133" t="s">
        <v>2417</v>
      </c>
      <c r="P566" s="133" t="s">
        <v>2417</v>
      </c>
      <c r="Q566" s="133" t="s">
        <v>2417</v>
      </c>
      <c r="R566" s="133" t="s">
        <v>2417</v>
      </c>
      <c r="S566" s="133" t="s">
        <v>2417</v>
      </c>
      <c r="T566" s="133" t="s">
        <v>2417</v>
      </c>
      <c r="U566" s="133" t="s">
        <v>2417</v>
      </c>
      <c r="V566" s="133" t="s">
        <v>2417</v>
      </c>
      <c r="W566" s="133" t="s">
        <v>2417</v>
      </c>
      <c r="X566" s="133" t="s">
        <v>2417</v>
      </c>
      <c r="Y566" s="133" t="s">
        <v>2417</v>
      </c>
      <c r="Z566" s="133" t="s">
        <v>2417</v>
      </c>
      <c r="AA566" s="133" t="s">
        <v>2417</v>
      </c>
      <c r="AB566" s="133" t="s">
        <v>2417</v>
      </c>
      <c r="AC566" s="133" t="s">
        <v>2417</v>
      </c>
      <c r="AD566" s="133" t="s">
        <v>2417</v>
      </c>
      <c r="AE566" s="59"/>
    </row>
    <row r="567" spans="1:31" ht="20.399999999999999" outlineLevel="2">
      <c r="A567" s="68" t="s">
        <v>1524</v>
      </c>
      <c r="B567" s="62" t="s">
        <v>1525</v>
      </c>
      <c r="C567" s="387" t="s">
        <v>1526</v>
      </c>
      <c r="D567" s="351"/>
      <c r="E567" s="133" t="s">
        <v>2455</v>
      </c>
      <c r="F567" s="133" t="s">
        <v>2417</v>
      </c>
      <c r="G567" s="133" t="s">
        <v>2417</v>
      </c>
      <c r="H567" s="133" t="s">
        <v>2417</v>
      </c>
      <c r="I567" s="134" t="s">
        <v>2418</v>
      </c>
      <c r="J567" s="133" t="s">
        <v>2417</v>
      </c>
      <c r="K567" s="133" t="s">
        <v>2417</v>
      </c>
      <c r="L567" s="133" t="s">
        <v>2417</v>
      </c>
      <c r="M567" s="133" t="s">
        <v>2417</v>
      </c>
      <c r="N567" s="133" t="s">
        <v>2417</v>
      </c>
      <c r="O567" s="133" t="s">
        <v>2417</v>
      </c>
      <c r="P567" s="133" t="s">
        <v>2417</v>
      </c>
      <c r="Q567" s="133" t="s">
        <v>2417</v>
      </c>
      <c r="R567" s="133" t="s">
        <v>2417</v>
      </c>
      <c r="S567" s="133" t="s">
        <v>2417</v>
      </c>
      <c r="T567" s="133" t="s">
        <v>2417</v>
      </c>
      <c r="U567" s="133" t="s">
        <v>2417</v>
      </c>
      <c r="V567" s="133" t="s">
        <v>2417</v>
      </c>
      <c r="W567" s="133" t="s">
        <v>2417</v>
      </c>
      <c r="X567" s="133" t="s">
        <v>2417</v>
      </c>
      <c r="Y567" s="133" t="s">
        <v>2417</v>
      </c>
      <c r="Z567" s="133" t="s">
        <v>2417</v>
      </c>
      <c r="AA567" s="133" t="s">
        <v>2417</v>
      </c>
      <c r="AB567" s="133" t="s">
        <v>2417</v>
      </c>
      <c r="AC567" s="133" t="s">
        <v>2417</v>
      </c>
      <c r="AD567" s="133" t="s">
        <v>2417</v>
      </c>
      <c r="AE567" s="59"/>
    </row>
    <row r="568" spans="1:31" ht="20.399999999999999" outlineLevel="2">
      <c r="A568" s="68" t="s">
        <v>1527</v>
      </c>
      <c r="B568" s="63" t="s">
        <v>1528</v>
      </c>
      <c r="C568" s="387" t="s">
        <v>1529</v>
      </c>
      <c r="D568" s="351"/>
      <c r="E568" s="133" t="s">
        <v>2455</v>
      </c>
      <c r="F568" s="133" t="s">
        <v>2417</v>
      </c>
      <c r="G568" s="133" t="s">
        <v>2417</v>
      </c>
      <c r="H568" s="133" t="s">
        <v>2417</v>
      </c>
      <c r="I568" s="134" t="s">
        <v>2418</v>
      </c>
      <c r="J568" s="133" t="s">
        <v>2417</v>
      </c>
      <c r="K568" s="133" t="s">
        <v>2417</v>
      </c>
      <c r="L568" s="133" t="s">
        <v>2417</v>
      </c>
      <c r="M568" s="133" t="s">
        <v>2417</v>
      </c>
      <c r="N568" s="133" t="s">
        <v>2417</v>
      </c>
      <c r="O568" s="133" t="s">
        <v>2417</v>
      </c>
      <c r="P568" s="133" t="s">
        <v>2417</v>
      </c>
      <c r="Q568" s="133" t="s">
        <v>2417</v>
      </c>
      <c r="R568" s="133" t="s">
        <v>2417</v>
      </c>
      <c r="S568" s="133" t="s">
        <v>2417</v>
      </c>
      <c r="T568" s="133" t="s">
        <v>2417</v>
      </c>
      <c r="U568" s="133" t="s">
        <v>2417</v>
      </c>
      <c r="V568" s="133" t="s">
        <v>2417</v>
      </c>
      <c r="W568" s="133" t="s">
        <v>2417</v>
      </c>
      <c r="X568" s="133" t="s">
        <v>2417</v>
      </c>
      <c r="Y568" s="133" t="s">
        <v>2417</v>
      </c>
      <c r="Z568" s="133" t="s">
        <v>2417</v>
      </c>
      <c r="AA568" s="133" t="s">
        <v>2417</v>
      </c>
      <c r="AB568" s="133" t="s">
        <v>2417</v>
      </c>
      <c r="AC568" s="133" t="s">
        <v>2417</v>
      </c>
      <c r="AD568" s="133" t="s">
        <v>2417</v>
      </c>
      <c r="AE568" s="59"/>
    </row>
    <row r="569" spans="1:31" ht="20.399999999999999" outlineLevel="2">
      <c r="A569" s="68" t="s">
        <v>1530</v>
      </c>
      <c r="B569" s="79" t="s">
        <v>1531</v>
      </c>
      <c r="C569" s="387" t="s">
        <v>1532</v>
      </c>
      <c r="D569" s="351"/>
      <c r="E569" s="133" t="s">
        <v>2455</v>
      </c>
      <c r="F569" s="133" t="s">
        <v>2417</v>
      </c>
      <c r="G569" s="133" t="s">
        <v>2417</v>
      </c>
      <c r="H569" s="133" t="s">
        <v>2417</v>
      </c>
      <c r="I569" s="134" t="s">
        <v>2418</v>
      </c>
      <c r="J569" s="133" t="s">
        <v>2417</v>
      </c>
      <c r="K569" s="133" t="s">
        <v>2417</v>
      </c>
      <c r="L569" s="133" t="s">
        <v>2417</v>
      </c>
      <c r="M569" s="133" t="s">
        <v>2417</v>
      </c>
      <c r="N569" s="133" t="s">
        <v>2417</v>
      </c>
      <c r="O569" s="133" t="s">
        <v>2417</v>
      </c>
      <c r="P569" s="133" t="s">
        <v>2417</v>
      </c>
      <c r="Q569" s="133" t="s">
        <v>2417</v>
      </c>
      <c r="R569" s="133" t="s">
        <v>2417</v>
      </c>
      <c r="S569" s="133" t="s">
        <v>2417</v>
      </c>
      <c r="T569" s="133" t="s">
        <v>2417</v>
      </c>
      <c r="U569" s="133" t="s">
        <v>2417</v>
      </c>
      <c r="V569" s="133" t="s">
        <v>2417</v>
      </c>
      <c r="W569" s="133" t="s">
        <v>2417</v>
      </c>
      <c r="X569" s="133" t="s">
        <v>2417</v>
      </c>
      <c r="Y569" s="133" t="s">
        <v>2417</v>
      </c>
      <c r="Z569" s="133" t="s">
        <v>2417</v>
      </c>
      <c r="AA569" s="133" t="s">
        <v>2417</v>
      </c>
      <c r="AB569" s="133" t="s">
        <v>2417</v>
      </c>
      <c r="AC569" s="133" t="s">
        <v>2417</v>
      </c>
      <c r="AD569" s="133" t="s">
        <v>2417</v>
      </c>
      <c r="AE569" s="59"/>
    </row>
    <row r="570" spans="1:31" ht="13.2" outlineLevel="2">
      <c r="A570" s="68" t="s">
        <v>1533</v>
      </c>
      <c r="B570" s="79" t="s">
        <v>1534</v>
      </c>
      <c r="C570" s="387" t="s">
        <v>1535</v>
      </c>
      <c r="D570" s="351"/>
      <c r="E570" s="133" t="s">
        <v>2455</v>
      </c>
      <c r="F570" s="133" t="s">
        <v>2417</v>
      </c>
      <c r="G570" s="133" t="s">
        <v>2417</v>
      </c>
      <c r="H570" s="133" t="s">
        <v>2417</v>
      </c>
      <c r="I570" s="134" t="s">
        <v>2418</v>
      </c>
      <c r="J570" s="133" t="s">
        <v>2417</v>
      </c>
      <c r="K570" s="133" t="s">
        <v>2417</v>
      </c>
      <c r="L570" s="133" t="s">
        <v>2417</v>
      </c>
      <c r="M570" s="133" t="s">
        <v>2417</v>
      </c>
      <c r="N570" s="133" t="s">
        <v>2417</v>
      </c>
      <c r="O570" s="133" t="s">
        <v>2417</v>
      </c>
      <c r="P570" s="133" t="s">
        <v>2417</v>
      </c>
      <c r="Q570" s="133" t="s">
        <v>2417</v>
      </c>
      <c r="R570" s="133" t="s">
        <v>2417</v>
      </c>
      <c r="S570" s="133" t="s">
        <v>2417</v>
      </c>
      <c r="T570" s="133" t="s">
        <v>2417</v>
      </c>
      <c r="U570" s="133" t="s">
        <v>2417</v>
      </c>
      <c r="V570" s="133" t="s">
        <v>2417</v>
      </c>
      <c r="W570" s="133" t="s">
        <v>2417</v>
      </c>
      <c r="X570" s="133" t="s">
        <v>2417</v>
      </c>
      <c r="Y570" s="133" t="s">
        <v>2417</v>
      </c>
      <c r="Z570" s="133" t="s">
        <v>2417</v>
      </c>
      <c r="AA570" s="133" t="s">
        <v>2417</v>
      </c>
      <c r="AB570" s="133" t="s">
        <v>2417</v>
      </c>
      <c r="AC570" s="133" t="s">
        <v>2417</v>
      </c>
      <c r="AD570" s="133" t="s">
        <v>2417</v>
      </c>
      <c r="AE570" s="59"/>
    </row>
    <row r="571" spans="1:31" ht="20.399999999999999" outlineLevel="2">
      <c r="A571" s="68" t="s">
        <v>1536</v>
      </c>
      <c r="B571" s="63" t="s">
        <v>2620</v>
      </c>
      <c r="C571" s="360" t="s">
        <v>2621</v>
      </c>
      <c r="D571" s="351"/>
      <c r="E571" s="133" t="s">
        <v>2455</v>
      </c>
      <c r="F571" s="133" t="s">
        <v>2417</v>
      </c>
      <c r="G571" s="133" t="s">
        <v>2417</v>
      </c>
      <c r="H571" s="133" t="s">
        <v>2417</v>
      </c>
      <c r="I571" s="134" t="s">
        <v>2418</v>
      </c>
      <c r="J571" s="133" t="s">
        <v>2417</v>
      </c>
      <c r="K571" s="133" t="s">
        <v>2417</v>
      </c>
      <c r="L571" s="133" t="s">
        <v>2417</v>
      </c>
      <c r="M571" s="133" t="s">
        <v>2417</v>
      </c>
      <c r="N571" s="133" t="s">
        <v>2417</v>
      </c>
      <c r="O571" s="133" t="s">
        <v>2417</v>
      </c>
      <c r="P571" s="133" t="s">
        <v>2417</v>
      </c>
      <c r="Q571" s="133" t="s">
        <v>2417</v>
      </c>
      <c r="R571" s="133" t="s">
        <v>2417</v>
      </c>
      <c r="S571" s="123" t="s">
        <v>2619</v>
      </c>
      <c r="T571" s="133" t="s">
        <v>2417</v>
      </c>
      <c r="U571" s="133" t="s">
        <v>2417</v>
      </c>
      <c r="V571" s="133" t="s">
        <v>2417</v>
      </c>
      <c r="W571" s="133" t="s">
        <v>2417</v>
      </c>
      <c r="X571" s="133" t="s">
        <v>2417</v>
      </c>
      <c r="Y571" s="133" t="s">
        <v>2417</v>
      </c>
      <c r="Z571" s="133" t="s">
        <v>2417</v>
      </c>
      <c r="AA571" s="133" t="s">
        <v>2417</v>
      </c>
      <c r="AB571" s="133" t="s">
        <v>2417</v>
      </c>
      <c r="AC571" s="133" t="s">
        <v>2417</v>
      </c>
      <c r="AD571" s="133" t="s">
        <v>2417</v>
      </c>
      <c r="AE571" s="123"/>
    </row>
    <row r="572" spans="1:31" ht="20.399999999999999" outlineLevel="2">
      <c r="A572" s="68" t="s">
        <v>1539</v>
      </c>
      <c r="B572" s="63" t="s">
        <v>2622</v>
      </c>
      <c r="C572" s="360" t="s">
        <v>2623</v>
      </c>
      <c r="D572" s="351"/>
      <c r="E572" s="133" t="s">
        <v>2455</v>
      </c>
      <c r="F572" s="133" t="s">
        <v>2417</v>
      </c>
      <c r="G572" s="133" t="s">
        <v>2417</v>
      </c>
      <c r="H572" s="133" t="s">
        <v>2417</v>
      </c>
      <c r="I572" s="134" t="s">
        <v>2418</v>
      </c>
      <c r="J572" s="133" t="s">
        <v>2417</v>
      </c>
      <c r="K572" s="133" t="s">
        <v>2417</v>
      </c>
      <c r="L572" s="133" t="s">
        <v>2417</v>
      </c>
      <c r="M572" s="133" t="s">
        <v>2417</v>
      </c>
      <c r="N572" s="133" t="s">
        <v>2417</v>
      </c>
      <c r="O572" s="133" t="s">
        <v>2417</v>
      </c>
      <c r="P572" s="133" t="s">
        <v>2417</v>
      </c>
      <c r="Q572" s="133" t="s">
        <v>2417</v>
      </c>
      <c r="R572" s="133" t="s">
        <v>2417</v>
      </c>
      <c r="S572" s="123" t="s">
        <v>2619</v>
      </c>
      <c r="T572" s="133" t="s">
        <v>2417</v>
      </c>
      <c r="U572" s="133" t="s">
        <v>2417</v>
      </c>
      <c r="V572" s="133" t="s">
        <v>2417</v>
      </c>
      <c r="W572" s="133" t="s">
        <v>2417</v>
      </c>
      <c r="X572" s="133" t="s">
        <v>2417</v>
      </c>
      <c r="Y572" s="133" t="s">
        <v>2417</v>
      </c>
      <c r="Z572" s="133" t="s">
        <v>2417</v>
      </c>
      <c r="AA572" s="133" t="s">
        <v>2417</v>
      </c>
      <c r="AB572" s="133" t="s">
        <v>2417</v>
      </c>
      <c r="AC572" s="133" t="s">
        <v>2417</v>
      </c>
      <c r="AD572" s="133" t="s">
        <v>2417</v>
      </c>
      <c r="AE572" s="123"/>
    </row>
    <row r="573" spans="1:31" ht="20.399999999999999" outlineLevel="2">
      <c r="A573" s="68" t="s">
        <v>1542</v>
      </c>
      <c r="B573" s="63" t="s">
        <v>2624</v>
      </c>
      <c r="C573" s="360" t="s">
        <v>1544</v>
      </c>
      <c r="D573" s="351"/>
      <c r="E573" s="133" t="s">
        <v>2455</v>
      </c>
      <c r="F573" s="133" t="s">
        <v>2417</v>
      </c>
      <c r="G573" s="133" t="s">
        <v>2417</v>
      </c>
      <c r="H573" s="133" t="s">
        <v>2417</v>
      </c>
      <c r="I573" s="134" t="s">
        <v>2418</v>
      </c>
      <c r="J573" s="133" t="s">
        <v>2417</v>
      </c>
      <c r="K573" s="133" t="s">
        <v>2417</v>
      </c>
      <c r="L573" s="133" t="s">
        <v>2417</v>
      </c>
      <c r="M573" s="133" t="s">
        <v>2417</v>
      </c>
      <c r="N573" s="133" t="s">
        <v>2417</v>
      </c>
      <c r="O573" s="133" t="s">
        <v>2417</v>
      </c>
      <c r="P573" s="133" t="s">
        <v>2417</v>
      </c>
      <c r="Q573" s="133" t="s">
        <v>2417</v>
      </c>
      <c r="R573" s="133" t="s">
        <v>2417</v>
      </c>
      <c r="S573" s="123" t="s">
        <v>2619</v>
      </c>
      <c r="T573" s="133" t="s">
        <v>2417</v>
      </c>
      <c r="U573" s="133" t="s">
        <v>2417</v>
      </c>
      <c r="V573" s="133" t="s">
        <v>2417</v>
      </c>
      <c r="W573" s="133" t="s">
        <v>2417</v>
      </c>
      <c r="X573" s="133" t="s">
        <v>2417</v>
      </c>
      <c r="Y573" s="133" t="s">
        <v>2417</v>
      </c>
      <c r="Z573" s="133" t="s">
        <v>2417</v>
      </c>
      <c r="AA573" s="133" t="s">
        <v>2417</v>
      </c>
      <c r="AB573" s="133" t="s">
        <v>2417</v>
      </c>
      <c r="AC573" s="133" t="s">
        <v>2417</v>
      </c>
      <c r="AD573" s="133" t="s">
        <v>2417</v>
      </c>
      <c r="AE573" s="123"/>
    </row>
    <row r="574" spans="1:31" ht="20.399999999999999" outlineLevel="2">
      <c r="A574" s="68" t="s">
        <v>1545</v>
      </c>
      <c r="B574" s="63" t="s">
        <v>2625</v>
      </c>
      <c r="C574" s="360" t="s">
        <v>1544</v>
      </c>
      <c r="D574" s="351"/>
      <c r="E574" s="133" t="s">
        <v>2455</v>
      </c>
      <c r="F574" s="133" t="s">
        <v>2417</v>
      </c>
      <c r="G574" s="133" t="s">
        <v>2417</v>
      </c>
      <c r="H574" s="133" t="s">
        <v>2417</v>
      </c>
      <c r="I574" s="134" t="s">
        <v>2418</v>
      </c>
      <c r="J574" s="133" t="s">
        <v>2417</v>
      </c>
      <c r="K574" s="133" t="s">
        <v>2417</v>
      </c>
      <c r="L574" s="133" t="s">
        <v>2417</v>
      </c>
      <c r="M574" s="133" t="s">
        <v>2417</v>
      </c>
      <c r="N574" s="133" t="s">
        <v>2417</v>
      </c>
      <c r="O574" s="133" t="s">
        <v>2417</v>
      </c>
      <c r="P574" s="133" t="s">
        <v>2417</v>
      </c>
      <c r="Q574" s="133" t="s">
        <v>2417</v>
      </c>
      <c r="R574" s="133" t="s">
        <v>2417</v>
      </c>
      <c r="S574" s="123" t="s">
        <v>2619</v>
      </c>
      <c r="T574" s="133" t="s">
        <v>2417</v>
      </c>
      <c r="U574" s="133" t="s">
        <v>2417</v>
      </c>
      <c r="V574" s="133" t="s">
        <v>2417</v>
      </c>
      <c r="W574" s="133" t="s">
        <v>2417</v>
      </c>
      <c r="X574" s="133" t="s">
        <v>2417</v>
      </c>
      <c r="Y574" s="133" t="s">
        <v>2417</v>
      </c>
      <c r="Z574" s="133" t="s">
        <v>2417</v>
      </c>
      <c r="AA574" s="133" t="s">
        <v>2417</v>
      </c>
      <c r="AB574" s="133" t="s">
        <v>2417</v>
      </c>
      <c r="AC574" s="133" t="s">
        <v>2417</v>
      </c>
      <c r="AD574" s="133" t="s">
        <v>2417</v>
      </c>
      <c r="AE574" s="123"/>
    </row>
    <row r="575" spans="1:31" ht="20.399999999999999" outlineLevel="2">
      <c r="A575" s="68" t="s">
        <v>1547</v>
      </c>
      <c r="B575" s="63" t="s">
        <v>2626</v>
      </c>
      <c r="C575" s="360" t="s">
        <v>1544</v>
      </c>
      <c r="D575" s="351"/>
      <c r="E575" s="133" t="s">
        <v>2455</v>
      </c>
      <c r="F575" s="133" t="s">
        <v>2417</v>
      </c>
      <c r="G575" s="133" t="s">
        <v>2417</v>
      </c>
      <c r="H575" s="133" t="s">
        <v>2417</v>
      </c>
      <c r="I575" s="134" t="s">
        <v>2418</v>
      </c>
      <c r="J575" s="133" t="s">
        <v>2417</v>
      </c>
      <c r="K575" s="133" t="s">
        <v>2417</v>
      </c>
      <c r="L575" s="133" t="s">
        <v>2417</v>
      </c>
      <c r="M575" s="133" t="s">
        <v>2417</v>
      </c>
      <c r="N575" s="133" t="s">
        <v>2417</v>
      </c>
      <c r="O575" s="133" t="s">
        <v>2417</v>
      </c>
      <c r="P575" s="133" t="s">
        <v>2417</v>
      </c>
      <c r="Q575" s="133" t="s">
        <v>2417</v>
      </c>
      <c r="R575" s="133" t="s">
        <v>2417</v>
      </c>
      <c r="S575" s="123" t="s">
        <v>2619</v>
      </c>
      <c r="T575" s="133" t="s">
        <v>2417</v>
      </c>
      <c r="U575" s="133" t="s">
        <v>2417</v>
      </c>
      <c r="V575" s="133" t="s">
        <v>2417</v>
      </c>
      <c r="W575" s="133" t="s">
        <v>2417</v>
      </c>
      <c r="X575" s="133" t="s">
        <v>2417</v>
      </c>
      <c r="Y575" s="133" t="s">
        <v>2417</v>
      </c>
      <c r="Z575" s="133" t="s">
        <v>2417</v>
      </c>
      <c r="AA575" s="133" t="s">
        <v>2417</v>
      </c>
      <c r="AB575" s="133" t="s">
        <v>2417</v>
      </c>
      <c r="AC575" s="133" t="s">
        <v>2417</v>
      </c>
      <c r="AD575" s="133" t="s">
        <v>2417</v>
      </c>
      <c r="AE575" s="123"/>
    </row>
    <row r="576" spans="1:31" ht="20.399999999999999" outlineLevel="2">
      <c r="A576" s="68" t="s">
        <v>1549</v>
      </c>
      <c r="B576" s="63" t="s">
        <v>2627</v>
      </c>
      <c r="C576" s="360" t="s">
        <v>1551</v>
      </c>
      <c r="D576" s="351"/>
      <c r="E576" s="133" t="s">
        <v>2455</v>
      </c>
      <c r="F576" s="133" t="s">
        <v>2417</v>
      </c>
      <c r="G576" s="133" t="s">
        <v>2417</v>
      </c>
      <c r="H576" s="133" t="s">
        <v>2417</v>
      </c>
      <c r="I576" s="134" t="s">
        <v>2418</v>
      </c>
      <c r="J576" s="133" t="s">
        <v>2417</v>
      </c>
      <c r="K576" s="133" t="s">
        <v>2417</v>
      </c>
      <c r="L576" s="133" t="s">
        <v>2417</v>
      </c>
      <c r="M576" s="133" t="s">
        <v>2417</v>
      </c>
      <c r="N576" s="133" t="s">
        <v>2417</v>
      </c>
      <c r="O576" s="133" t="s">
        <v>2417</v>
      </c>
      <c r="P576" s="133" t="s">
        <v>2417</v>
      </c>
      <c r="Q576" s="133" t="s">
        <v>2417</v>
      </c>
      <c r="R576" s="133" t="s">
        <v>2417</v>
      </c>
      <c r="S576" s="123" t="s">
        <v>2619</v>
      </c>
      <c r="T576" s="133" t="s">
        <v>2417</v>
      </c>
      <c r="U576" s="133" t="s">
        <v>2417</v>
      </c>
      <c r="V576" s="133" t="s">
        <v>2417</v>
      </c>
      <c r="W576" s="133" t="s">
        <v>2417</v>
      </c>
      <c r="X576" s="133" t="s">
        <v>2417</v>
      </c>
      <c r="Y576" s="133" t="s">
        <v>2417</v>
      </c>
      <c r="Z576" s="133" t="s">
        <v>2595</v>
      </c>
      <c r="AA576" s="133" t="s">
        <v>2417</v>
      </c>
      <c r="AB576" s="133" t="s">
        <v>2417</v>
      </c>
      <c r="AC576" s="133" t="s">
        <v>2417</v>
      </c>
      <c r="AD576" s="133" t="s">
        <v>2417</v>
      </c>
      <c r="AE576" s="123"/>
    </row>
    <row r="577" spans="1:31" ht="20.399999999999999" hidden="1" outlineLevel="2">
      <c r="A577" s="68" t="s">
        <v>1549</v>
      </c>
      <c r="B577" s="62" t="s">
        <v>2628</v>
      </c>
      <c r="C577" s="355" t="s">
        <v>2629</v>
      </c>
      <c r="D577" s="351"/>
      <c r="E577" s="133" t="s">
        <v>2455</v>
      </c>
      <c r="F577" s="133" t="s">
        <v>2417</v>
      </c>
      <c r="G577" s="133" t="s">
        <v>2417</v>
      </c>
      <c r="H577" s="133" t="s">
        <v>2417</v>
      </c>
      <c r="I577" s="134" t="s">
        <v>2418</v>
      </c>
      <c r="J577" s="133" t="s">
        <v>2417</v>
      </c>
      <c r="K577" s="133" t="s">
        <v>2417</v>
      </c>
      <c r="L577" s="133" t="s">
        <v>2417</v>
      </c>
      <c r="M577" s="133" t="s">
        <v>2417</v>
      </c>
      <c r="N577" s="133" t="s">
        <v>2417</v>
      </c>
      <c r="O577" s="133" t="s">
        <v>2417</v>
      </c>
      <c r="P577" s="133" t="s">
        <v>2417</v>
      </c>
      <c r="Q577" s="133" t="s">
        <v>2417</v>
      </c>
      <c r="R577" s="133" t="s">
        <v>2417</v>
      </c>
      <c r="S577" s="133" t="s">
        <v>2417</v>
      </c>
      <c r="T577" s="133" t="s">
        <v>2417</v>
      </c>
      <c r="U577" s="133" t="s">
        <v>2417</v>
      </c>
      <c r="V577" s="133" t="s">
        <v>2417</v>
      </c>
      <c r="W577" s="133" t="s">
        <v>2417</v>
      </c>
      <c r="X577" s="133" t="s">
        <v>2417</v>
      </c>
      <c r="Y577" s="133" t="s">
        <v>2417</v>
      </c>
      <c r="Z577" s="123" t="s">
        <v>2596</v>
      </c>
      <c r="AA577" s="133" t="s">
        <v>2417</v>
      </c>
      <c r="AB577" s="133" t="s">
        <v>2417</v>
      </c>
      <c r="AC577" s="133" t="s">
        <v>2417</v>
      </c>
      <c r="AD577" s="133" t="s">
        <v>2417</v>
      </c>
      <c r="AE577" s="123"/>
    </row>
    <row r="578" spans="1:31" ht="30.6" outlineLevel="2">
      <c r="A578" s="68" t="s">
        <v>1552</v>
      </c>
      <c r="B578" s="63" t="s">
        <v>2630</v>
      </c>
      <c r="C578" s="360" t="s">
        <v>1554</v>
      </c>
      <c r="D578" s="351"/>
      <c r="E578" s="133" t="s">
        <v>2455</v>
      </c>
      <c r="F578" s="133" t="s">
        <v>2417</v>
      </c>
      <c r="G578" s="133" t="s">
        <v>2417</v>
      </c>
      <c r="H578" s="133" t="s">
        <v>2417</v>
      </c>
      <c r="I578" s="134" t="s">
        <v>2418</v>
      </c>
      <c r="J578" s="133" t="s">
        <v>2417</v>
      </c>
      <c r="K578" s="133" t="s">
        <v>2417</v>
      </c>
      <c r="L578" s="133" t="s">
        <v>2417</v>
      </c>
      <c r="M578" s="133" t="s">
        <v>2417</v>
      </c>
      <c r="N578" s="133" t="s">
        <v>2417</v>
      </c>
      <c r="O578" s="133" t="s">
        <v>2417</v>
      </c>
      <c r="P578" s="133" t="s">
        <v>2417</v>
      </c>
      <c r="Q578" s="133" t="s">
        <v>2417</v>
      </c>
      <c r="R578" s="133" t="s">
        <v>2417</v>
      </c>
      <c r="S578" s="123" t="s">
        <v>2619</v>
      </c>
      <c r="T578" s="133" t="s">
        <v>2417</v>
      </c>
      <c r="U578" s="133" t="s">
        <v>2417</v>
      </c>
      <c r="V578" s="133" t="s">
        <v>2417</v>
      </c>
      <c r="W578" s="133" t="s">
        <v>2417</v>
      </c>
      <c r="X578" s="133" t="s">
        <v>2417</v>
      </c>
      <c r="Y578" s="133" t="s">
        <v>2595</v>
      </c>
      <c r="Z578" s="133" t="s">
        <v>2417</v>
      </c>
      <c r="AA578" s="133" t="s">
        <v>2417</v>
      </c>
      <c r="AB578" s="133" t="s">
        <v>2417</v>
      </c>
      <c r="AC578" s="133" t="s">
        <v>2417</v>
      </c>
      <c r="AD578" s="133" t="s">
        <v>2417</v>
      </c>
      <c r="AE578" s="123"/>
    </row>
    <row r="579" spans="1:31" ht="20.399999999999999" hidden="1" outlineLevel="2">
      <c r="A579" s="68" t="s">
        <v>1552</v>
      </c>
      <c r="B579" s="62" t="s">
        <v>2631</v>
      </c>
      <c r="C579" s="355" t="s">
        <v>2632</v>
      </c>
      <c r="D579" s="351"/>
      <c r="E579" s="133" t="s">
        <v>2455</v>
      </c>
      <c r="F579" s="133" t="s">
        <v>2417</v>
      </c>
      <c r="G579" s="133" t="s">
        <v>2417</v>
      </c>
      <c r="H579" s="133" t="s">
        <v>2417</v>
      </c>
      <c r="I579" s="134" t="s">
        <v>2418</v>
      </c>
      <c r="J579" s="133" t="s">
        <v>2417</v>
      </c>
      <c r="K579" s="133" t="s">
        <v>2417</v>
      </c>
      <c r="L579" s="133" t="s">
        <v>2417</v>
      </c>
      <c r="M579" s="133" t="s">
        <v>2417</v>
      </c>
      <c r="N579" s="133" t="s">
        <v>2417</v>
      </c>
      <c r="O579" s="133" t="s">
        <v>2417</v>
      </c>
      <c r="P579" s="133" t="s">
        <v>2417</v>
      </c>
      <c r="Q579" s="133" t="s">
        <v>2417</v>
      </c>
      <c r="R579" s="133" t="s">
        <v>2417</v>
      </c>
      <c r="S579" s="133" t="s">
        <v>2417</v>
      </c>
      <c r="T579" s="133" t="s">
        <v>2417</v>
      </c>
      <c r="U579" s="133" t="s">
        <v>2417</v>
      </c>
      <c r="V579" s="133" t="s">
        <v>2417</v>
      </c>
      <c r="W579" s="133" t="s">
        <v>2417</v>
      </c>
      <c r="X579" s="133" t="s">
        <v>2417</v>
      </c>
      <c r="Y579" s="123" t="s">
        <v>2596</v>
      </c>
      <c r="Z579" s="133" t="s">
        <v>2417</v>
      </c>
      <c r="AA579" s="133" t="s">
        <v>2417</v>
      </c>
      <c r="AB579" s="133" t="s">
        <v>2417</v>
      </c>
      <c r="AC579" s="133" t="s">
        <v>2417</v>
      </c>
      <c r="AD579" s="133" t="s">
        <v>2417</v>
      </c>
      <c r="AE579" s="123"/>
    </row>
    <row r="580" spans="1:31" ht="20.399999999999999" outlineLevel="2">
      <c r="A580" s="68" t="s">
        <v>1555</v>
      </c>
      <c r="B580" s="63" t="s">
        <v>2633</v>
      </c>
      <c r="C580" s="360" t="s">
        <v>1557</v>
      </c>
      <c r="D580" s="351"/>
      <c r="E580" s="133" t="s">
        <v>2455</v>
      </c>
      <c r="F580" s="133" t="s">
        <v>2417</v>
      </c>
      <c r="G580" s="133" t="s">
        <v>2417</v>
      </c>
      <c r="H580" s="133" t="s">
        <v>2417</v>
      </c>
      <c r="I580" s="134" t="s">
        <v>2418</v>
      </c>
      <c r="J580" s="133" t="s">
        <v>2417</v>
      </c>
      <c r="K580" s="133" t="s">
        <v>2417</v>
      </c>
      <c r="L580" s="133" t="s">
        <v>2417</v>
      </c>
      <c r="M580" s="133" t="s">
        <v>2417</v>
      </c>
      <c r="N580" s="133" t="s">
        <v>2417</v>
      </c>
      <c r="O580" s="133" t="s">
        <v>2417</v>
      </c>
      <c r="P580" s="133" t="s">
        <v>2417</v>
      </c>
      <c r="Q580" s="133" t="s">
        <v>2417</v>
      </c>
      <c r="R580" s="133" t="s">
        <v>2417</v>
      </c>
      <c r="S580" s="123" t="s">
        <v>2619</v>
      </c>
      <c r="T580" s="133" t="s">
        <v>2417</v>
      </c>
      <c r="U580" s="133" t="s">
        <v>2417</v>
      </c>
      <c r="V580" s="133" t="s">
        <v>2417</v>
      </c>
      <c r="W580" s="133" t="s">
        <v>2417</v>
      </c>
      <c r="X580" s="133" t="s">
        <v>2417</v>
      </c>
      <c r="Y580" s="133" t="s">
        <v>2417</v>
      </c>
      <c r="Z580" s="133" t="s">
        <v>2417</v>
      </c>
      <c r="AA580" s="133" t="s">
        <v>2417</v>
      </c>
      <c r="AB580" s="133" t="s">
        <v>2417</v>
      </c>
      <c r="AC580" s="133" t="s">
        <v>2417</v>
      </c>
      <c r="AD580" s="133" t="s">
        <v>2417</v>
      </c>
      <c r="AE580" s="123"/>
    </row>
    <row r="581" spans="1:31" ht="20.399999999999999" outlineLevel="2">
      <c r="A581" s="68" t="s">
        <v>1558</v>
      </c>
      <c r="B581" s="63" t="s">
        <v>2634</v>
      </c>
      <c r="C581" s="360" t="s">
        <v>1560</v>
      </c>
      <c r="D581" s="351"/>
      <c r="E581" s="133" t="s">
        <v>2455</v>
      </c>
      <c r="F581" s="133" t="s">
        <v>2417</v>
      </c>
      <c r="G581" s="133" t="s">
        <v>2417</v>
      </c>
      <c r="H581" s="133" t="s">
        <v>2417</v>
      </c>
      <c r="I581" s="134" t="s">
        <v>2418</v>
      </c>
      <c r="J581" s="133" t="s">
        <v>2417</v>
      </c>
      <c r="K581" s="133" t="s">
        <v>2417</v>
      </c>
      <c r="L581" s="133" t="s">
        <v>2417</v>
      </c>
      <c r="M581" s="133" t="s">
        <v>2417</v>
      </c>
      <c r="N581" s="133" t="s">
        <v>2417</v>
      </c>
      <c r="O581" s="133" t="s">
        <v>2417</v>
      </c>
      <c r="P581" s="133" t="s">
        <v>2417</v>
      </c>
      <c r="Q581" s="133" t="s">
        <v>2417</v>
      </c>
      <c r="R581" s="133" t="s">
        <v>2417</v>
      </c>
      <c r="S581" s="123" t="s">
        <v>2619</v>
      </c>
      <c r="T581" s="133" t="s">
        <v>2417</v>
      </c>
      <c r="U581" s="133" t="s">
        <v>2417</v>
      </c>
      <c r="V581" s="133" t="s">
        <v>2417</v>
      </c>
      <c r="W581" s="133" t="s">
        <v>2417</v>
      </c>
      <c r="X581" s="133" t="s">
        <v>2417</v>
      </c>
      <c r="Y581" s="133" t="s">
        <v>2417</v>
      </c>
      <c r="Z581" s="133" t="s">
        <v>2417</v>
      </c>
      <c r="AA581" s="133" t="s">
        <v>2417</v>
      </c>
      <c r="AB581" s="133" t="s">
        <v>2417</v>
      </c>
      <c r="AC581" s="133" t="s">
        <v>2417</v>
      </c>
      <c r="AD581" s="133" t="s">
        <v>2417</v>
      </c>
      <c r="AE581" s="123"/>
    </row>
    <row r="582" spans="1:31" ht="30.6" outlineLevel="2">
      <c r="A582" s="68" t="s">
        <v>1561</v>
      </c>
      <c r="B582" s="63" t="s">
        <v>1562</v>
      </c>
      <c r="C582" s="387" t="s">
        <v>1563</v>
      </c>
      <c r="D582" s="351"/>
      <c r="E582" s="133" t="s">
        <v>2455</v>
      </c>
      <c r="F582" s="133" t="s">
        <v>2417</v>
      </c>
      <c r="G582" s="133" t="s">
        <v>2417</v>
      </c>
      <c r="H582" s="133" t="s">
        <v>2417</v>
      </c>
      <c r="I582" s="134" t="s">
        <v>2418</v>
      </c>
      <c r="J582" s="133" t="s">
        <v>2417</v>
      </c>
      <c r="K582" s="133" t="s">
        <v>2417</v>
      </c>
      <c r="L582" s="133" t="s">
        <v>2417</v>
      </c>
      <c r="M582" s="133" t="s">
        <v>2417</v>
      </c>
      <c r="N582" s="133" t="s">
        <v>2417</v>
      </c>
      <c r="O582" s="133" t="s">
        <v>2417</v>
      </c>
      <c r="P582" s="133" t="s">
        <v>2417</v>
      </c>
      <c r="Q582" s="133" t="s">
        <v>2417</v>
      </c>
      <c r="R582" s="133" t="s">
        <v>2417</v>
      </c>
      <c r="S582" s="133" t="s">
        <v>2417</v>
      </c>
      <c r="T582" s="133" t="s">
        <v>2417</v>
      </c>
      <c r="U582" s="133" t="s">
        <v>2417</v>
      </c>
      <c r="V582" s="133" t="s">
        <v>2417</v>
      </c>
      <c r="W582" s="133" t="s">
        <v>2417</v>
      </c>
      <c r="X582" s="133" t="s">
        <v>2417</v>
      </c>
      <c r="Y582" s="133" t="s">
        <v>2417</v>
      </c>
      <c r="Z582" s="133" t="s">
        <v>2417</v>
      </c>
      <c r="AA582" s="133" t="s">
        <v>2417</v>
      </c>
      <c r="AB582" s="133" t="s">
        <v>2417</v>
      </c>
      <c r="AC582" s="133" t="s">
        <v>2417</v>
      </c>
      <c r="AD582" s="133" t="s">
        <v>2417</v>
      </c>
      <c r="AE582" s="57"/>
    </row>
    <row r="583" spans="1:31" ht="20.399999999999999" outlineLevel="2">
      <c r="A583" s="68" t="s">
        <v>1564</v>
      </c>
      <c r="B583" s="63" t="s">
        <v>2635</v>
      </c>
      <c r="C583" s="360" t="s">
        <v>1566</v>
      </c>
      <c r="D583" s="351"/>
      <c r="E583" s="133" t="s">
        <v>2455</v>
      </c>
      <c r="F583" s="133" t="s">
        <v>2417</v>
      </c>
      <c r="G583" s="133" t="s">
        <v>2417</v>
      </c>
      <c r="H583" s="133" t="s">
        <v>2417</v>
      </c>
      <c r="I583" s="134" t="s">
        <v>2418</v>
      </c>
      <c r="J583" s="133" t="s">
        <v>2417</v>
      </c>
      <c r="K583" s="133" t="s">
        <v>2417</v>
      </c>
      <c r="L583" s="133" t="s">
        <v>2417</v>
      </c>
      <c r="M583" s="133" t="s">
        <v>2417</v>
      </c>
      <c r="N583" s="133" t="s">
        <v>2417</v>
      </c>
      <c r="O583" s="133" t="s">
        <v>2417</v>
      </c>
      <c r="P583" s="133" t="s">
        <v>2417</v>
      </c>
      <c r="Q583" s="133" t="s">
        <v>2417</v>
      </c>
      <c r="R583" s="133" t="s">
        <v>2417</v>
      </c>
      <c r="S583" s="123" t="s">
        <v>2619</v>
      </c>
      <c r="T583" s="133" t="s">
        <v>2417</v>
      </c>
      <c r="U583" s="133" t="s">
        <v>2417</v>
      </c>
      <c r="V583" s="133" t="s">
        <v>2417</v>
      </c>
      <c r="W583" s="133" t="s">
        <v>2417</v>
      </c>
      <c r="X583" s="133" t="s">
        <v>2417</v>
      </c>
      <c r="Y583" s="133" t="s">
        <v>2417</v>
      </c>
      <c r="Z583" s="133" t="s">
        <v>2417</v>
      </c>
      <c r="AA583" s="133" t="s">
        <v>2417</v>
      </c>
      <c r="AB583" s="133" t="s">
        <v>2417</v>
      </c>
      <c r="AC583" s="133" t="s">
        <v>2417</v>
      </c>
      <c r="AD583" s="133" t="s">
        <v>2417</v>
      </c>
      <c r="AE583" s="123"/>
    </row>
    <row r="584" spans="1:31" ht="20.399999999999999" hidden="1" outlineLevel="2">
      <c r="A584" s="68" t="s">
        <v>1567</v>
      </c>
      <c r="B584" s="62" t="s">
        <v>1568</v>
      </c>
      <c r="C584" s="355" t="s">
        <v>2636</v>
      </c>
      <c r="D584" s="351"/>
      <c r="E584" s="133" t="s">
        <v>2455</v>
      </c>
      <c r="F584" s="133" t="s">
        <v>2417</v>
      </c>
      <c r="G584" s="133" t="s">
        <v>2417</v>
      </c>
      <c r="H584" s="133" t="s">
        <v>2417</v>
      </c>
      <c r="I584" s="134" t="s">
        <v>2418</v>
      </c>
      <c r="J584" s="133" t="s">
        <v>2417</v>
      </c>
      <c r="K584" s="133" t="s">
        <v>2417</v>
      </c>
      <c r="L584" s="133" t="s">
        <v>2417</v>
      </c>
      <c r="M584" s="133" t="s">
        <v>2417</v>
      </c>
      <c r="N584" s="133" t="s">
        <v>2417</v>
      </c>
      <c r="O584" s="133" t="s">
        <v>2417</v>
      </c>
      <c r="P584" s="133" t="s">
        <v>2417</v>
      </c>
      <c r="Q584" s="133" t="s">
        <v>2417</v>
      </c>
      <c r="R584" s="133" t="s">
        <v>2417</v>
      </c>
      <c r="S584" s="133" t="s">
        <v>2417</v>
      </c>
      <c r="T584" s="133" t="s">
        <v>2417</v>
      </c>
      <c r="U584" s="133" t="s">
        <v>2417</v>
      </c>
      <c r="V584" s="133" t="s">
        <v>2417</v>
      </c>
      <c r="W584" s="59" t="s">
        <v>2595</v>
      </c>
      <c r="X584" s="133" t="s">
        <v>2417</v>
      </c>
      <c r="Y584" s="133" t="s">
        <v>2417</v>
      </c>
      <c r="Z584" s="133" t="s">
        <v>2417</v>
      </c>
      <c r="AA584" s="133" t="s">
        <v>2417</v>
      </c>
      <c r="AB584" s="133" t="s">
        <v>2417</v>
      </c>
      <c r="AC584" s="133" t="s">
        <v>2417</v>
      </c>
      <c r="AD584" s="133" t="s">
        <v>2417</v>
      </c>
      <c r="AE584" s="57"/>
    </row>
    <row r="585" spans="1:31" ht="20.399999999999999" outlineLevel="2">
      <c r="A585" s="68" t="s">
        <v>1567</v>
      </c>
      <c r="B585" s="63" t="s">
        <v>1568</v>
      </c>
      <c r="C585" s="387" t="s">
        <v>2637</v>
      </c>
      <c r="D585" s="351"/>
      <c r="E585" s="133" t="s">
        <v>2455</v>
      </c>
      <c r="F585" s="133" t="s">
        <v>2417</v>
      </c>
      <c r="G585" s="133" t="s">
        <v>2417</v>
      </c>
      <c r="H585" s="133" t="s">
        <v>2417</v>
      </c>
      <c r="I585" s="134" t="s">
        <v>2418</v>
      </c>
      <c r="J585" s="133" t="s">
        <v>2417</v>
      </c>
      <c r="K585" s="133" t="s">
        <v>2417</v>
      </c>
      <c r="L585" s="133" t="s">
        <v>2417</v>
      </c>
      <c r="M585" s="133" t="s">
        <v>2417</v>
      </c>
      <c r="N585" s="133" t="s">
        <v>2417</v>
      </c>
      <c r="O585" s="133" t="s">
        <v>2417</v>
      </c>
      <c r="P585" s="133" t="s">
        <v>2417</v>
      </c>
      <c r="Q585" s="133" t="s">
        <v>2417</v>
      </c>
      <c r="R585" s="133" t="s">
        <v>2417</v>
      </c>
      <c r="S585" s="133" t="s">
        <v>2417</v>
      </c>
      <c r="T585" s="133" t="s">
        <v>2417</v>
      </c>
      <c r="U585" s="133" t="s">
        <v>2417</v>
      </c>
      <c r="V585" s="133" t="s">
        <v>2417</v>
      </c>
      <c r="W585" s="59" t="s">
        <v>2596</v>
      </c>
      <c r="X585" s="133" t="s">
        <v>2417</v>
      </c>
      <c r="Y585" s="133" t="s">
        <v>2417</v>
      </c>
      <c r="Z585" s="133" t="s">
        <v>2417</v>
      </c>
      <c r="AA585" s="133" t="s">
        <v>2417</v>
      </c>
      <c r="AB585" s="133" t="s">
        <v>2417</v>
      </c>
      <c r="AC585" s="133" t="s">
        <v>2417</v>
      </c>
      <c r="AD585" s="133" t="s">
        <v>2417</v>
      </c>
      <c r="AE585" s="57"/>
    </row>
    <row r="586" spans="1:31" ht="20.399999999999999" outlineLevel="2">
      <c r="A586" s="68" t="s">
        <v>1570</v>
      </c>
      <c r="B586" s="79" t="s">
        <v>1571</v>
      </c>
      <c r="C586" s="387" t="s">
        <v>2638</v>
      </c>
      <c r="D586" s="351"/>
      <c r="E586" s="133" t="s">
        <v>2455</v>
      </c>
      <c r="F586" s="133" t="s">
        <v>2417</v>
      </c>
      <c r="G586" s="133" t="s">
        <v>2417</v>
      </c>
      <c r="H586" s="133" t="s">
        <v>2417</v>
      </c>
      <c r="I586" s="134" t="s">
        <v>2418</v>
      </c>
      <c r="J586" s="133" t="s">
        <v>2417</v>
      </c>
      <c r="K586" s="133" t="s">
        <v>2417</v>
      </c>
      <c r="L586" s="133" t="s">
        <v>2417</v>
      </c>
      <c r="M586" s="133" t="s">
        <v>2417</v>
      </c>
      <c r="N586" s="133" t="s">
        <v>2417</v>
      </c>
      <c r="O586" s="133" t="s">
        <v>2417</v>
      </c>
      <c r="P586" s="133" t="s">
        <v>2417</v>
      </c>
      <c r="Q586" s="133" t="s">
        <v>2417</v>
      </c>
      <c r="R586" s="133" t="s">
        <v>2417</v>
      </c>
      <c r="S586" s="133" t="s">
        <v>2417</v>
      </c>
      <c r="T586" s="133" t="s">
        <v>2417</v>
      </c>
      <c r="U586" s="133" t="s">
        <v>2417</v>
      </c>
      <c r="V586" s="133" t="s">
        <v>2417</v>
      </c>
      <c r="W586" s="59" t="s">
        <v>2596</v>
      </c>
      <c r="X586" s="133" t="s">
        <v>2417</v>
      </c>
      <c r="Y586" s="133" t="s">
        <v>2417</v>
      </c>
      <c r="Z586" s="133" t="s">
        <v>2417</v>
      </c>
      <c r="AA586" s="133" t="s">
        <v>2417</v>
      </c>
      <c r="AB586" s="133" t="s">
        <v>2417</v>
      </c>
      <c r="AC586" s="133" t="s">
        <v>2417</v>
      </c>
      <c r="AD586" s="133" t="s">
        <v>2417</v>
      </c>
      <c r="AE586" s="144"/>
    </row>
    <row r="587" spans="1:31" ht="20.399999999999999" outlineLevel="2">
      <c r="A587" s="68" t="s">
        <v>1573</v>
      </c>
      <c r="B587" s="79" t="s">
        <v>1574</v>
      </c>
      <c r="C587" s="387" t="s">
        <v>2639</v>
      </c>
      <c r="D587" s="351"/>
      <c r="E587" s="133" t="s">
        <v>2455</v>
      </c>
      <c r="F587" s="133" t="s">
        <v>2417</v>
      </c>
      <c r="G587" s="133" t="s">
        <v>2417</v>
      </c>
      <c r="H587" s="133" t="s">
        <v>2417</v>
      </c>
      <c r="I587" s="134" t="s">
        <v>2418</v>
      </c>
      <c r="J587" s="133" t="s">
        <v>2417</v>
      </c>
      <c r="K587" s="133" t="s">
        <v>2417</v>
      </c>
      <c r="L587" s="133" t="s">
        <v>2417</v>
      </c>
      <c r="M587" s="133" t="s">
        <v>2417</v>
      </c>
      <c r="N587" s="133" t="s">
        <v>2417</v>
      </c>
      <c r="O587" s="133" t="s">
        <v>2417</v>
      </c>
      <c r="P587" s="133" t="s">
        <v>2417</v>
      </c>
      <c r="Q587" s="133" t="s">
        <v>2417</v>
      </c>
      <c r="R587" s="133" t="s">
        <v>2417</v>
      </c>
      <c r="S587" s="133" t="s">
        <v>2417</v>
      </c>
      <c r="T587" s="133" t="s">
        <v>2417</v>
      </c>
      <c r="U587" s="133" t="s">
        <v>2417</v>
      </c>
      <c r="V587" s="133" t="s">
        <v>2417</v>
      </c>
      <c r="W587" s="59" t="s">
        <v>2596</v>
      </c>
      <c r="X587" s="133" t="s">
        <v>2417</v>
      </c>
      <c r="Y587" s="133" t="s">
        <v>2417</v>
      </c>
      <c r="Z587" s="133" t="s">
        <v>2417</v>
      </c>
      <c r="AA587" s="133" t="s">
        <v>2417</v>
      </c>
      <c r="AB587" s="133" t="s">
        <v>2417</v>
      </c>
      <c r="AC587" s="133" t="s">
        <v>2417</v>
      </c>
      <c r="AD587" s="133" t="s">
        <v>2417</v>
      </c>
      <c r="AE587" s="144"/>
    </row>
    <row r="588" spans="1:31" ht="20.399999999999999" outlineLevel="2">
      <c r="A588" s="68" t="s">
        <v>1576</v>
      </c>
      <c r="B588" s="79" t="s">
        <v>1577</v>
      </c>
      <c r="C588" s="387" t="s">
        <v>1578</v>
      </c>
      <c r="D588" s="351"/>
      <c r="E588" s="133" t="s">
        <v>2455</v>
      </c>
      <c r="F588" s="133" t="s">
        <v>2417</v>
      </c>
      <c r="G588" s="133" t="s">
        <v>2417</v>
      </c>
      <c r="H588" s="133" t="s">
        <v>2417</v>
      </c>
      <c r="I588" s="134" t="s">
        <v>2418</v>
      </c>
      <c r="J588" s="133" t="s">
        <v>2417</v>
      </c>
      <c r="K588" s="133" t="s">
        <v>2417</v>
      </c>
      <c r="L588" s="133" t="s">
        <v>2417</v>
      </c>
      <c r="M588" s="133" t="s">
        <v>2417</v>
      </c>
      <c r="N588" s="133" t="s">
        <v>2417</v>
      </c>
      <c r="O588" s="133" t="s">
        <v>2417</v>
      </c>
      <c r="P588" s="133" t="s">
        <v>2417</v>
      </c>
      <c r="Q588" s="133" t="s">
        <v>2417</v>
      </c>
      <c r="R588" s="133" t="s">
        <v>2417</v>
      </c>
      <c r="S588" s="133" t="s">
        <v>2417</v>
      </c>
      <c r="T588" s="133" t="s">
        <v>2417</v>
      </c>
      <c r="U588" s="133" t="s">
        <v>2417</v>
      </c>
      <c r="V588" s="133" t="s">
        <v>2417</v>
      </c>
      <c r="W588" s="59" t="s">
        <v>2596</v>
      </c>
      <c r="X588" s="133" t="s">
        <v>2417</v>
      </c>
      <c r="Y588" s="133" t="s">
        <v>2417</v>
      </c>
      <c r="Z588" s="133" t="s">
        <v>2417</v>
      </c>
      <c r="AA588" s="133" t="s">
        <v>2417</v>
      </c>
      <c r="AB588" s="133" t="s">
        <v>2417</v>
      </c>
      <c r="AC588" s="133" t="s">
        <v>2417</v>
      </c>
      <c r="AD588" s="133" t="s">
        <v>2417</v>
      </c>
      <c r="AE588" s="151"/>
    </row>
    <row r="589" spans="1:31" ht="20.399999999999999" hidden="1" outlineLevel="2">
      <c r="A589" s="68" t="s">
        <v>1579</v>
      </c>
      <c r="B589" s="62" t="s">
        <v>1580</v>
      </c>
      <c r="C589" s="355" t="s">
        <v>2640</v>
      </c>
      <c r="D589" s="351"/>
      <c r="E589" s="133" t="s">
        <v>2455</v>
      </c>
      <c r="F589" s="133" t="s">
        <v>2417</v>
      </c>
      <c r="G589" s="133" t="s">
        <v>2417</v>
      </c>
      <c r="H589" s="133" t="s">
        <v>2417</v>
      </c>
      <c r="I589" s="134" t="s">
        <v>2418</v>
      </c>
      <c r="J589" s="133" t="s">
        <v>2417</v>
      </c>
      <c r="K589" s="133" t="s">
        <v>2417</v>
      </c>
      <c r="L589" s="133" t="s">
        <v>2417</v>
      </c>
      <c r="M589" s="133" t="s">
        <v>2417</v>
      </c>
      <c r="N589" s="133" t="s">
        <v>2417</v>
      </c>
      <c r="O589" s="133" t="s">
        <v>2417</v>
      </c>
      <c r="P589" s="133" t="s">
        <v>2417</v>
      </c>
      <c r="Q589" s="133" t="s">
        <v>2417</v>
      </c>
      <c r="R589" s="133" t="s">
        <v>2417</v>
      </c>
      <c r="S589" s="133" t="s">
        <v>2417</v>
      </c>
      <c r="T589" s="133" t="s">
        <v>2417</v>
      </c>
      <c r="U589" s="133" t="s">
        <v>2417</v>
      </c>
      <c r="V589" s="133" t="s">
        <v>2417</v>
      </c>
      <c r="W589" s="133" t="s">
        <v>2417</v>
      </c>
      <c r="X589" s="59" t="s">
        <v>2595</v>
      </c>
      <c r="Y589" s="133" t="s">
        <v>2417</v>
      </c>
      <c r="Z589" s="133" t="s">
        <v>2417</v>
      </c>
      <c r="AA589" s="133" t="s">
        <v>2417</v>
      </c>
      <c r="AB589" s="133" t="s">
        <v>2417</v>
      </c>
      <c r="AC589" s="133" t="s">
        <v>2417</v>
      </c>
      <c r="AD589" s="133" t="s">
        <v>2417</v>
      </c>
      <c r="AE589" s="59"/>
    </row>
    <row r="590" spans="1:31" ht="20.399999999999999" outlineLevel="2">
      <c r="A590" s="68" t="s">
        <v>1579</v>
      </c>
      <c r="B590" s="62" t="s">
        <v>1580</v>
      </c>
      <c r="C590" s="387" t="s">
        <v>1581</v>
      </c>
      <c r="D590" s="351"/>
      <c r="E590" s="133" t="s">
        <v>2455</v>
      </c>
      <c r="F590" s="133" t="s">
        <v>2417</v>
      </c>
      <c r="G590" s="133" t="s">
        <v>2417</v>
      </c>
      <c r="H590" s="133" t="s">
        <v>2417</v>
      </c>
      <c r="I590" s="134" t="s">
        <v>2418</v>
      </c>
      <c r="J590" s="133" t="s">
        <v>2417</v>
      </c>
      <c r="K590" s="133" t="s">
        <v>2417</v>
      </c>
      <c r="L590" s="133" t="s">
        <v>2417</v>
      </c>
      <c r="M590" s="133" t="s">
        <v>2417</v>
      </c>
      <c r="N590" s="133" t="s">
        <v>2417</v>
      </c>
      <c r="O590" s="133" t="s">
        <v>2417</v>
      </c>
      <c r="P590" s="133" t="s">
        <v>2417</v>
      </c>
      <c r="Q590" s="133" t="s">
        <v>2417</v>
      </c>
      <c r="R590" s="133" t="s">
        <v>2417</v>
      </c>
      <c r="S590" s="133" t="s">
        <v>2417</v>
      </c>
      <c r="T590" s="133" t="s">
        <v>2417</v>
      </c>
      <c r="U590" s="133" t="s">
        <v>2417</v>
      </c>
      <c r="V590" s="133" t="s">
        <v>2417</v>
      </c>
      <c r="W590" s="133" t="s">
        <v>2417</v>
      </c>
      <c r="X590" s="59" t="s">
        <v>2596</v>
      </c>
      <c r="Y590" s="133" t="s">
        <v>2417</v>
      </c>
      <c r="Z590" s="133" t="s">
        <v>2417</v>
      </c>
      <c r="AA590" s="133" t="s">
        <v>2417</v>
      </c>
      <c r="AB590" s="133" t="s">
        <v>2417</v>
      </c>
      <c r="AC590" s="133" t="s">
        <v>2417</v>
      </c>
      <c r="AD590" s="133" t="s">
        <v>2417</v>
      </c>
      <c r="AE590" s="59"/>
    </row>
    <row r="591" spans="1:31" ht="20.399999999999999" outlineLevel="2">
      <c r="A591" s="68" t="s">
        <v>1582</v>
      </c>
      <c r="B591" s="83" t="s">
        <v>1583</v>
      </c>
      <c r="C591" s="387" t="s">
        <v>1584</v>
      </c>
      <c r="D591" s="351"/>
      <c r="E591" s="133" t="s">
        <v>2455</v>
      </c>
      <c r="F591" s="133" t="s">
        <v>2417</v>
      </c>
      <c r="G591" s="133" t="s">
        <v>2417</v>
      </c>
      <c r="H591" s="133" t="s">
        <v>2417</v>
      </c>
      <c r="I591" s="134" t="s">
        <v>2418</v>
      </c>
      <c r="J591" s="133" t="s">
        <v>2417</v>
      </c>
      <c r="K591" s="133" t="s">
        <v>2417</v>
      </c>
      <c r="L591" s="133" t="s">
        <v>2417</v>
      </c>
      <c r="M591" s="133" t="s">
        <v>2417</v>
      </c>
      <c r="N591" s="133" t="s">
        <v>2417</v>
      </c>
      <c r="O591" s="133" t="s">
        <v>2417</v>
      </c>
      <c r="P591" s="133" t="s">
        <v>2417</v>
      </c>
      <c r="Q591" s="133" t="s">
        <v>2417</v>
      </c>
      <c r="R591" s="133" t="s">
        <v>2417</v>
      </c>
      <c r="S591" s="133" t="s">
        <v>2417</v>
      </c>
      <c r="T591" s="133" t="s">
        <v>2417</v>
      </c>
      <c r="U591" s="133" t="s">
        <v>2417</v>
      </c>
      <c r="V591" s="133" t="s">
        <v>2417</v>
      </c>
      <c r="W591" s="133" t="s">
        <v>2417</v>
      </c>
      <c r="X591" s="59" t="s">
        <v>2596</v>
      </c>
      <c r="Y591" s="133" t="s">
        <v>2417</v>
      </c>
      <c r="Z591" s="133" t="s">
        <v>2417</v>
      </c>
      <c r="AA591" s="133" t="s">
        <v>2417</v>
      </c>
      <c r="AB591" s="133" t="s">
        <v>2417</v>
      </c>
      <c r="AC591" s="133" t="s">
        <v>2417</v>
      </c>
      <c r="AD591" s="133" t="s">
        <v>2417</v>
      </c>
      <c r="AE591" s="57"/>
    </row>
    <row r="592" spans="1:31" ht="13.2" outlineLevel="2">
      <c r="A592" s="68" t="s">
        <v>1585</v>
      </c>
      <c r="B592" s="79" t="s">
        <v>1586</v>
      </c>
      <c r="C592" s="387" t="s">
        <v>1587</v>
      </c>
      <c r="D592" s="351"/>
      <c r="E592" s="133" t="s">
        <v>2455</v>
      </c>
      <c r="F592" s="133" t="s">
        <v>2417</v>
      </c>
      <c r="G592" s="133" t="s">
        <v>2417</v>
      </c>
      <c r="H592" s="133" t="s">
        <v>2417</v>
      </c>
      <c r="I592" s="134" t="s">
        <v>2418</v>
      </c>
      <c r="J592" s="133" t="s">
        <v>2417</v>
      </c>
      <c r="K592" s="133" t="s">
        <v>2417</v>
      </c>
      <c r="L592" s="133" t="s">
        <v>2417</v>
      </c>
      <c r="M592" s="133" t="s">
        <v>2417</v>
      </c>
      <c r="N592" s="133" t="s">
        <v>2417</v>
      </c>
      <c r="O592" s="133" t="s">
        <v>2417</v>
      </c>
      <c r="P592" s="133" t="s">
        <v>2417</v>
      </c>
      <c r="Q592" s="133" t="s">
        <v>2417</v>
      </c>
      <c r="R592" s="133" t="s">
        <v>2417</v>
      </c>
      <c r="S592" s="133" t="s">
        <v>2417</v>
      </c>
      <c r="T592" s="133" t="s">
        <v>2417</v>
      </c>
      <c r="U592" s="133" t="s">
        <v>2417</v>
      </c>
      <c r="V592" s="133" t="s">
        <v>2417</v>
      </c>
      <c r="W592" s="133" t="s">
        <v>2417</v>
      </c>
      <c r="X592" s="133" t="s">
        <v>2417</v>
      </c>
      <c r="Y592" s="133" t="s">
        <v>2417</v>
      </c>
      <c r="Z592" s="133" t="s">
        <v>2417</v>
      </c>
      <c r="AA592" s="133" t="s">
        <v>2417</v>
      </c>
      <c r="AB592" s="133" t="s">
        <v>2417</v>
      </c>
      <c r="AC592" s="133" t="s">
        <v>2417</v>
      </c>
      <c r="AD592" s="133" t="s">
        <v>2417</v>
      </c>
      <c r="AE592" s="59"/>
    </row>
    <row r="593" spans="1:31" ht="13.2" outlineLevel="2">
      <c r="A593" s="68" t="s">
        <v>1588</v>
      </c>
      <c r="B593" s="90" t="s">
        <v>1589</v>
      </c>
      <c r="C593" s="387" t="s">
        <v>2641</v>
      </c>
      <c r="D593" s="351"/>
      <c r="E593" s="133" t="s">
        <v>2455</v>
      </c>
      <c r="F593" s="133" t="s">
        <v>2417</v>
      </c>
      <c r="G593" s="133" t="s">
        <v>2417</v>
      </c>
      <c r="H593" s="133" t="s">
        <v>2417</v>
      </c>
      <c r="I593" s="134" t="s">
        <v>2418</v>
      </c>
      <c r="J593" s="133" t="s">
        <v>2417</v>
      </c>
      <c r="K593" s="133" t="s">
        <v>2417</v>
      </c>
      <c r="L593" s="133" t="s">
        <v>2417</v>
      </c>
      <c r="M593" s="133" t="s">
        <v>2417</v>
      </c>
      <c r="N593" s="133" t="s">
        <v>2417</v>
      </c>
      <c r="O593" s="133" t="s">
        <v>2417</v>
      </c>
      <c r="P593" s="133" t="s">
        <v>2417</v>
      </c>
      <c r="Q593" s="133" t="s">
        <v>2417</v>
      </c>
      <c r="R593" s="133" t="s">
        <v>2417</v>
      </c>
      <c r="S593" s="133" t="s">
        <v>2417</v>
      </c>
      <c r="T593" s="133" t="s">
        <v>2417</v>
      </c>
      <c r="U593" s="133" t="s">
        <v>2417</v>
      </c>
      <c r="V593" s="133" t="s">
        <v>2417</v>
      </c>
      <c r="W593" s="133" t="s">
        <v>2417</v>
      </c>
      <c r="X593" s="133" t="s">
        <v>2417</v>
      </c>
      <c r="Y593" s="133" t="s">
        <v>2417</v>
      </c>
      <c r="Z593" s="133" t="s">
        <v>2417</v>
      </c>
      <c r="AA593" s="133" t="s">
        <v>2417</v>
      </c>
      <c r="AB593" s="133" t="s">
        <v>2417</v>
      </c>
      <c r="AC593" s="133" t="s">
        <v>2417</v>
      </c>
      <c r="AD593" s="133" t="s">
        <v>2417</v>
      </c>
      <c r="AE593" s="59"/>
    </row>
    <row r="594" spans="1:31" ht="13.2" outlineLevel="2">
      <c r="A594" s="68" t="s">
        <v>1591</v>
      </c>
      <c r="B594" s="91" t="s">
        <v>1592</v>
      </c>
      <c r="C594" s="396" t="s">
        <v>2642</v>
      </c>
      <c r="D594" s="351"/>
      <c r="E594" s="133" t="s">
        <v>2455</v>
      </c>
      <c r="F594" s="133" t="s">
        <v>2417</v>
      </c>
      <c r="G594" s="133" t="s">
        <v>2417</v>
      </c>
      <c r="H594" s="133" t="s">
        <v>2417</v>
      </c>
      <c r="I594" s="134" t="s">
        <v>2418</v>
      </c>
      <c r="J594" s="133" t="s">
        <v>2417</v>
      </c>
      <c r="K594" s="133" t="s">
        <v>2417</v>
      </c>
      <c r="L594" s="133" t="s">
        <v>2417</v>
      </c>
      <c r="M594" s="133" t="s">
        <v>2417</v>
      </c>
      <c r="N594" s="133" t="s">
        <v>2417</v>
      </c>
      <c r="O594" s="133" t="s">
        <v>2417</v>
      </c>
      <c r="P594" s="133" t="s">
        <v>2417</v>
      </c>
      <c r="Q594" s="133" t="s">
        <v>2417</v>
      </c>
      <c r="R594" s="133" t="s">
        <v>2417</v>
      </c>
      <c r="S594" s="133" t="s">
        <v>2417</v>
      </c>
      <c r="T594" s="133" t="s">
        <v>2417</v>
      </c>
      <c r="U594" s="133" t="s">
        <v>2417</v>
      </c>
      <c r="V594" s="167" t="s">
        <v>2596</v>
      </c>
      <c r="W594" s="133" t="s">
        <v>2417</v>
      </c>
      <c r="X594" s="133" t="s">
        <v>2417</v>
      </c>
      <c r="Y594" s="133" t="s">
        <v>2417</v>
      </c>
      <c r="Z594" s="133" t="s">
        <v>2417</v>
      </c>
      <c r="AA594" s="133" t="s">
        <v>2417</v>
      </c>
      <c r="AB594" s="133" t="s">
        <v>2417</v>
      </c>
      <c r="AC594" s="133" t="s">
        <v>2417</v>
      </c>
      <c r="AD594" s="133" t="s">
        <v>2417</v>
      </c>
      <c r="AE594" s="167"/>
    </row>
    <row r="595" spans="1:31" ht="13.2" hidden="1" outlineLevel="2">
      <c r="A595" s="68" t="s">
        <v>2643</v>
      </c>
      <c r="B595" s="91" t="s">
        <v>2644</v>
      </c>
      <c r="C595" s="387" t="s">
        <v>2645</v>
      </c>
      <c r="D595" s="351"/>
      <c r="E595" s="133" t="s">
        <v>2455</v>
      </c>
      <c r="F595" s="133" t="s">
        <v>2417</v>
      </c>
      <c r="G595" s="133" t="s">
        <v>2417</v>
      </c>
      <c r="H595" s="133" t="s">
        <v>2417</v>
      </c>
      <c r="I595" s="134" t="s">
        <v>2418</v>
      </c>
      <c r="J595" s="167" t="s">
        <v>2500</v>
      </c>
      <c r="K595" s="133" t="s">
        <v>2417</v>
      </c>
      <c r="L595" s="133" t="s">
        <v>2417</v>
      </c>
      <c r="M595" s="133" t="s">
        <v>2417</v>
      </c>
      <c r="N595" s="133" t="s">
        <v>2417</v>
      </c>
      <c r="O595" s="133" t="s">
        <v>2417</v>
      </c>
      <c r="P595" s="133" t="s">
        <v>2417</v>
      </c>
      <c r="Q595" s="133" t="s">
        <v>2417</v>
      </c>
      <c r="R595" s="133" t="s">
        <v>2417</v>
      </c>
      <c r="S595" s="133" t="s">
        <v>2417</v>
      </c>
      <c r="T595" s="133" t="s">
        <v>2417</v>
      </c>
      <c r="U595" s="133" t="s">
        <v>2417</v>
      </c>
      <c r="V595" s="135" t="s">
        <v>2595</v>
      </c>
      <c r="W595" s="133" t="s">
        <v>2417</v>
      </c>
      <c r="X595" s="133" t="s">
        <v>2417</v>
      </c>
      <c r="Y595" s="133" t="s">
        <v>2417</v>
      </c>
      <c r="Z595" s="133" t="s">
        <v>2417</v>
      </c>
      <c r="AA595" s="133" t="s">
        <v>2417</v>
      </c>
      <c r="AB595" s="133" t="s">
        <v>2417</v>
      </c>
      <c r="AC595" s="133" t="s">
        <v>2417</v>
      </c>
      <c r="AD595" s="133" t="s">
        <v>2417</v>
      </c>
      <c r="AE595" s="167"/>
    </row>
    <row r="596" spans="1:31" ht="13.2" outlineLevel="1">
      <c r="A596" s="384" t="s">
        <v>1594</v>
      </c>
      <c r="B596" s="350"/>
      <c r="C596" s="350"/>
      <c r="D596" s="351"/>
      <c r="E596" s="133" t="s">
        <v>2646</v>
      </c>
      <c r="F596" s="133" t="s">
        <v>2417</v>
      </c>
      <c r="G596" s="133" t="s">
        <v>2417</v>
      </c>
      <c r="H596" s="133" t="s">
        <v>2417</v>
      </c>
      <c r="I596" s="134" t="s">
        <v>2418</v>
      </c>
      <c r="J596" s="133" t="s">
        <v>2417</v>
      </c>
      <c r="K596" s="133" t="s">
        <v>2417</v>
      </c>
      <c r="L596" s="133" t="s">
        <v>2417</v>
      </c>
      <c r="M596" s="133" t="s">
        <v>2417</v>
      </c>
      <c r="N596" s="133" t="s">
        <v>2417</v>
      </c>
      <c r="O596" s="133" t="s">
        <v>2417</v>
      </c>
      <c r="P596" s="133" t="s">
        <v>2417</v>
      </c>
      <c r="Q596" s="133" t="s">
        <v>2417</v>
      </c>
      <c r="R596" s="133" t="s">
        <v>2417</v>
      </c>
      <c r="S596" s="133" t="s">
        <v>2417</v>
      </c>
      <c r="T596" s="133" t="s">
        <v>2417</v>
      </c>
      <c r="U596" s="133" t="s">
        <v>2417</v>
      </c>
      <c r="V596" s="133" t="s">
        <v>2417</v>
      </c>
      <c r="W596" s="133" t="s">
        <v>2417</v>
      </c>
      <c r="X596" s="133" t="s">
        <v>2417</v>
      </c>
      <c r="Y596" s="133" t="s">
        <v>2417</v>
      </c>
      <c r="Z596" s="133" t="s">
        <v>2417</v>
      </c>
      <c r="AA596" s="133" t="s">
        <v>2417</v>
      </c>
      <c r="AB596" s="133" t="s">
        <v>2417</v>
      </c>
      <c r="AC596" s="133" t="s">
        <v>2417</v>
      </c>
      <c r="AD596" s="133" t="s">
        <v>2417</v>
      </c>
      <c r="AE596" s="168"/>
    </row>
    <row r="597" spans="1:31" ht="13.2" outlineLevel="2">
      <c r="A597" s="68" t="s">
        <v>1595</v>
      </c>
      <c r="B597" s="64"/>
      <c r="C597" s="360" t="s">
        <v>2647</v>
      </c>
      <c r="D597" s="351"/>
      <c r="E597" s="133" t="s">
        <v>2646</v>
      </c>
      <c r="F597" s="133" t="s">
        <v>2417</v>
      </c>
      <c r="G597" s="133" t="s">
        <v>2417</v>
      </c>
      <c r="H597" s="133" t="s">
        <v>2417</v>
      </c>
      <c r="I597" s="134" t="s">
        <v>2418</v>
      </c>
      <c r="J597" s="133" t="s">
        <v>2417</v>
      </c>
      <c r="K597" s="133" t="s">
        <v>2417</v>
      </c>
      <c r="L597" s="133" t="s">
        <v>2417</v>
      </c>
      <c r="M597" s="133" t="s">
        <v>2417</v>
      </c>
      <c r="N597" s="133" t="s">
        <v>2417</v>
      </c>
      <c r="O597" s="133" t="s">
        <v>2417</v>
      </c>
      <c r="P597" s="133" t="s">
        <v>2417</v>
      </c>
      <c r="Q597" s="133" t="s">
        <v>2417</v>
      </c>
      <c r="R597" s="133" t="s">
        <v>2417</v>
      </c>
      <c r="S597" s="133" t="s">
        <v>2417</v>
      </c>
      <c r="T597" s="133" t="s">
        <v>2417</v>
      </c>
      <c r="U597" s="133" t="s">
        <v>2417</v>
      </c>
      <c r="V597" s="133" t="s">
        <v>2417</v>
      </c>
      <c r="W597" s="133" t="s">
        <v>2417</v>
      </c>
      <c r="X597" s="133" t="s">
        <v>2417</v>
      </c>
      <c r="Y597" s="133" t="s">
        <v>2417</v>
      </c>
      <c r="Z597" s="133" t="s">
        <v>2417</v>
      </c>
      <c r="AA597" s="133" t="s">
        <v>2417</v>
      </c>
      <c r="AB597" s="133" t="s">
        <v>2417</v>
      </c>
      <c r="AC597" s="133" t="s">
        <v>2417</v>
      </c>
      <c r="AD597" s="133" t="s">
        <v>2417</v>
      </c>
      <c r="AE597" s="123"/>
    </row>
    <row r="598" spans="1:31" ht="13.2" outlineLevel="2">
      <c r="A598" s="68" t="s">
        <v>1597</v>
      </c>
      <c r="B598" s="62" t="s">
        <v>1504</v>
      </c>
      <c r="C598" s="387" t="s">
        <v>1598</v>
      </c>
      <c r="D598" s="351"/>
      <c r="E598" s="133" t="s">
        <v>2646</v>
      </c>
      <c r="F598" s="133" t="s">
        <v>2417</v>
      </c>
      <c r="G598" s="133" t="s">
        <v>2417</v>
      </c>
      <c r="H598" s="133" t="s">
        <v>2417</v>
      </c>
      <c r="I598" s="134" t="s">
        <v>2418</v>
      </c>
      <c r="J598" s="133" t="s">
        <v>2417</v>
      </c>
      <c r="K598" s="133" t="s">
        <v>2417</v>
      </c>
      <c r="L598" s="133" t="s">
        <v>2417</v>
      </c>
      <c r="M598" s="133" t="s">
        <v>2417</v>
      </c>
      <c r="N598" s="133" t="s">
        <v>2417</v>
      </c>
      <c r="O598" s="133" t="s">
        <v>2417</v>
      </c>
      <c r="P598" s="133" t="s">
        <v>2417</v>
      </c>
      <c r="Q598" s="133" t="s">
        <v>2417</v>
      </c>
      <c r="R598" s="133" t="s">
        <v>2417</v>
      </c>
      <c r="S598" s="133" t="s">
        <v>2417</v>
      </c>
      <c r="T598" s="133" t="s">
        <v>2417</v>
      </c>
      <c r="U598" s="133" t="s">
        <v>2417</v>
      </c>
      <c r="V598" s="133" t="s">
        <v>2417</v>
      </c>
      <c r="W598" s="133" t="s">
        <v>2417</v>
      </c>
      <c r="X598" s="133" t="s">
        <v>2417</v>
      </c>
      <c r="Y598" s="133" t="s">
        <v>2417</v>
      </c>
      <c r="Z598" s="133" t="s">
        <v>2417</v>
      </c>
      <c r="AA598" s="133" t="s">
        <v>2417</v>
      </c>
      <c r="AB598" s="133" t="s">
        <v>2417</v>
      </c>
      <c r="AC598" s="133" t="s">
        <v>2417</v>
      </c>
      <c r="AD598" s="133" t="s">
        <v>2417</v>
      </c>
      <c r="AE598" s="59"/>
    </row>
    <row r="599" spans="1:31" ht="13.2" outlineLevel="2">
      <c r="A599" s="68" t="s">
        <v>1599</v>
      </c>
      <c r="B599" s="62" t="s">
        <v>1507</v>
      </c>
      <c r="C599" s="387" t="s">
        <v>1508</v>
      </c>
      <c r="D599" s="351"/>
      <c r="E599" s="133" t="s">
        <v>2646</v>
      </c>
      <c r="F599" s="133" t="s">
        <v>2417</v>
      </c>
      <c r="G599" s="133" t="s">
        <v>2417</v>
      </c>
      <c r="H599" s="133" t="s">
        <v>2417</v>
      </c>
      <c r="I599" s="134" t="s">
        <v>2418</v>
      </c>
      <c r="J599" s="133" t="s">
        <v>2417</v>
      </c>
      <c r="K599" s="133" t="s">
        <v>2417</v>
      </c>
      <c r="L599" s="133" t="s">
        <v>2417</v>
      </c>
      <c r="M599" s="133" t="s">
        <v>2417</v>
      </c>
      <c r="N599" s="133" t="s">
        <v>2417</v>
      </c>
      <c r="O599" s="133" t="s">
        <v>2417</v>
      </c>
      <c r="P599" s="133" t="s">
        <v>2417</v>
      </c>
      <c r="Q599" s="133" t="s">
        <v>2417</v>
      </c>
      <c r="R599" s="133" t="s">
        <v>2417</v>
      </c>
      <c r="S599" s="133" t="s">
        <v>2417</v>
      </c>
      <c r="T599" s="133" t="s">
        <v>2417</v>
      </c>
      <c r="U599" s="133" t="s">
        <v>2417</v>
      </c>
      <c r="V599" s="133" t="s">
        <v>2417</v>
      </c>
      <c r="W599" s="133" t="s">
        <v>2417</v>
      </c>
      <c r="X599" s="133" t="s">
        <v>2417</v>
      </c>
      <c r="Y599" s="133" t="s">
        <v>2417</v>
      </c>
      <c r="Z599" s="133" t="s">
        <v>2417</v>
      </c>
      <c r="AA599" s="133" t="s">
        <v>2417</v>
      </c>
      <c r="AB599" s="133" t="s">
        <v>2417</v>
      </c>
      <c r="AC599" s="133" t="s">
        <v>2417</v>
      </c>
      <c r="AD599" s="133" t="s">
        <v>2417</v>
      </c>
      <c r="AE599" s="59"/>
    </row>
    <row r="600" spans="1:31" ht="20.399999999999999" outlineLevel="2">
      <c r="A600" s="68" t="s">
        <v>1600</v>
      </c>
      <c r="B600" s="63" t="s">
        <v>1510</v>
      </c>
      <c r="C600" s="387" t="s">
        <v>1511</v>
      </c>
      <c r="D600" s="351"/>
      <c r="E600" s="133" t="s">
        <v>2646</v>
      </c>
      <c r="F600" s="133" t="s">
        <v>2417</v>
      </c>
      <c r="G600" s="133" t="s">
        <v>2417</v>
      </c>
      <c r="H600" s="133" t="s">
        <v>2417</v>
      </c>
      <c r="I600" s="134" t="s">
        <v>2418</v>
      </c>
      <c r="J600" s="133" t="s">
        <v>2417</v>
      </c>
      <c r="K600" s="133" t="s">
        <v>2417</v>
      </c>
      <c r="L600" s="133" t="s">
        <v>2417</v>
      </c>
      <c r="M600" s="133" t="s">
        <v>2417</v>
      </c>
      <c r="N600" s="133" t="s">
        <v>2417</v>
      </c>
      <c r="O600" s="133" t="s">
        <v>2417</v>
      </c>
      <c r="P600" s="133" t="s">
        <v>2417</v>
      </c>
      <c r="Q600" s="133" t="s">
        <v>2417</v>
      </c>
      <c r="R600" s="133" t="s">
        <v>2417</v>
      </c>
      <c r="S600" s="133" t="s">
        <v>2417</v>
      </c>
      <c r="T600" s="133" t="s">
        <v>2417</v>
      </c>
      <c r="U600" s="133" t="s">
        <v>2417</v>
      </c>
      <c r="V600" s="133" t="s">
        <v>2417</v>
      </c>
      <c r="W600" s="133" t="s">
        <v>2417</v>
      </c>
      <c r="X600" s="133" t="s">
        <v>2417</v>
      </c>
      <c r="Y600" s="133" t="s">
        <v>2417</v>
      </c>
      <c r="Z600" s="133" t="s">
        <v>2417</v>
      </c>
      <c r="AA600" s="133" t="s">
        <v>2417</v>
      </c>
      <c r="AB600" s="133" t="s">
        <v>2417</v>
      </c>
      <c r="AC600" s="133" t="s">
        <v>2417</v>
      </c>
      <c r="AD600" s="133" t="s">
        <v>2417</v>
      </c>
      <c r="AE600" s="57"/>
    </row>
    <row r="601" spans="1:31" ht="20.399999999999999" outlineLevel="2">
      <c r="A601" s="68" t="s">
        <v>1601</v>
      </c>
      <c r="B601" s="63" t="s">
        <v>2648</v>
      </c>
      <c r="C601" s="360" t="s">
        <v>1514</v>
      </c>
      <c r="D601" s="351"/>
      <c r="E601" s="133" t="s">
        <v>2646</v>
      </c>
      <c r="F601" s="133" t="s">
        <v>2417</v>
      </c>
      <c r="G601" s="133" t="s">
        <v>2417</v>
      </c>
      <c r="H601" s="133" t="s">
        <v>2417</v>
      </c>
      <c r="I601" s="134" t="s">
        <v>2418</v>
      </c>
      <c r="J601" s="133" t="s">
        <v>2417</v>
      </c>
      <c r="K601" s="133" t="s">
        <v>2417</v>
      </c>
      <c r="L601" s="133" t="s">
        <v>2417</v>
      </c>
      <c r="M601" s="133" t="s">
        <v>2417</v>
      </c>
      <c r="N601" s="133" t="s">
        <v>2417</v>
      </c>
      <c r="O601" s="133" t="s">
        <v>2417</v>
      </c>
      <c r="P601" s="133" t="s">
        <v>2417</v>
      </c>
      <c r="Q601" s="133" t="s">
        <v>2417</v>
      </c>
      <c r="R601" s="133" t="s">
        <v>2417</v>
      </c>
      <c r="S601" s="123" t="s">
        <v>2619</v>
      </c>
      <c r="T601" s="133" t="s">
        <v>2417</v>
      </c>
      <c r="U601" s="133" t="s">
        <v>2417</v>
      </c>
      <c r="V601" s="133" t="s">
        <v>2417</v>
      </c>
      <c r="W601" s="133" t="s">
        <v>2417</v>
      </c>
      <c r="X601" s="133" t="s">
        <v>2417</v>
      </c>
      <c r="Y601" s="133" t="s">
        <v>2417</v>
      </c>
      <c r="Z601" s="133" t="s">
        <v>2417</v>
      </c>
      <c r="AA601" s="133" t="s">
        <v>2417</v>
      </c>
      <c r="AB601" s="133" t="s">
        <v>2417</v>
      </c>
      <c r="AC601" s="133" t="s">
        <v>2417</v>
      </c>
      <c r="AD601" s="133" t="s">
        <v>2417</v>
      </c>
      <c r="AE601" s="123"/>
    </row>
    <row r="602" spans="1:31" ht="20.399999999999999" outlineLevel="2">
      <c r="A602" s="68" t="s">
        <v>1603</v>
      </c>
      <c r="B602" s="63" t="s">
        <v>1516</v>
      </c>
      <c r="C602" s="387" t="s">
        <v>1517</v>
      </c>
      <c r="D602" s="351"/>
      <c r="E602" s="133" t="s">
        <v>2646</v>
      </c>
      <c r="F602" s="133" t="s">
        <v>2417</v>
      </c>
      <c r="G602" s="133" t="s">
        <v>2417</v>
      </c>
      <c r="H602" s="133" t="s">
        <v>2417</v>
      </c>
      <c r="I602" s="134" t="s">
        <v>2418</v>
      </c>
      <c r="J602" s="133" t="s">
        <v>2417</v>
      </c>
      <c r="K602" s="133" t="s">
        <v>2417</v>
      </c>
      <c r="L602" s="133" t="s">
        <v>2417</v>
      </c>
      <c r="M602" s="133" t="s">
        <v>2417</v>
      </c>
      <c r="N602" s="133" t="s">
        <v>2417</v>
      </c>
      <c r="O602" s="133" t="s">
        <v>2417</v>
      </c>
      <c r="P602" s="133" t="s">
        <v>2417</v>
      </c>
      <c r="Q602" s="133" t="s">
        <v>2417</v>
      </c>
      <c r="R602" s="133" t="s">
        <v>2417</v>
      </c>
      <c r="S602" s="133" t="s">
        <v>2417</v>
      </c>
      <c r="T602" s="133" t="s">
        <v>2417</v>
      </c>
      <c r="U602" s="133" t="s">
        <v>2417</v>
      </c>
      <c r="V602" s="133" t="s">
        <v>2417</v>
      </c>
      <c r="W602" s="133" t="s">
        <v>2417</v>
      </c>
      <c r="X602" s="133" t="s">
        <v>2417</v>
      </c>
      <c r="Y602" s="133" t="s">
        <v>2417</v>
      </c>
      <c r="Z602" s="133" t="s">
        <v>2417</v>
      </c>
      <c r="AA602" s="133" t="s">
        <v>2417</v>
      </c>
      <c r="AB602" s="133" t="s">
        <v>2417</v>
      </c>
      <c r="AC602" s="133" t="s">
        <v>2417</v>
      </c>
      <c r="AD602" s="133" t="s">
        <v>2417</v>
      </c>
      <c r="AE602" s="59"/>
    </row>
    <row r="603" spans="1:31" ht="20.399999999999999" outlineLevel="2">
      <c r="A603" s="68" t="s">
        <v>1604</v>
      </c>
      <c r="B603" s="63" t="s">
        <v>1605</v>
      </c>
      <c r="C603" s="387" t="s">
        <v>1520</v>
      </c>
      <c r="D603" s="351"/>
      <c r="E603" s="133" t="s">
        <v>2646</v>
      </c>
      <c r="F603" s="133" t="s">
        <v>2417</v>
      </c>
      <c r="G603" s="133" t="s">
        <v>2417</v>
      </c>
      <c r="H603" s="133" t="s">
        <v>2417</v>
      </c>
      <c r="I603" s="134" t="s">
        <v>2418</v>
      </c>
      <c r="J603" s="133" t="s">
        <v>2417</v>
      </c>
      <c r="K603" s="133" t="s">
        <v>2417</v>
      </c>
      <c r="L603" s="133" t="s">
        <v>2417</v>
      </c>
      <c r="M603" s="133" t="s">
        <v>2417</v>
      </c>
      <c r="N603" s="133" t="s">
        <v>2417</v>
      </c>
      <c r="O603" s="133" t="s">
        <v>2417</v>
      </c>
      <c r="P603" s="133" t="s">
        <v>2417</v>
      </c>
      <c r="Q603" s="133" t="s">
        <v>2417</v>
      </c>
      <c r="R603" s="133" t="s">
        <v>2417</v>
      </c>
      <c r="S603" s="133" t="s">
        <v>2417</v>
      </c>
      <c r="T603" s="133" t="s">
        <v>2417</v>
      </c>
      <c r="U603" s="133" t="s">
        <v>2417</v>
      </c>
      <c r="V603" s="133" t="s">
        <v>2417</v>
      </c>
      <c r="W603" s="133" t="s">
        <v>2417</v>
      </c>
      <c r="X603" s="133" t="s">
        <v>2417</v>
      </c>
      <c r="Y603" s="133" t="s">
        <v>2417</v>
      </c>
      <c r="Z603" s="133" t="s">
        <v>2417</v>
      </c>
      <c r="AA603" s="133" t="s">
        <v>2417</v>
      </c>
      <c r="AB603" s="133" t="s">
        <v>2417</v>
      </c>
      <c r="AC603" s="133" t="s">
        <v>2417</v>
      </c>
      <c r="AD603" s="133" t="s">
        <v>2417</v>
      </c>
      <c r="AE603" s="59"/>
    </row>
    <row r="604" spans="1:31" ht="20.399999999999999" outlineLevel="2">
      <c r="A604" s="68" t="s">
        <v>1606</v>
      </c>
      <c r="B604" s="64" t="s">
        <v>1522</v>
      </c>
      <c r="C604" s="387" t="s">
        <v>1523</v>
      </c>
      <c r="D604" s="351"/>
      <c r="E604" s="133" t="s">
        <v>2646</v>
      </c>
      <c r="F604" s="133" t="s">
        <v>2417</v>
      </c>
      <c r="G604" s="133" t="s">
        <v>2417</v>
      </c>
      <c r="H604" s="133" t="s">
        <v>2417</v>
      </c>
      <c r="I604" s="134" t="s">
        <v>2418</v>
      </c>
      <c r="J604" s="133" t="s">
        <v>2417</v>
      </c>
      <c r="K604" s="133" t="s">
        <v>2417</v>
      </c>
      <c r="L604" s="133" t="s">
        <v>2417</v>
      </c>
      <c r="M604" s="133" t="s">
        <v>2417</v>
      </c>
      <c r="N604" s="133" t="s">
        <v>2417</v>
      </c>
      <c r="O604" s="133" t="s">
        <v>2417</v>
      </c>
      <c r="P604" s="133" t="s">
        <v>2417</v>
      </c>
      <c r="Q604" s="133" t="s">
        <v>2417</v>
      </c>
      <c r="R604" s="133" t="s">
        <v>2417</v>
      </c>
      <c r="S604" s="133" t="s">
        <v>2417</v>
      </c>
      <c r="T604" s="133" t="s">
        <v>2417</v>
      </c>
      <c r="U604" s="133" t="s">
        <v>2417</v>
      </c>
      <c r="V604" s="133" t="s">
        <v>2417</v>
      </c>
      <c r="W604" s="133" t="s">
        <v>2417</v>
      </c>
      <c r="X604" s="133" t="s">
        <v>2417</v>
      </c>
      <c r="Y604" s="133" t="s">
        <v>2417</v>
      </c>
      <c r="Z604" s="133" t="s">
        <v>2417</v>
      </c>
      <c r="AA604" s="133" t="s">
        <v>2417</v>
      </c>
      <c r="AB604" s="133" t="s">
        <v>2417</v>
      </c>
      <c r="AC604" s="133" t="s">
        <v>2417</v>
      </c>
      <c r="AD604" s="133" t="s">
        <v>2417</v>
      </c>
      <c r="AE604" s="59"/>
    </row>
    <row r="605" spans="1:31" ht="20.399999999999999" outlineLevel="2">
      <c r="A605" s="68" t="s">
        <v>1607</v>
      </c>
      <c r="B605" s="62" t="s">
        <v>1525</v>
      </c>
      <c r="C605" s="387" t="s">
        <v>1526</v>
      </c>
      <c r="D605" s="351"/>
      <c r="E605" s="133" t="s">
        <v>2646</v>
      </c>
      <c r="F605" s="133" t="s">
        <v>2417</v>
      </c>
      <c r="G605" s="133" t="s">
        <v>2417</v>
      </c>
      <c r="H605" s="133" t="s">
        <v>2417</v>
      </c>
      <c r="I605" s="134" t="s">
        <v>2418</v>
      </c>
      <c r="J605" s="133" t="s">
        <v>2417</v>
      </c>
      <c r="K605" s="133" t="s">
        <v>2417</v>
      </c>
      <c r="L605" s="133" t="s">
        <v>2417</v>
      </c>
      <c r="M605" s="133" t="s">
        <v>2417</v>
      </c>
      <c r="N605" s="133" t="s">
        <v>2417</v>
      </c>
      <c r="O605" s="133" t="s">
        <v>2417</v>
      </c>
      <c r="P605" s="133" t="s">
        <v>2417</v>
      </c>
      <c r="Q605" s="133" t="s">
        <v>2417</v>
      </c>
      <c r="R605" s="133" t="s">
        <v>2417</v>
      </c>
      <c r="S605" s="133" t="s">
        <v>2417</v>
      </c>
      <c r="T605" s="133" t="s">
        <v>2417</v>
      </c>
      <c r="U605" s="133" t="s">
        <v>2417</v>
      </c>
      <c r="V605" s="133" t="s">
        <v>2417</v>
      </c>
      <c r="W605" s="133" t="s">
        <v>2417</v>
      </c>
      <c r="X605" s="133" t="s">
        <v>2417</v>
      </c>
      <c r="Y605" s="133" t="s">
        <v>2417</v>
      </c>
      <c r="Z605" s="133" t="s">
        <v>2417</v>
      </c>
      <c r="AA605" s="133" t="s">
        <v>2417</v>
      </c>
      <c r="AB605" s="133" t="s">
        <v>2417</v>
      </c>
      <c r="AC605" s="133" t="s">
        <v>2417</v>
      </c>
      <c r="AD605" s="133" t="s">
        <v>2417</v>
      </c>
      <c r="AE605" s="59"/>
    </row>
    <row r="606" spans="1:31" ht="20.399999999999999" outlineLevel="2">
      <c r="A606" s="68" t="s">
        <v>1608</v>
      </c>
      <c r="B606" s="63" t="s">
        <v>1528</v>
      </c>
      <c r="C606" s="387" t="s">
        <v>1529</v>
      </c>
      <c r="D606" s="351"/>
      <c r="E606" s="133" t="s">
        <v>2646</v>
      </c>
      <c r="F606" s="133" t="s">
        <v>2417</v>
      </c>
      <c r="G606" s="133" t="s">
        <v>2417</v>
      </c>
      <c r="H606" s="133" t="s">
        <v>2417</v>
      </c>
      <c r="I606" s="134" t="s">
        <v>2418</v>
      </c>
      <c r="J606" s="133" t="s">
        <v>2417</v>
      </c>
      <c r="K606" s="133" t="s">
        <v>2417</v>
      </c>
      <c r="L606" s="133" t="s">
        <v>2417</v>
      </c>
      <c r="M606" s="133" t="s">
        <v>2417</v>
      </c>
      <c r="N606" s="133" t="s">
        <v>2417</v>
      </c>
      <c r="O606" s="133" t="s">
        <v>2417</v>
      </c>
      <c r="P606" s="133" t="s">
        <v>2417</v>
      </c>
      <c r="Q606" s="133" t="s">
        <v>2417</v>
      </c>
      <c r="R606" s="133" t="s">
        <v>2417</v>
      </c>
      <c r="S606" s="133" t="s">
        <v>2417</v>
      </c>
      <c r="T606" s="133" t="s">
        <v>2417</v>
      </c>
      <c r="U606" s="133" t="s">
        <v>2417</v>
      </c>
      <c r="V606" s="133" t="s">
        <v>2417</v>
      </c>
      <c r="W606" s="133" t="s">
        <v>2417</v>
      </c>
      <c r="X606" s="133" t="s">
        <v>2417</v>
      </c>
      <c r="Y606" s="133" t="s">
        <v>2417</v>
      </c>
      <c r="Z606" s="133" t="s">
        <v>2417</v>
      </c>
      <c r="AA606" s="133" t="s">
        <v>2417</v>
      </c>
      <c r="AB606" s="133" t="s">
        <v>2417</v>
      </c>
      <c r="AC606" s="133" t="s">
        <v>2417</v>
      </c>
      <c r="AD606" s="133" t="s">
        <v>2417</v>
      </c>
      <c r="AE606" s="59"/>
    </row>
    <row r="607" spans="1:31" ht="20.399999999999999" outlineLevel="2">
      <c r="A607" s="68" t="s">
        <v>1609</v>
      </c>
      <c r="B607" s="63" t="s">
        <v>1531</v>
      </c>
      <c r="C607" s="387" t="s">
        <v>1610</v>
      </c>
      <c r="D607" s="351"/>
      <c r="E607" s="133" t="s">
        <v>2646</v>
      </c>
      <c r="F607" s="133" t="s">
        <v>2417</v>
      </c>
      <c r="G607" s="133" t="s">
        <v>2417</v>
      </c>
      <c r="H607" s="133" t="s">
        <v>2417</v>
      </c>
      <c r="I607" s="134" t="s">
        <v>2418</v>
      </c>
      <c r="J607" s="133" t="s">
        <v>2417</v>
      </c>
      <c r="K607" s="133" t="s">
        <v>2417</v>
      </c>
      <c r="L607" s="133" t="s">
        <v>2417</v>
      </c>
      <c r="M607" s="133" t="s">
        <v>2417</v>
      </c>
      <c r="N607" s="133" t="s">
        <v>2417</v>
      </c>
      <c r="O607" s="133" t="s">
        <v>2417</v>
      </c>
      <c r="P607" s="133" t="s">
        <v>2417</v>
      </c>
      <c r="Q607" s="133" t="s">
        <v>2417</v>
      </c>
      <c r="R607" s="133" t="s">
        <v>2417</v>
      </c>
      <c r="S607" s="133" t="s">
        <v>2417</v>
      </c>
      <c r="T607" s="133" t="s">
        <v>2417</v>
      </c>
      <c r="U607" s="133" t="s">
        <v>2417</v>
      </c>
      <c r="V607" s="133" t="s">
        <v>2417</v>
      </c>
      <c r="W607" s="133" t="s">
        <v>2417</v>
      </c>
      <c r="X607" s="133" t="s">
        <v>2417</v>
      </c>
      <c r="Y607" s="133" t="s">
        <v>2417</v>
      </c>
      <c r="Z607" s="133" t="s">
        <v>2417</v>
      </c>
      <c r="AA607" s="133" t="s">
        <v>2417</v>
      </c>
      <c r="AB607" s="133" t="s">
        <v>2417</v>
      </c>
      <c r="AC607" s="133" t="s">
        <v>2417</v>
      </c>
      <c r="AD607" s="133" t="s">
        <v>2417</v>
      </c>
      <c r="AE607" s="59"/>
    </row>
    <row r="608" spans="1:31" ht="13.2" outlineLevel="2">
      <c r="A608" s="68" t="s">
        <v>1611</v>
      </c>
      <c r="B608" s="63" t="s">
        <v>1534</v>
      </c>
      <c r="C608" s="387" t="s">
        <v>1535</v>
      </c>
      <c r="D608" s="351"/>
      <c r="E608" s="133" t="s">
        <v>2646</v>
      </c>
      <c r="F608" s="133" t="s">
        <v>2417</v>
      </c>
      <c r="G608" s="133" t="s">
        <v>2417</v>
      </c>
      <c r="H608" s="133" t="s">
        <v>2417</v>
      </c>
      <c r="I608" s="134" t="s">
        <v>2418</v>
      </c>
      <c r="J608" s="133" t="s">
        <v>2417</v>
      </c>
      <c r="K608" s="133" t="s">
        <v>2417</v>
      </c>
      <c r="L608" s="133" t="s">
        <v>2417</v>
      </c>
      <c r="M608" s="133" t="s">
        <v>2417</v>
      </c>
      <c r="N608" s="133" t="s">
        <v>2417</v>
      </c>
      <c r="O608" s="133" t="s">
        <v>2417</v>
      </c>
      <c r="P608" s="133" t="s">
        <v>2417</v>
      </c>
      <c r="Q608" s="133" t="s">
        <v>2417</v>
      </c>
      <c r="R608" s="133" t="s">
        <v>2417</v>
      </c>
      <c r="S608" s="133" t="s">
        <v>2417</v>
      </c>
      <c r="T608" s="133" t="s">
        <v>2417</v>
      </c>
      <c r="U608" s="133" t="s">
        <v>2417</v>
      </c>
      <c r="V608" s="133" t="s">
        <v>2417</v>
      </c>
      <c r="W608" s="133" t="s">
        <v>2417</v>
      </c>
      <c r="X608" s="133" t="s">
        <v>2417</v>
      </c>
      <c r="Y608" s="133" t="s">
        <v>2417</v>
      </c>
      <c r="Z608" s="133" t="s">
        <v>2417</v>
      </c>
      <c r="AA608" s="133" t="s">
        <v>2417</v>
      </c>
      <c r="AB608" s="133" t="s">
        <v>2417</v>
      </c>
      <c r="AC608" s="133" t="s">
        <v>2417</v>
      </c>
      <c r="AD608" s="133" t="s">
        <v>2417</v>
      </c>
      <c r="AE608" s="59"/>
    </row>
    <row r="609" spans="1:31" ht="20.399999999999999" outlineLevel="2">
      <c r="A609" s="68" t="s">
        <v>1612</v>
      </c>
      <c r="B609" s="63" t="s">
        <v>2649</v>
      </c>
      <c r="C609" s="360" t="s">
        <v>2650</v>
      </c>
      <c r="D609" s="351"/>
      <c r="E609" s="133" t="s">
        <v>2646</v>
      </c>
      <c r="F609" s="133" t="s">
        <v>2417</v>
      </c>
      <c r="G609" s="133" t="s">
        <v>2417</v>
      </c>
      <c r="H609" s="133" t="s">
        <v>2417</v>
      </c>
      <c r="I609" s="134" t="s">
        <v>2418</v>
      </c>
      <c r="J609" s="133" t="s">
        <v>2417</v>
      </c>
      <c r="K609" s="133" t="s">
        <v>2417</v>
      </c>
      <c r="L609" s="133" t="s">
        <v>2417</v>
      </c>
      <c r="M609" s="133" t="s">
        <v>2417</v>
      </c>
      <c r="N609" s="133" t="s">
        <v>2417</v>
      </c>
      <c r="O609" s="133" t="s">
        <v>2417</v>
      </c>
      <c r="P609" s="133" t="s">
        <v>2417</v>
      </c>
      <c r="Q609" s="133" t="s">
        <v>2417</v>
      </c>
      <c r="R609" s="133" t="s">
        <v>2417</v>
      </c>
      <c r="S609" s="123" t="s">
        <v>2619</v>
      </c>
      <c r="T609" s="133" t="s">
        <v>2417</v>
      </c>
      <c r="U609" s="133" t="s">
        <v>2417</v>
      </c>
      <c r="V609" s="133" t="s">
        <v>2417</v>
      </c>
      <c r="W609" s="133" t="s">
        <v>2417</v>
      </c>
      <c r="X609" s="133" t="s">
        <v>2417</v>
      </c>
      <c r="Y609" s="133" t="s">
        <v>2417</v>
      </c>
      <c r="Z609" s="133" t="s">
        <v>2417</v>
      </c>
      <c r="AA609" s="133" t="s">
        <v>2417</v>
      </c>
      <c r="AB609" s="133" t="s">
        <v>2417</v>
      </c>
      <c r="AC609" s="133" t="s">
        <v>2417</v>
      </c>
      <c r="AD609" s="133" t="s">
        <v>2417</v>
      </c>
      <c r="AE609" s="123"/>
    </row>
    <row r="610" spans="1:31" ht="20.399999999999999" outlineLevel="2">
      <c r="A610" s="68" t="s">
        <v>1615</v>
      </c>
      <c r="B610" s="63" t="s">
        <v>2651</v>
      </c>
      <c r="C610" s="360" t="s">
        <v>2652</v>
      </c>
      <c r="D610" s="351"/>
      <c r="E610" s="133" t="s">
        <v>2646</v>
      </c>
      <c r="F610" s="133" t="s">
        <v>2417</v>
      </c>
      <c r="G610" s="133" t="s">
        <v>2417</v>
      </c>
      <c r="H610" s="133" t="s">
        <v>2417</v>
      </c>
      <c r="I610" s="134" t="s">
        <v>2418</v>
      </c>
      <c r="J610" s="133" t="s">
        <v>2417</v>
      </c>
      <c r="K610" s="133" t="s">
        <v>2417</v>
      </c>
      <c r="L610" s="133" t="s">
        <v>2417</v>
      </c>
      <c r="M610" s="133" t="s">
        <v>2417</v>
      </c>
      <c r="N610" s="133" t="s">
        <v>2417</v>
      </c>
      <c r="O610" s="133" t="s">
        <v>2417</v>
      </c>
      <c r="P610" s="133" t="s">
        <v>2417</v>
      </c>
      <c r="Q610" s="133" t="s">
        <v>2417</v>
      </c>
      <c r="R610" s="133" t="s">
        <v>2417</v>
      </c>
      <c r="S610" s="123" t="s">
        <v>2619</v>
      </c>
      <c r="T610" s="133" t="s">
        <v>2417</v>
      </c>
      <c r="U610" s="133" t="s">
        <v>2417</v>
      </c>
      <c r="V610" s="133" t="s">
        <v>2417</v>
      </c>
      <c r="W610" s="133" t="s">
        <v>2417</v>
      </c>
      <c r="X610" s="133" t="s">
        <v>2417</v>
      </c>
      <c r="Y610" s="133" t="s">
        <v>2417</v>
      </c>
      <c r="Z610" s="133" t="s">
        <v>2417</v>
      </c>
      <c r="AA610" s="133" t="s">
        <v>2417</v>
      </c>
      <c r="AB610" s="133" t="s">
        <v>2417</v>
      </c>
      <c r="AC610" s="133" t="s">
        <v>2417</v>
      </c>
      <c r="AD610" s="133" t="s">
        <v>2417</v>
      </c>
      <c r="AE610" s="123"/>
    </row>
    <row r="611" spans="1:31" ht="20.399999999999999" outlineLevel="2">
      <c r="A611" s="68" t="s">
        <v>1618</v>
      </c>
      <c r="B611" s="63" t="s">
        <v>2653</v>
      </c>
      <c r="C611" s="360" t="s">
        <v>1544</v>
      </c>
      <c r="D611" s="351"/>
      <c r="E611" s="133" t="s">
        <v>2646</v>
      </c>
      <c r="F611" s="133" t="s">
        <v>2417</v>
      </c>
      <c r="G611" s="133" t="s">
        <v>2417</v>
      </c>
      <c r="H611" s="133" t="s">
        <v>2417</v>
      </c>
      <c r="I611" s="134" t="s">
        <v>2418</v>
      </c>
      <c r="J611" s="133" t="s">
        <v>2417</v>
      </c>
      <c r="K611" s="133" t="s">
        <v>2417</v>
      </c>
      <c r="L611" s="133" t="s">
        <v>2417</v>
      </c>
      <c r="M611" s="133" t="s">
        <v>2417</v>
      </c>
      <c r="N611" s="133" t="s">
        <v>2417</v>
      </c>
      <c r="O611" s="133" t="s">
        <v>2417</v>
      </c>
      <c r="P611" s="133" t="s">
        <v>2417</v>
      </c>
      <c r="Q611" s="133" t="s">
        <v>2417</v>
      </c>
      <c r="R611" s="133" t="s">
        <v>2417</v>
      </c>
      <c r="S611" s="123" t="s">
        <v>2619</v>
      </c>
      <c r="T611" s="133" t="s">
        <v>2417</v>
      </c>
      <c r="U611" s="133" t="s">
        <v>2417</v>
      </c>
      <c r="V611" s="133" t="s">
        <v>2417</v>
      </c>
      <c r="W611" s="133" t="s">
        <v>2417</v>
      </c>
      <c r="X611" s="133" t="s">
        <v>2417</v>
      </c>
      <c r="Y611" s="133" t="s">
        <v>2417</v>
      </c>
      <c r="Z611" s="133" t="s">
        <v>2417</v>
      </c>
      <c r="AA611" s="133" t="s">
        <v>2417</v>
      </c>
      <c r="AB611" s="133" t="s">
        <v>2417</v>
      </c>
      <c r="AC611" s="133" t="s">
        <v>2417</v>
      </c>
      <c r="AD611" s="133" t="s">
        <v>2417</v>
      </c>
      <c r="AE611" s="123"/>
    </row>
    <row r="612" spans="1:31" ht="20.399999999999999" outlineLevel="2">
      <c r="A612" s="68" t="s">
        <v>1620</v>
      </c>
      <c r="B612" s="63" t="s">
        <v>2654</v>
      </c>
      <c r="C612" s="360" t="s">
        <v>1544</v>
      </c>
      <c r="D612" s="351"/>
      <c r="E612" s="133" t="s">
        <v>2646</v>
      </c>
      <c r="F612" s="133" t="s">
        <v>2417</v>
      </c>
      <c r="G612" s="133" t="s">
        <v>2417</v>
      </c>
      <c r="H612" s="133" t="s">
        <v>2417</v>
      </c>
      <c r="I612" s="134" t="s">
        <v>2418</v>
      </c>
      <c r="J612" s="133" t="s">
        <v>2417</v>
      </c>
      <c r="K612" s="133" t="s">
        <v>2417</v>
      </c>
      <c r="L612" s="133" t="s">
        <v>2417</v>
      </c>
      <c r="M612" s="133" t="s">
        <v>2417</v>
      </c>
      <c r="N612" s="133" t="s">
        <v>2417</v>
      </c>
      <c r="O612" s="133" t="s">
        <v>2417</v>
      </c>
      <c r="P612" s="133" t="s">
        <v>2417</v>
      </c>
      <c r="Q612" s="133" t="s">
        <v>2417</v>
      </c>
      <c r="R612" s="133" t="s">
        <v>2417</v>
      </c>
      <c r="S612" s="123" t="s">
        <v>2619</v>
      </c>
      <c r="T612" s="133" t="s">
        <v>2417</v>
      </c>
      <c r="U612" s="133" t="s">
        <v>2417</v>
      </c>
      <c r="V612" s="133" t="s">
        <v>2417</v>
      </c>
      <c r="W612" s="133" t="s">
        <v>2417</v>
      </c>
      <c r="X612" s="133" t="s">
        <v>2417</v>
      </c>
      <c r="Y612" s="133" t="s">
        <v>2417</v>
      </c>
      <c r="Z612" s="133" t="s">
        <v>2417</v>
      </c>
      <c r="AA612" s="133" t="s">
        <v>2417</v>
      </c>
      <c r="AB612" s="133" t="s">
        <v>2417</v>
      </c>
      <c r="AC612" s="133" t="s">
        <v>2417</v>
      </c>
      <c r="AD612" s="133" t="s">
        <v>2417</v>
      </c>
      <c r="AE612" s="123"/>
    </row>
    <row r="613" spans="1:31" ht="20.399999999999999" outlineLevel="2">
      <c r="A613" s="68" t="s">
        <v>1622</v>
      </c>
      <c r="B613" s="63" t="s">
        <v>2655</v>
      </c>
      <c r="C613" s="360" t="s">
        <v>1544</v>
      </c>
      <c r="D613" s="351"/>
      <c r="E613" s="133" t="s">
        <v>2646</v>
      </c>
      <c r="F613" s="133" t="s">
        <v>2417</v>
      </c>
      <c r="G613" s="133" t="s">
        <v>2417</v>
      </c>
      <c r="H613" s="133" t="s">
        <v>2417</v>
      </c>
      <c r="I613" s="134" t="s">
        <v>2418</v>
      </c>
      <c r="J613" s="133" t="s">
        <v>2417</v>
      </c>
      <c r="K613" s="133" t="s">
        <v>2417</v>
      </c>
      <c r="L613" s="133" t="s">
        <v>2417</v>
      </c>
      <c r="M613" s="133" t="s">
        <v>2417</v>
      </c>
      <c r="N613" s="133" t="s">
        <v>2417</v>
      </c>
      <c r="O613" s="133" t="s">
        <v>2417</v>
      </c>
      <c r="P613" s="133" t="s">
        <v>2417</v>
      </c>
      <c r="Q613" s="133" t="s">
        <v>2417</v>
      </c>
      <c r="R613" s="133" t="s">
        <v>2417</v>
      </c>
      <c r="S613" s="123" t="s">
        <v>2619</v>
      </c>
      <c r="T613" s="133" t="s">
        <v>2417</v>
      </c>
      <c r="U613" s="133" t="s">
        <v>2417</v>
      </c>
      <c r="V613" s="133" t="s">
        <v>2417</v>
      </c>
      <c r="W613" s="133" t="s">
        <v>2417</v>
      </c>
      <c r="X613" s="133" t="s">
        <v>2417</v>
      </c>
      <c r="Y613" s="133" t="s">
        <v>2417</v>
      </c>
      <c r="Z613" s="133" t="s">
        <v>2417</v>
      </c>
      <c r="AA613" s="133" t="s">
        <v>2417</v>
      </c>
      <c r="AB613" s="133" t="s">
        <v>2417</v>
      </c>
      <c r="AC613" s="133" t="s">
        <v>2417</v>
      </c>
      <c r="AD613" s="133" t="s">
        <v>2417</v>
      </c>
      <c r="AE613" s="123"/>
    </row>
    <row r="614" spans="1:31" ht="20.399999999999999" outlineLevel="2">
      <c r="A614" s="68" t="s">
        <v>1624</v>
      </c>
      <c r="B614" s="63" t="s">
        <v>2656</v>
      </c>
      <c r="C614" s="360" t="s">
        <v>2657</v>
      </c>
      <c r="D614" s="351"/>
      <c r="E614" s="133" t="s">
        <v>2646</v>
      </c>
      <c r="F614" s="133" t="s">
        <v>2417</v>
      </c>
      <c r="G614" s="133" t="s">
        <v>2417</v>
      </c>
      <c r="H614" s="133" t="s">
        <v>2417</v>
      </c>
      <c r="I614" s="134" t="s">
        <v>2418</v>
      </c>
      <c r="J614" s="133" t="s">
        <v>2417</v>
      </c>
      <c r="K614" s="133" t="s">
        <v>2417</v>
      </c>
      <c r="L614" s="133" t="s">
        <v>2417</v>
      </c>
      <c r="M614" s="133" t="s">
        <v>2417</v>
      </c>
      <c r="N614" s="133" t="s">
        <v>2417</v>
      </c>
      <c r="O614" s="133" t="s">
        <v>2417</v>
      </c>
      <c r="P614" s="133" t="s">
        <v>2417</v>
      </c>
      <c r="Q614" s="133" t="s">
        <v>2417</v>
      </c>
      <c r="R614" s="133" t="s">
        <v>2417</v>
      </c>
      <c r="S614" s="123" t="s">
        <v>2619</v>
      </c>
      <c r="T614" s="133" t="s">
        <v>2417</v>
      </c>
      <c r="U614" s="133" t="s">
        <v>2417</v>
      </c>
      <c r="V614" s="133" t="s">
        <v>2417</v>
      </c>
      <c r="W614" s="133" t="s">
        <v>2417</v>
      </c>
      <c r="X614" s="133" t="s">
        <v>2417</v>
      </c>
      <c r="Y614" s="133" t="s">
        <v>2417</v>
      </c>
      <c r="Z614" s="133" t="s">
        <v>2595</v>
      </c>
      <c r="AA614" s="133" t="s">
        <v>2417</v>
      </c>
      <c r="AB614" s="133" t="s">
        <v>2417</v>
      </c>
      <c r="AC614" s="133" t="s">
        <v>2417</v>
      </c>
      <c r="AD614" s="133" t="s">
        <v>2417</v>
      </c>
      <c r="AE614" s="123"/>
    </row>
    <row r="615" spans="1:31" ht="20.399999999999999" hidden="1" outlineLevel="2">
      <c r="A615" s="68" t="s">
        <v>1549</v>
      </c>
      <c r="B615" s="169" t="s">
        <v>2628</v>
      </c>
      <c r="C615" s="355" t="s">
        <v>2629</v>
      </c>
      <c r="D615" s="351"/>
      <c r="E615" s="133" t="s">
        <v>2646</v>
      </c>
      <c r="F615" s="133" t="s">
        <v>2417</v>
      </c>
      <c r="G615" s="133" t="s">
        <v>2417</v>
      </c>
      <c r="H615" s="133" t="s">
        <v>2417</v>
      </c>
      <c r="I615" s="133" t="s">
        <v>2417</v>
      </c>
      <c r="J615" s="133" t="s">
        <v>2417</v>
      </c>
      <c r="K615" s="133" t="s">
        <v>2417</v>
      </c>
      <c r="L615" s="133" t="s">
        <v>2417</v>
      </c>
      <c r="M615" s="133" t="s">
        <v>2417</v>
      </c>
      <c r="N615" s="133" t="s">
        <v>2417</v>
      </c>
      <c r="O615" s="133" t="s">
        <v>2417</v>
      </c>
      <c r="P615" s="133" t="s">
        <v>2417</v>
      </c>
      <c r="Q615" s="133" t="s">
        <v>2417</v>
      </c>
      <c r="R615" s="133" t="s">
        <v>2417</v>
      </c>
      <c r="S615" s="133" t="s">
        <v>2417</v>
      </c>
      <c r="T615" s="133" t="s">
        <v>2417</v>
      </c>
      <c r="U615" s="133" t="s">
        <v>2417</v>
      </c>
      <c r="V615" s="133" t="s">
        <v>2417</v>
      </c>
      <c r="W615" s="133" t="s">
        <v>2417</v>
      </c>
      <c r="X615" s="133" t="s">
        <v>2417</v>
      </c>
      <c r="Y615" s="133" t="s">
        <v>2417</v>
      </c>
      <c r="Z615" s="133" t="s">
        <v>2596</v>
      </c>
      <c r="AA615" s="133" t="s">
        <v>2417</v>
      </c>
      <c r="AB615" s="133" t="s">
        <v>2417</v>
      </c>
      <c r="AC615" s="133" t="s">
        <v>2417</v>
      </c>
      <c r="AD615" s="133" t="s">
        <v>2417</v>
      </c>
      <c r="AE615" s="123"/>
    </row>
    <row r="616" spans="1:31" ht="30.6" outlineLevel="2">
      <c r="A616" s="68" t="s">
        <v>1627</v>
      </c>
      <c r="B616" s="63" t="s">
        <v>2658</v>
      </c>
      <c r="C616" s="360" t="s">
        <v>1554</v>
      </c>
      <c r="D616" s="351"/>
      <c r="E616" s="133" t="s">
        <v>2646</v>
      </c>
      <c r="F616" s="133" t="s">
        <v>2417</v>
      </c>
      <c r="G616" s="133" t="s">
        <v>2417</v>
      </c>
      <c r="H616" s="133" t="s">
        <v>2417</v>
      </c>
      <c r="I616" s="134" t="s">
        <v>2418</v>
      </c>
      <c r="J616" s="133" t="s">
        <v>2417</v>
      </c>
      <c r="K616" s="133" t="s">
        <v>2417</v>
      </c>
      <c r="L616" s="133" t="s">
        <v>2417</v>
      </c>
      <c r="M616" s="133" t="s">
        <v>2417</v>
      </c>
      <c r="N616" s="133" t="s">
        <v>2417</v>
      </c>
      <c r="O616" s="133" t="s">
        <v>2417</v>
      </c>
      <c r="P616" s="133" t="s">
        <v>2417</v>
      </c>
      <c r="Q616" s="133" t="s">
        <v>2417</v>
      </c>
      <c r="R616" s="133" t="s">
        <v>2417</v>
      </c>
      <c r="S616" s="123" t="s">
        <v>2619</v>
      </c>
      <c r="T616" s="133" t="s">
        <v>2417</v>
      </c>
      <c r="U616" s="133" t="s">
        <v>2417</v>
      </c>
      <c r="V616" s="133" t="s">
        <v>2417</v>
      </c>
      <c r="W616" s="133" t="s">
        <v>2417</v>
      </c>
      <c r="X616" s="133" t="s">
        <v>2417</v>
      </c>
      <c r="Y616" s="133" t="s">
        <v>2595</v>
      </c>
      <c r="Z616" s="133" t="s">
        <v>2417</v>
      </c>
      <c r="AA616" s="133" t="s">
        <v>2417</v>
      </c>
      <c r="AB616" s="133" t="s">
        <v>2417</v>
      </c>
      <c r="AC616" s="133" t="s">
        <v>2417</v>
      </c>
      <c r="AD616" s="133" t="s">
        <v>2417</v>
      </c>
      <c r="AE616" s="123"/>
    </row>
    <row r="617" spans="1:31" ht="20.399999999999999" hidden="1" outlineLevel="2">
      <c r="A617" s="68" t="s">
        <v>1627</v>
      </c>
      <c r="B617" s="62" t="s">
        <v>2631</v>
      </c>
      <c r="C617" s="355" t="s">
        <v>2632</v>
      </c>
      <c r="D617" s="351"/>
      <c r="E617" s="133" t="s">
        <v>2646</v>
      </c>
      <c r="F617" s="133" t="s">
        <v>2417</v>
      </c>
      <c r="G617" s="133" t="s">
        <v>2417</v>
      </c>
      <c r="H617" s="133" t="s">
        <v>2417</v>
      </c>
      <c r="I617" s="133" t="s">
        <v>2417</v>
      </c>
      <c r="J617" s="133" t="s">
        <v>2417</v>
      </c>
      <c r="K617" s="133" t="s">
        <v>2417</v>
      </c>
      <c r="L617" s="133" t="s">
        <v>2417</v>
      </c>
      <c r="M617" s="133" t="s">
        <v>2417</v>
      </c>
      <c r="N617" s="133" t="s">
        <v>2417</v>
      </c>
      <c r="O617" s="133" t="s">
        <v>2417</v>
      </c>
      <c r="P617" s="133" t="s">
        <v>2417</v>
      </c>
      <c r="Q617" s="133" t="s">
        <v>2417</v>
      </c>
      <c r="R617" s="133" t="s">
        <v>2417</v>
      </c>
      <c r="S617" s="133" t="s">
        <v>2417</v>
      </c>
      <c r="T617" s="133" t="s">
        <v>2417</v>
      </c>
      <c r="U617" s="133" t="s">
        <v>2417</v>
      </c>
      <c r="V617" s="133" t="s">
        <v>2417</v>
      </c>
      <c r="W617" s="133" t="s">
        <v>2417</v>
      </c>
      <c r="X617" s="133" t="s">
        <v>2417</v>
      </c>
      <c r="Y617" s="133" t="s">
        <v>2596</v>
      </c>
      <c r="Z617" s="133" t="s">
        <v>2417</v>
      </c>
      <c r="AA617" s="133" t="s">
        <v>2417</v>
      </c>
      <c r="AB617" s="133" t="s">
        <v>2417</v>
      </c>
      <c r="AC617" s="133" t="s">
        <v>2417</v>
      </c>
      <c r="AD617" s="133" t="s">
        <v>2417</v>
      </c>
      <c r="AE617" s="123"/>
    </row>
    <row r="618" spans="1:31" ht="20.399999999999999" outlineLevel="2">
      <c r="A618" s="68" t="s">
        <v>1629</v>
      </c>
      <c r="B618" s="63" t="s">
        <v>2659</v>
      </c>
      <c r="C618" s="360" t="s">
        <v>2660</v>
      </c>
      <c r="D618" s="351"/>
      <c r="E618" s="133" t="s">
        <v>2646</v>
      </c>
      <c r="F618" s="133" t="s">
        <v>2417</v>
      </c>
      <c r="G618" s="133" t="s">
        <v>2417</v>
      </c>
      <c r="H618" s="133" t="s">
        <v>2417</v>
      </c>
      <c r="I618" s="134" t="s">
        <v>2418</v>
      </c>
      <c r="J618" s="133" t="s">
        <v>2417</v>
      </c>
      <c r="K618" s="133" t="s">
        <v>2417</v>
      </c>
      <c r="L618" s="133" t="s">
        <v>2417</v>
      </c>
      <c r="M618" s="133" t="s">
        <v>2417</v>
      </c>
      <c r="N618" s="133" t="s">
        <v>2417</v>
      </c>
      <c r="O618" s="133" t="s">
        <v>2417</v>
      </c>
      <c r="P618" s="133" t="s">
        <v>2417</v>
      </c>
      <c r="Q618" s="133" t="s">
        <v>2417</v>
      </c>
      <c r="R618" s="133" t="s">
        <v>2417</v>
      </c>
      <c r="S618" s="123" t="s">
        <v>2619</v>
      </c>
      <c r="T618" s="133" t="s">
        <v>2417</v>
      </c>
      <c r="U618" s="133" t="s">
        <v>2417</v>
      </c>
      <c r="V618" s="133" t="s">
        <v>2417</v>
      </c>
      <c r="W618" s="133" t="s">
        <v>2417</v>
      </c>
      <c r="X618" s="133" t="s">
        <v>2417</v>
      </c>
      <c r="Y618" s="133" t="s">
        <v>2417</v>
      </c>
      <c r="Z618" s="133" t="s">
        <v>2417</v>
      </c>
      <c r="AA618" s="133" t="s">
        <v>2417</v>
      </c>
      <c r="AB618" s="133" t="s">
        <v>2417</v>
      </c>
      <c r="AC618" s="133" t="s">
        <v>2417</v>
      </c>
      <c r="AD618" s="133" t="s">
        <v>2417</v>
      </c>
      <c r="AE618" s="123"/>
    </row>
    <row r="619" spans="1:31" ht="20.399999999999999" outlineLevel="2">
      <c r="A619" s="68" t="s">
        <v>1632</v>
      </c>
      <c r="B619" s="63" t="s">
        <v>2661</v>
      </c>
      <c r="C619" s="360" t="s">
        <v>1560</v>
      </c>
      <c r="D619" s="351"/>
      <c r="E619" s="133" t="s">
        <v>2646</v>
      </c>
      <c r="F619" s="133" t="s">
        <v>2417</v>
      </c>
      <c r="G619" s="133" t="s">
        <v>2417</v>
      </c>
      <c r="H619" s="133" t="s">
        <v>2417</v>
      </c>
      <c r="I619" s="134" t="s">
        <v>2418</v>
      </c>
      <c r="J619" s="133" t="s">
        <v>2417</v>
      </c>
      <c r="K619" s="133" t="s">
        <v>2417</v>
      </c>
      <c r="L619" s="133" t="s">
        <v>2417</v>
      </c>
      <c r="M619" s="133" t="s">
        <v>2417</v>
      </c>
      <c r="N619" s="133" t="s">
        <v>2417</v>
      </c>
      <c r="O619" s="133" t="s">
        <v>2417</v>
      </c>
      <c r="P619" s="133" t="s">
        <v>2417</v>
      </c>
      <c r="Q619" s="133" t="s">
        <v>2417</v>
      </c>
      <c r="R619" s="133" t="s">
        <v>2417</v>
      </c>
      <c r="S619" s="123" t="s">
        <v>2619</v>
      </c>
      <c r="T619" s="133" t="s">
        <v>2417</v>
      </c>
      <c r="U619" s="133" t="s">
        <v>2417</v>
      </c>
      <c r="V619" s="133" t="s">
        <v>2417</v>
      </c>
      <c r="W619" s="133" t="s">
        <v>2417</v>
      </c>
      <c r="X619" s="133" t="s">
        <v>2417</v>
      </c>
      <c r="Y619" s="133" t="s">
        <v>2417</v>
      </c>
      <c r="Z619" s="133" t="s">
        <v>2417</v>
      </c>
      <c r="AA619" s="133" t="s">
        <v>2417</v>
      </c>
      <c r="AB619" s="133" t="s">
        <v>2417</v>
      </c>
      <c r="AC619" s="133" t="s">
        <v>2417</v>
      </c>
      <c r="AD619" s="133" t="s">
        <v>2417</v>
      </c>
      <c r="AE619" s="123"/>
    </row>
    <row r="620" spans="1:31" ht="20.399999999999999" outlineLevel="2">
      <c r="A620" s="68" t="s">
        <v>1634</v>
      </c>
      <c r="B620" s="63" t="s">
        <v>2662</v>
      </c>
      <c r="C620" s="360" t="s">
        <v>1566</v>
      </c>
      <c r="D620" s="351"/>
      <c r="E620" s="133" t="s">
        <v>2646</v>
      </c>
      <c r="F620" s="133" t="s">
        <v>2417</v>
      </c>
      <c r="G620" s="133" t="s">
        <v>2417</v>
      </c>
      <c r="H620" s="133" t="s">
        <v>2417</v>
      </c>
      <c r="I620" s="134" t="s">
        <v>2418</v>
      </c>
      <c r="J620" s="133" t="s">
        <v>2417</v>
      </c>
      <c r="K620" s="133" t="s">
        <v>2417</v>
      </c>
      <c r="L620" s="133" t="s">
        <v>2417</v>
      </c>
      <c r="M620" s="133" t="s">
        <v>2417</v>
      </c>
      <c r="N620" s="133" t="s">
        <v>2417</v>
      </c>
      <c r="O620" s="133" t="s">
        <v>2417</v>
      </c>
      <c r="P620" s="133" t="s">
        <v>2417</v>
      </c>
      <c r="Q620" s="133" t="s">
        <v>2417</v>
      </c>
      <c r="R620" s="133" t="s">
        <v>2417</v>
      </c>
      <c r="S620" s="123" t="s">
        <v>2619</v>
      </c>
      <c r="T620" s="133" t="s">
        <v>2417</v>
      </c>
      <c r="U620" s="133" t="s">
        <v>2417</v>
      </c>
      <c r="V620" s="133" t="s">
        <v>2417</v>
      </c>
      <c r="W620" s="133" t="s">
        <v>2417</v>
      </c>
      <c r="X620" s="133" t="s">
        <v>2417</v>
      </c>
      <c r="Y620" s="133" t="s">
        <v>2417</v>
      </c>
      <c r="Z620" s="133" t="s">
        <v>2417</v>
      </c>
      <c r="AA620" s="133" t="s">
        <v>2417</v>
      </c>
      <c r="AB620" s="133" t="s">
        <v>2417</v>
      </c>
      <c r="AC620" s="133" t="s">
        <v>2417</v>
      </c>
      <c r="AD620" s="133" t="s">
        <v>2417</v>
      </c>
      <c r="AE620" s="123"/>
    </row>
    <row r="621" spans="1:31" ht="20.399999999999999" hidden="1" outlineLevel="2">
      <c r="A621" s="68" t="s">
        <v>1636</v>
      </c>
      <c r="B621" s="62" t="s">
        <v>1568</v>
      </c>
      <c r="C621" s="355" t="s">
        <v>2636</v>
      </c>
      <c r="D621" s="351"/>
      <c r="E621" s="133" t="s">
        <v>2646</v>
      </c>
      <c r="F621" s="133" t="s">
        <v>2417</v>
      </c>
      <c r="G621" s="133" t="s">
        <v>2417</v>
      </c>
      <c r="H621" s="133" t="s">
        <v>2417</v>
      </c>
      <c r="I621" s="134" t="s">
        <v>2418</v>
      </c>
      <c r="J621" s="133" t="s">
        <v>2417</v>
      </c>
      <c r="K621" s="133" t="s">
        <v>2417</v>
      </c>
      <c r="L621" s="133" t="s">
        <v>2417</v>
      </c>
      <c r="M621" s="133" t="s">
        <v>2417</v>
      </c>
      <c r="N621" s="133" t="s">
        <v>2417</v>
      </c>
      <c r="O621" s="133" t="s">
        <v>2417</v>
      </c>
      <c r="P621" s="133" t="s">
        <v>2417</v>
      </c>
      <c r="Q621" s="133" t="s">
        <v>2417</v>
      </c>
      <c r="R621" s="133" t="s">
        <v>2417</v>
      </c>
      <c r="S621" s="133" t="s">
        <v>2417</v>
      </c>
      <c r="T621" s="133" t="s">
        <v>2417</v>
      </c>
      <c r="U621" s="133" t="s">
        <v>2417</v>
      </c>
      <c r="V621" s="133" t="s">
        <v>2417</v>
      </c>
      <c r="W621" s="59" t="s">
        <v>2595</v>
      </c>
      <c r="X621" s="133" t="s">
        <v>2417</v>
      </c>
      <c r="Y621" s="133" t="s">
        <v>2417</v>
      </c>
      <c r="Z621" s="133" t="s">
        <v>2417</v>
      </c>
      <c r="AA621" s="133" t="s">
        <v>2417</v>
      </c>
      <c r="AB621" s="133" t="s">
        <v>2417</v>
      </c>
      <c r="AC621" s="133" t="s">
        <v>2417</v>
      </c>
      <c r="AD621" s="133" t="s">
        <v>2417</v>
      </c>
      <c r="AE621" s="57"/>
    </row>
    <row r="622" spans="1:31" ht="20.399999999999999" outlineLevel="2">
      <c r="A622" s="68" t="s">
        <v>1636</v>
      </c>
      <c r="B622" s="63" t="s">
        <v>1568</v>
      </c>
      <c r="C622" s="387" t="s">
        <v>2663</v>
      </c>
      <c r="D622" s="351"/>
      <c r="E622" s="133" t="s">
        <v>2646</v>
      </c>
      <c r="F622" s="133" t="s">
        <v>2417</v>
      </c>
      <c r="G622" s="133" t="s">
        <v>2417</v>
      </c>
      <c r="H622" s="133" t="s">
        <v>2417</v>
      </c>
      <c r="I622" s="134" t="s">
        <v>2418</v>
      </c>
      <c r="J622" s="133" t="s">
        <v>2417</v>
      </c>
      <c r="K622" s="133" t="s">
        <v>2417</v>
      </c>
      <c r="L622" s="133" t="s">
        <v>2417</v>
      </c>
      <c r="M622" s="133" t="s">
        <v>2417</v>
      </c>
      <c r="N622" s="133" t="s">
        <v>2417</v>
      </c>
      <c r="O622" s="133" t="s">
        <v>2417</v>
      </c>
      <c r="P622" s="133" t="s">
        <v>2417</v>
      </c>
      <c r="Q622" s="133" t="s">
        <v>2417</v>
      </c>
      <c r="R622" s="133" t="s">
        <v>2417</v>
      </c>
      <c r="S622" s="133" t="s">
        <v>2417</v>
      </c>
      <c r="T622" s="133" t="s">
        <v>2417</v>
      </c>
      <c r="U622" s="133" t="s">
        <v>2417</v>
      </c>
      <c r="V622" s="133" t="s">
        <v>2417</v>
      </c>
      <c r="W622" s="59" t="s">
        <v>2596</v>
      </c>
      <c r="X622" s="133" t="s">
        <v>2417</v>
      </c>
      <c r="Y622" s="133" t="s">
        <v>2417</v>
      </c>
      <c r="Z622" s="133" t="s">
        <v>2417</v>
      </c>
      <c r="AA622" s="133" t="s">
        <v>2417</v>
      </c>
      <c r="AB622" s="133" t="s">
        <v>2417</v>
      </c>
      <c r="AC622" s="133" t="s">
        <v>2417</v>
      </c>
      <c r="AD622" s="133" t="s">
        <v>2417</v>
      </c>
      <c r="AE622" s="57"/>
    </row>
    <row r="623" spans="1:31" ht="20.399999999999999" outlineLevel="2">
      <c r="A623" s="68" t="s">
        <v>1638</v>
      </c>
      <c r="B623" s="79" t="s">
        <v>1571</v>
      </c>
      <c r="C623" s="387" t="s">
        <v>1639</v>
      </c>
      <c r="D623" s="351"/>
      <c r="E623" s="133" t="s">
        <v>2646</v>
      </c>
      <c r="F623" s="133" t="s">
        <v>2417</v>
      </c>
      <c r="G623" s="133" t="s">
        <v>2417</v>
      </c>
      <c r="H623" s="133" t="s">
        <v>2417</v>
      </c>
      <c r="I623" s="134" t="s">
        <v>2418</v>
      </c>
      <c r="J623" s="133" t="s">
        <v>2417</v>
      </c>
      <c r="K623" s="133" t="s">
        <v>2417</v>
      </c>
      <c r="L623" s="133" t="s">
        <v>2417</v>
      </c>
      <c r="M623" s="133" t="s">
        <v>2417</v>
      </c>
      <c r="N623" s="133" t="s">
        <v>2417</v>
      </c>
      <c r="O623" s="133" t="s">
        <v>2417</v>
      </c>
      <c r="P623" s="133" t="s">
        <v>2417</v>
      </c>
      <c r="Q623" s="133" t="s">
        <v>2417</v>
      </c>
      <c r="R623" s="133" t="s">
        <v>2417</v>
      </c>
      <c r="S623" s="133" t="s">
        <v>2417</v>
      </c>
      <c r="T623" s="133" t="s">
        <v>2417</v>
      </c>
      <c r="U623" s="133" t="s">
        <v>2417</v>
      </c>
      <c r="V623" s="133" t="s">
        <v>2417</v>
      </c>
      <c r="W623" s="59" t="s">
        <v>2596</v>
      </c>
      <c r="X623" s="133" t="s">
        <v>2417</v>
      </c>
      <c r="Y623" s="133" t="s">
        <v>2417</v>
      </c>
      <c r="Z623" s="133" t="s">
        <v>2417</v>
      </c>
      <c r="AA623" s="133" t="s">
        <v>2417</v>
      </c>
      <c r="AB623" s="133" t="s">
        <v>2417</v>
      </c>
      <c r="AC623" s="133" t="s">
        <v>2417</v>
      </c>
      <c r="AD623" s="133" t="s">
        <v>2417</v>
      </c>
      <c r="AE623" s="57"/>
    </row>
    <row r="624" spans="1:31" ht="20.399999999999999" outlineLevel="2">
      <c r="A624" s="68" t="s">
        <v>1638</v>
      </c>
      <c r="B624" s="79" t="s">
        <v>1577</v>
      </c>
      <c r="C624" s="387" t="s">
        <v>1578</v>
      </c>
      <c r="D624" s="351"/>
      <c r="E624" s="133" t="s">
        <v>2646</v>
      </c>
      <c r="F624" s="133" t="s">
        <v>2417</v>
      </c>
      <c r="G624" s="133" t="s">
        <v>2417</v>
      </c>
      <c r="H624" s="133" t="s">
        <v>2417</v>
      </c>
      <c r="I624" s="134" t="s">
        <v>2418</v>
      </c>
      <c r="J624" s="133" t="s">
        <v>2417</v>
      </c>
      <c r="K624" s="133" t="s">
        <v>2417</v>
      </c>
      <c r="L624" s="133" t="s">
        <v>2417</v>
      </c>
      <c r="M624" s="133" t="s">
        <v>2417</v>
      </c>
      <c r="N624" s="133" t="s">
        <v>2417</v>
      </c>
      <c r="O624" s="133" t="s">
        <v>2417</v>
      </c>
      <c r="P624" s="133" t="s">
        <v>2417</v>
      </c>
      <c r="Q624" s="133" t="s">
        <v>2417</v>
      </c>
      <c r="R624" s="133" t="s">
        <v>2417</v>
      </c>
      <c r="S624" s="133" t="s">
        <v>2417</v>
      </c>
      <c r="T624" s="133" t="s">
        <v>2417</v>
      </c>
      <c r="U624" s="133" t="s">
        <v>2417</v>
      </c>
      <c r="V624" s="133" t="s">
        <v>2417</v>
      </c>
      <c r="W624" s="59" t="s">
        <v>2596</v>
      </c>
      <c r="X624" s="133" t="s">
        <v>2417</v>
      </c>
      <c r="Y624" s="133" t="s">
        <v>2417</v>
      </c>
      <c r="Z624" s="133" t="s">
        <v>2417</v>
      </c>
      <c r="AA624" s="133" t="s">
        <v>2417</v>
      </c>
      <c r="AB624" s="133" t="s">
        <v>2417</v>
      </c>
      <c r="AC624" s="133" t="s">
        <v>2417</v>
      </c>
      <c r="AD624" s="133" t="s">
        <v>2417</v>
      </c>
      <c r="AE624" s="57"/>
    </row>
    <row r="625" spans="1:31" ht="20.399999999999999" hidden="1" outlineLevel="2">
      <c r="A625" s="68" t="s">
        <v>1640</v>
      </c>
      <c r="B625" s="62" t="s">
        <v>1580</v>
      </c>
      <c r="C625" s="355" t="s">
        <v>2640</v>
      </c>
      <c r="D625" s="351"/>
      <c r="E625" s="133" t="s">
        <v>2646</v>
      </c>
      <c r="F625" s="133" t="s">
        <v>2417</v>
      </c>
      <c r="G625" s="133" t="s">
        <v>2417</v>
      </c>
      <c r="H625" s="133" t="s">
        <v>2417</v>
      </c>
      <c r="I625" s="134" t="s">
        <v>2418</v>
      </c>
      <c r="J625" s="133" t="s">
        <v>2417</v>
      </c>
      <c r="K625" s="133" t="s">
        <v>2417</v>
      </c>
      <c r="L625" s="133" t="s">
        <v>2417</v>
      </c>
      <c r="M625" s="133" t="s">
        <v>2417</v>
      </c>
      <c r="N625" s="133" t="s">
        <v>2417</v>
      </c>
      <c r="O625" s="133" t="s">
        <v>2417</v>
      </c>
      <c r="P625" s="133" t="s">
        <v>2417</v>
      </c>
      <c r="Q625" s="133" t="s">
        <v>2417</v>
      </c>
      <c r="R625" s="133" t="s">
        <v>2417</v>
      </c>
      <c r="S625" s="133" t="s">
        <v>2417</v>
      </c>
      <c r="T625" s="133" t="s">
        <v>2417</v>
      </c>
      <c r="U625" s="133" t="s">
        <v>2417</v>
      </c>
      <c r="V625" s="133" t="s">
        <v>2417</v>
      </c>
      <c r="W625" s="133" t="s">
        <v>2417</v>
      </c>
      <c r="X625" s="59" t="s">
        <v>2595</v>
      </c>
      <c r="Y625" s="133" t="s">
        <v>2417</v>
      </c>
      <c r="Z625" s="133" t="s">
        <v>2417</v>
      </c>
      <c r="AA625" s="133" t="s">
        <v>2417</v>
      </c>
      <c r="AB625" s="133" t="s">
        <v>2417</v>
      </c>
      <c r="AC625" s="133" t="s">
        <v>2417</v>
      </c>
      <c r="AD625" s="133" t="s">
        <v>2417</v>
      </c>
      <c r="AE625" s="57"/>
    </row>
    <row r="626" spans="1:31" ht="20.399999999999999" outlineLevel="2">
      <c r="A626" s="68" t="s">
        <v>1640</v>
      </c>
      <c r="B626" s="62" t="s">
        <v>1580</v>
      </c>
      <c r="C626" s="387" t="s">
        <v>2664</v>
      </c>
      <c r="D626" s="351"/>
      <c r="E626" s="133" t="s">
        <v>2646</v>
      </c>
      <c r="F626" s="133" t="s">
        <v>2417</v>
      </c>
      <c r="G626" s="133" t="s">
        <v>2417</v>
      </c>
      <c r="H626" s="133" t="s">
        <v>2417</v>
      </c>
      <c r="I626" s="134" t="s">
        <v>2418</v>
      </c>
      <c r="J626" s="133" t="s">
        <v>2417</v>
      </c>
      <c r="K626" s="133" t="s">
        <v>2417</v>
      </c>
      <c r="L626" s="133" t="s">
        <v>2417</v>
      </c>
      <c r="M626" s="133" t="s">
        <v>2417</v>
      </c>
      <c r="N626" s="133" t="s">
        <v>2417</v>
      </c>
      <c r="O626" s="133" t="s">
        <v>2417</v>
      </c>
      <c r="P626" s="133" t="s">
        <v>2417</v>
      </c>
      <c r="Q626" s="133" t="s">
        <v>2417</v>
      </c>
      <c r="R626" s="133" t="s">
        <v>2417</v>
      </c>
      <c r="S626" s="133" t="s">
        <v>2417</v>
      </c>
      <c r="T626" s="133" t="s">
        <v>2417</v>
      </c>
      <c r="U626" s="133" t="s">
        <v>2417</v>
      </c>
      <c r="V626" s="133" t="s">
        <v>2417</v>
      </c>
      <c r="W626" s="133" t="s">
        <v>2417</v>
      </c>
      <c r="X626" s="59" t="s">
        <v>2596</v>
      </c>
      <c r="Y626" s="133" t="s">
        <v>2417</v>
      </c>
      <c r="Z626" s="133" t="s">
        <v>2417</v>
      </c>
      <c r="AA626" s="133" t="s">
        <v>2417</v>
      </c>
      <c r="AB626" s="133" t="s">
        <v>2417</v>
      </c>
      <c r="AC626" s="133" t="s">
        <v>2417</v>
      </c>
      <c r="AD626" s="133" t="s">
        <v>2417</v>
      </c>
      <c r="AE626" s="57"/>
    </row>
    <row r="627" spans="1:31" ht="20.399999999999999" outlineLevel="2">
      <c r="A627" s="68" t="s">
        <v>1642</v>
      </c>
      <c r="B627" s="79" t="s">
        <v>1583</v>
      </c>
      <c r="C627" s="387" t="s">
        <v>1584</v>
      </c>
      <c r="D627" s="351"/>
      <c r="E627" s="133" t="s">
        <v>2646</v>
      </c>
      <c r="F627" s="133" t="s">
        <v>2417</v>
      </c>
      <c r="G627" s="133" t="s">
        <v>2417</v>
      </c>
      <c r="H627" s="133" t="s">
        <v>2417</v>
      </c>
      <c r="I627" s="134" t="s">
        <v>2418</v>
      </c>
      <c r="J627" s="133" t="s">
        <v>2417</v>
      </c>
      <c r="K627" s="133" t="s">
        <v>2417</v>
      </c>
      <c r="L627" s="133" t="s">
        <v>2417</v>
      </c>
      <c r="M627" s="133" t="s">
        <v>2417</v>
      </c>
      <c r="N627" s="133" t="s">
        <v>2417</v>
      </c>
      <c r="O627" s="133" t="s">
        <v>2417</v>
      </c>
      <c r="P627" s="133" t="s">
        <v>2417</v>
      </c>
      <c r="Q627" s="133" t="s">
        <v>2417</v>
      </c>
      <c r="R627" s="133" t="s">
        <v>2417</v>
      </c>
      <c r="S627" s="133" t="s">
        <v>2417</v>
      </c>
      <c r="T627" s="133" t="s">
        <v>2417</v>
      </c>
      <c r="U627" s="133" t="s">
        <v>2417</v>
      </c>
      <c r="V627" s="133" t="s">
        <v>2417</v>
      </c>
      <c r="W627" s="133" t="s">
        <v>2417</v>
      </c>
      <c r="X627" s="59" t="s">
        <v>2596</v>
      </c>
      <c r="Y627" s="133" t="s">
        <v>2417</v>
      </c>
      <c r="Z627" s="133" t="s">
        <v>2417</v>
      </c>
      <c r="AA627" s="133" t="s">
        <v>2417</v>
      </c>
      <c r="AB627" s="133" t="s">
        <v>2417</v>
      </c>
      <c r="AC627" s="133" t="s">
        <v>2417</v>
      </c>
      <c r="AD627" s="133" t="s">
        <v>2417</v>
      </c>
      <c r="AE627" s="57"/>
    </row>
    <row r="628" spans="1:31" ht="13.2" outlineLevel="2">
      <c r="A628" s="68" t="s">
        <v>1643</v>
      </c>
      <c r="B628" s="63" t="s">
        <v>1586</v>
      </c>
      <c r="C628" s="387" t="s">
        <v>1587</v>
      </c>
      <c r="D628" s="351"/>
      <c r="E628" s="133" t="s">
        <v>2646</v>
      </c>
      <c r="F628" s="133" t="s">
        <v>2417</v>
      </c>
      <c r="G628" s="133" t="s">
        <v>2417</v>
      </c>
      <c r="H628" s="133" t="s">
        <v>2417</v>
      </c>
      <c r="I628" s="134" t="s">
        <v>2418</v>
      </c>
      <c r="J628" s="133" t="s">
        <v>2417</v>
      </c>
      <c r="K628" s="133" t="s">
        <v>2417</v>
      </c>
      <c r="L628" s="133" t="s">
        <v>2417</v>
      </c>
      <c r="M628" s="133" t="s">
        <v>2417</v>
      </c>
      <c r="N628" s="133" t="s">
        <v>2417</v>
      </c>
      <c r="O628" s="133" t="s">
        <v>2417</v>
      </c>
      <c r="P628" s="133" t="s">
        <v>2417</v>
      </c>
      <c r="Q628" s="133" t="s">
        <v>2417</v>
      </c>
      <c r="R628" s="133" t="s">
        <v>2417</v>
      </c>
      <c r="S628" s="133" t="s">
        <v>2417</v>
      </c>
      <c r="T628" s="133" t="s">
        <v>2417</v>
      </c>
      <c r="U628" s="133" t="s">
        <v>2417</v>
      </c>
      <c r="V628" s="133" t="s">
        <v>2417</v>
      </c>
      <c r="W628" s="132" t="s">
        <v>2417</v>
      </c>
      <c r="X628" s="132" t="s">
        <v>2417</v>
      </c>
      <c r="Y628" s="132" t="s">
        <v>2417</v>
      </c>
      <c r="Z628" s="132" t="s">
        <v>2417</v>
      </c>
      <c r="AA628" s="133" t="s">
        <v>2417</v>
      </c>
      <c r="AB628" s="133" t="s">
        <v>2417</v>
      </c>
      <c r="AC628" s="133" t="s">
        <v>2417</v>
      </c>
      <c r="AD628" s="133" t="s">
        <v>2417</v>
      </c>
      <c r="AE628" s="59"/>
    </row>
    <row r="629" spans="1:31" ht="13.2" outlineLevel="2">
      <c r="A629" s="68" t="s">
        <v>1644</v>
      </c>
      <c r="B629" s="62" t="s">
        <v>1589</v>
      </c>
      <c r="C629" s="387" t="s">
        <v>2665</v>
      </c>
      <c r="D629" s="351"/>
      <c r="E629" s="133" t="s">
        <v>2646</v>
      </c>
      <c r="F629" s="133" t="s">
        <v>2417</v>
      </c>
      <c r="G629" s="133" t="s">
        <v>2417</v>
      </c>
      <c r="H629" s="133" t="s">
        <v>2417</v>
      </c>
      <c r="I629" s="134" t="s">
        <v>2418</v>
      </c>
      <c r="J629" s="133" t="s">
        <v>2417</v>
      </c>
      <c r="K629" s="133" t="s">
        <v>2417</v>
      </c>
      <c r="L629" s="133" t="s">
        <v>2417</v>
      </c>
      <c r="M629" s="133" t="s">
        <v>2417</v>
      </c>
      <c r="N629" s="133" t="s">
        <v>2417</v>
      </c>
      <c r="O629" s="133" t="s">
        <v>2417</v>
      </c>
      <c r="P629" s="133" t="s">
        <v>2417</v>
      </c>
      <c r="Q629" s="133" t="s">
        <v>2417</v>
      </c>
      <c r="R629" s="133" t="s">
        <v>2417</v>
      </c>
      <c r="S629" s="133" t="s">
        <v>2417</v>
      </c>
      <c r="T629" s="133" t="s">
        <v>2417</v>
      </c>
      <c r="U629" s="133" t="s">
        <v>2417</v>
      </c>
      <c r="V629" s="133" t="s">
        <v>2417</v>
      </c>
      <c r="W629" s="132" t="s">
        <v>2417</v>
      </c>
      <c r="X629" s="132" t="s">
        <v>2417</v>
      </c>
      <c r="Y629" s="132" t="s">
        <v>2417</v>
      </c>
      <c r="Z629" s="132" t="s">
        <v>2417</v>
      </c>
      <c r="AA629" s="133" t="s">
        <v>2417</v>
      </c>
      <c r="AB629" s="133" t="s">
        <v>2417</v>
      </c>
      <c r="AC629" s="133" t="s">
        <v>2417</v>
      </c>
      <c r="AD629" s="133" t="s">
        <v>2417</v>
      </c>
      <c r="AE629" s="59"/>
    </row>
    <row r="630" spans="1:31" ht="13.2" outlineLevel="2">
      <c r="A630" s="68" t="s">
        <v>1646</v>
      </c>
      <c r="B630" s="91" t="s">
        <v>1592</v>
      </c>
      <c r="C630" s="396" t="s">
        <v>2666</v>
      </c>
      <c r="D630" s="351"/>
      <c r="E630" s="133" t="s">
        <v>2646</v>
      </c>
      <c r="F630" s="133" t="s">
        <v>2417</v>
      </c>
      <c r="G630" s="133" t="s">
        <v>2417</v>
      </c>
      <c r="H630" s="133" t="s">
        <v>2417</v>
      </c>
      <c r="I630" s="134" t="s">
        <v>2418</v>
      </c>
      <c r="J630" s="133" t="s">
        <v>2417</v>
      </c>
      <c r="K630" s="133" t="s">
        <v>2417</v>
      </c>
      <c r="L630" s="133" t="s">
        <v>2417</v>
      </c>
      <c r="M630" s="133" t="s">
        <v>2417</v>
      </c>
      <c r="N630" s="133" t="s">
        <v>2417</v>
      </c>
      <c r="O630" s="133" t="s">
        <v>2417</v>
      </c>
      <c r="P630" s="133" t="s">
        <v>2417</v>
      </c>
      <c r="Q630" s="133" t="s">
        <v>2417</v>
      </c>
      <c r="R630" s="133" t="s">
        <v>2417</v>
      </c>
      <c r="S630" s="133" t="s">
        <v>2417</v>
      </c>
      <c r="T630" s="133" t="s">
        <v>2417</v>
      </c>
      <c r="U630" s="133" t="s">
        <v>2417</v>
      </c>
      <c r="V630" s="167" t="s">
        <v>2596</v>
      </c>
      <c r="W630" s="132" t="s">
        <v>2417</v>
      </c>
      <c r="X630" s="132" t="s">
        <v>2417</v>
      </c>
      <c r="Y630" s="132" t="s">
        <v>2417</v>
      </c>
      <c r="Z630" s="132" t="s">
        <v>2417</v>
      </c>
      <c r="AA630" s="133" t="s">
        <v>2417</v>
      </c>
      <c r="AB630" s="133" t="s">
        <v>2417</v>
      </c>
      <c r="AC630" s="133" t="s">
        <v>2417</v>
      </c>
      <c r="AD630" s="133" t="s">
        <v>2417</v>
      </c>
      <c r="AE630" s="167"/>
    </row>
    <row r="631" spans="1:31" ht="13.2" hidden="1" outlineLevel="2">
      <c r="A631" s="68" t="s">
        <v>2667</v>
      </c>
      <c r="B631" s="91" t="s">
        <v>2644</v>
      </c>
      <c r="C631" s="387" t="s">
        <v>2645</v>
      </c>
      <c r="D631" s="351"/>
      <c r="E631" s="133" t="s">
        <v>2646</v>
      </c>
      <c r="F631" s="133" t="s">
        <v>2417</v>
      </c>
      <c r="G631" s="133" t="s">
        <v>2417</v>
      </c>
      <c r="H631" s="133" t="s">
        <v>2417</v>
      </c>
      <c r="I631" s="134" t="s">
        <v>2418</v>
      </c>
      <c r="J631" s="133" t="s">
        <v>2500</v>
      </c>
      <c r="K631" s="133" t="s">
        <v>2417</v>
      </c>
      <c r="L631" s="133" t="s">
        <v>2417</v>
      </c>
      <c r="M631" s="133" t="s">
        <v>2417</v>
      </c>
      <c r="N631" s="133" t="s">
        <v>2417</v>
      </c>
      <c r="O631" s="133" t="s">
        <v>2417</v>
      </c>
      <c r="P631" s="133" t="s">
        <v>2417</v>
      </c>
      <c r="Q631" s="133" t="s">
        <v>2417</v>
      </c>
      <c r="R631" s="133" t="s">
        <v>2417</v>
      </c>
      <c r="S631" s="133" t="s">
        <v>2417</v>
      </c>
      <c r="T631" s="133" t="s">
        <v>2417</v>
      </c>
      <c r="U631" s="133" t="s">
        <v>2417</v>
      </c>
      <c r="V631" s="135" t="s">
        <v>2595</v>
      </c>
      <c r="W631" s="132" t="s">
        <v>2417</v>
      </c>
      <c r="X631" s="132" t="s">
        <v>2417</v>
      </c>
      <c r="Y631" s="132" t="s">
        <v>2417</v>
      </c>
      <c r="Z631" s="132" t="s">
        <v>2417</v>
      </c>
      <c r="AA631" s="133" t="s">
        <v>2417</v>
      </c>
      <c r="AB631" s="133" t="s">
        <v>2417</v>
      </c>
      <c r="AC631" s="133" t="s">
        <v>2417</v>
      </c>
      <c r="AD631" s="133" t="s">
        <v>2417</v>
      </c>
      <c r="AE631" s="167"/>
    </row>
    <row r="632" spans="1:31" ht="13.2" hidden="1" outlineLevel="1">
      <c r="A632" s="384" t="s">
        <v>2668</v>
      </c>
      <c r="B632" s="350"/>
      <c r="C632" s="350"/>
      <c r="D632" s="351"/>
      <c r="E632" s="133" t="s">
        <v>2669</v>
      </c>
      <c r="F632" s="133" t="s">
        <v>2417</v>
      </c>
      <c r="G632" s="133" t="s">
        <v>2417</v>
      </c>
      <c r="H632" s="133" t="s">
        <v>2417</v>
      </c>
      <c r="I632" s="134" t="s">
        <v>2418</v>
      </c>
      <c r="J632" s="133" t="s">
        <v>2417</v>
      </c>
      <c r="K632" s="133" t="s">
        <v>2417</v>
      </c>
      <c r="L632" s="133" t="s">
        <v>2417</v>
      </c>
      <c r="M632" s="133" t="s">
        <v>2417</v>
      </c>
      <c r="N632" s="133" t="s">
        <v>2417</v>
      </c>
      <c r="O632" s="133" t="s">
        <v>2417</v>
      </c>
      <c r="P632" s="133" t="s">
        <v>2417</v>
      </c>
      <c r="Q632" s="133" t="s">
        <v>2417</v>
      </c>
      <c r="R632" s="133" t="s">
        <v>2417</v>
      </c>
      <c r="S632" s="133" t="s">
        <v>2417</v>
      </c>
      <c r="T632" s="133" t="s">
        <v>2417</v>
      </c>
      <c r="U632" s="133" t="s">
        <v>2417</v>
      </c>
      <c r="V632" s="133" t="s">
        <v>2417</v>
      </c>
      <c r="W632" s="133" t="s">
        <v>2417</v>
      </c>
      <c r="X632" s="133" t="s">
        <v>2417</v>
      </c>
      <c r="Y632" s="133" t="s">
        <v>2417</v>
      </c>
      <c r="Z632" s="133" t="s">
        <v>2417</v>
      </c>
      <c r="AA632" s="133" t="s">
        <v>2417</v>
      </c>
      <c r="AB632" s="133" t="s">
        <v>2417</v>
      </c>
      <c r="AC632" s="133" t="s">
        <v>2417</v>
      </c>
      <c r="AD632" s="133" t="s">
        <v>2417</v>
      </c>
      <c r="AE632" s="168"/>
    </row>
    <row r="633" spans="1:31" ht="13.2" hidden="1" outlineLevel="2">
      <c r="A633" s="68" t="s">
        <v>1595</v>
      </c>
      <c r="B633" s="64"/>
      <c r="C633" s="360" t="s">
        <v>2670</v>
      </c>
      <c r="D633" s="351"/>
      <c r="E633" s="133" t="s">
        <v>2669</v>
      </c>
      <c r="F633" s="133" t="s">
        <v>2417</v>
      </c>
      <c r="G633" s="133" t="s">
        <v>2417</v>
      </c>
      <c r="H633" s="133" t="s">
        <v>2417</v>
      </c>
      <c r="I633" s="134" t="s">
        <v>2418</v>
      </c>
      <c r="J633" s="133" t="s">
        <v>2417</v>
      </c>
      <c r="K633" s="133" t="s">
        <v>2417</v>
      </c>
      <c r="L633" s="133" t="s">
        <v>2417</v>
      </c>
      <c r="M633" s="133" t="s">
        <v>2417</v>
      </c>
      <c r="N633" s="133" t="s">
        <v>2417</v>
      </c>
      <c r="O633" s="133" t="s">
        <v>2417</v>
      </c>
      <c r="P633" s="133" t="s">
        <v>2417</v>
      </c>
      <c r="Q633" s="133" t="s">
        <v>2417</v>
      </c>
      <c r="R633" s="133" t="s">
        <v>2417</v>
      </c>
      <c r="S633" s="133" t="s">
        <v>2417</v>
      </c>
      <c r="T633" s="133" t="s">
        <v>2417</v>
      </c>
      <c r="U633" s="133" t="s">
        <v>2417</v>
      </c>
      <c r="V633" s="133" t="s">
        <v>2417</v>
      </c>
      <c r="W633" s="133" t="s">
        <v>2417</v>
      </c>
      <c r="X633" s="133" t="s">
        <v>2417</v>
      </c>
      <c r="Y633" s="133" t="s">
        <v>2417</v>
      </c>
      <c r="Z633" s="133" t="s">
        <v>2417</v>
      </c>
      <c r="AA633" s="133" t="s">
        <v>2417</v>
      </c>
      <c r="AB633" s="133" t="s">
        <v>2417</v>
      </c>
      <c r="AC633" s="133" t="s">
        <v>2417</v>
      </c>
      <c r="AD633" s="133" t="s">
        <v>2417</v>
      </c>
      <c r="AE633" s="123"/>
    </row>
    <row r="634" spans="1:31" ht="13.2" hidden="1" outlineLevel="2">
      <c r="A634" s="68" t="s">
        <v>1597</v>
      </c>
      <c r="B634" s="62" t="s">
        <v>1504</v>
      </c>
      <c r="C634" s="387" t="s">
        <v>1598</v>
      </c>
      <c r="D634" s="351"/>
      <c r="E634" s="133" t="s">
        <v>2669</v>
      </c>
      <c r="F634" s="133" t="s">
        <v>2417</v>
      </c>
      <c r="G634" s="133" t="s">
        <v>2417</v>
      </c>
      <c r="H634" s="133" t="s">
        <v>2417</v>
      </c>
      <c r="I634" s="134" t="s">
        <v>2418</v>
      </c>
      <c r="J634" s="133" t="s">
        <v>2417</v>
      </c>
      <c r="K634" s="133" t="s">
        <v>2417</v>
      </c>
      <c r="L634" s="133" t="s">
        <v>2417</v>
      </c>
      <c r="M634" s="133" t="s">
        <v>2417</v>
      </c>
      <c r="N634" s="133" t="s">
        <v>2417</v>
      </c>
      <c r="O634" s="133" t="s">
        <v>2417</v>
      </c>
      <c r="P634" s="133" t="s">
        <v>2417</v>
      </c>
      <c r="Q634" s="133" t="s">
        <v>2417</v>
      </c>
      <c r="R634" s="133" t="s">
        <v>2417</v>
      </c>
      <c r="S634" s="133" t="s">
        <v>2417</v>
      </c>
      <c r="T634" s="133" t="s">
        <v>2417</v>
      </c>
      <c r="U634" s="133" t="s">
        <v>2417</v>
      </c>
      <c r="V634" s="133" t="s">
        <v>2417</v>
      </c>
      <c r="W634" s="133" t="s">
        <v>2417</v>
      </c>
      <c r="X634" s="133" t="s">
        <v>2417</v>
      </c>
      <c r="Y634" s="133" t="s">
        <v>2417</v>
      </c>
      <c r="Z634" s="133" t="s">
        <v>2417</v>
      </c>
      <c r="AA634" s="133" t="s">
        <v>2417</v>
      </c>
      <c r="AB634" s="133" t="s">
        <v>2417</v>
      </c>
      <c r="AC634" s="133" t="s">
        <v>2417</v>
      </c>
      <c r="AD634" s="133" t="s">
        <v>2417</v>
      </c>
      <c r="AE634" s="59"/>
    </row>
    <row r="635" spans="1:31" ht="13.2" hidden="1" outlineLevel="2">
      <c r="A635" s="68" t="s">
        <v>1599</v>
      </c>
      <c r="B635" s="62" t="s">
        <v>1507</v>
      </c>
      <c r="C635" s="387" t="s">
        <v>1508</v>
      </c>
      <c r="D635" s="351"/>
      <c r="E635" s="133" t="s">
        <v>2669</v>
      </c>
      <c r="F635" s="133" t="s">
        <v>2417</v>
      </c>
      <c r="G635" s="133" t="s">
        <v>2417</v>
      </c>
      <c r="H635" s="133" t="s">
        <v>2417</v>
      </c>
      <c r="I635" s="134" t="s">
        <v>2418</v>
      </c>
      <c r="J635" s="133" t="s">
        <v>2417</v>
      </c>
      <c r="K635" s="133" t="s">
        <v>2417</v>
      </c>
      <c r="L635" s="133" t="s">
        <v>2417</v>
      </c>
      <c r="M635" s="133" t="s">
        <v>2417</v>
      </c>
      <c r="N635" s="133" t="s">
        <v>2417</v>
      </c>
      <c r="O635" s="133" t="s">
        <v>2417</v>
      </c>
      <c r="P635" s="133" t="s">
        <v>2417</v>
      </c>
      <c r="Q635" s="133" t="s">
        <v>2417</v>
      </c>
      <c r="R635" s="133" t="s">
        <v>2417</v>
      </c>
      <c r="S635" s="133" t="s">
        <v>2417</v>
      </c>
      <c r="T635" s="133" t="s">
        <v>2417</v>
      </c>
      <c r="U635" s="133" t="s">
        <v>2417</v>
      </c>
      <c r="V635" s="133" t="s">
        <v>2417</v>
      </c>
      <c r="W635" s="133" t="s">
        <v>2417</v>
      </c>
      <c r="X635" s="133" t="s">
        <v>2417</v>
      </c>
      <c r="Y635" s="133" t="s">
        <v>2417</v>
      </c>
      <c r="Z635" s="133" t="s">
        <v>2417</v>
      </c>
      <c r="AA635" s="133" t="s">
        <v>2417</v>
      </c>
      <c r="AB635" s="133" t="s">
        <v>2417</v>
      </c>
      <c r="AC635" s="133" t="s">
        <v>2417</v>
      </c>
      <c r="AD635" s="133" t="s">
        <v>2417</v>
      </c>
      <c r="AE635" s="59"/>
    </row>
    <row r="636" spans="1:31" ht="20.399999999999999" hidden="1" outlineLevel="2">
      <c r="A636" s="68" t="s">
        <v>1600</v>
      </c>
      <c r="B636" s="63" t="s">
        <v>1510</v>
      </c>
      <c r="C636" s="387" t="s">
        <v>1511</v>
      </c>
      <c r="D636" s="351"/>
      <c r="E636" s="133" t="s">
        <v>2669</v>
      </c>
      <c r="F636" s="133" t="s">
        <v>2417</v>
      </c>
      <c r="G636" s="133" t="s">
        <v>2417</v>
      </c>
      <c r="H636" s="133" t="s">
        <v>2417</v>
      </c>
      <c r="I636" s="134" t="s">
        <v>2418</v>
      </c>
      <c r="J636" s="133" t="s">
        <v>2417</v>
      </c>
      <c r="K636" s="133" t="s">
        <v>2417</v>
      </c>
      <c r="L636" s="133" t="s">
        <v>2417</v>
      </c>
      <c r="M636" s="133" t="s">
        <v>2417</v>
      </c>
      <c r="N636" s="133" t="s">
        <v>2417</v>
      </c>
      <c r="O636" s="133" t="s">
        <v>2417</v>
      </c>
      <c r="P636" s="133" t="s">
        <v>2417</v>
      </c>
      <c r="Q636" s="133" t="s">
        <v>2417</v>
      </c>
      <c r="R636" s="133" t="s">
        <v>2417</v>
      </c>
      <c r="S636" s="133" t="s">
        <v>2417</v>
      </c>
      <c r="T636" s="133" t="s">
        <v>2417</v>
      </c>
      <c r="U636" s="133" t="s">
        <v>2417</v>
      </c>
      <c r="V636" s="133" t="s">
        <v>2417</v>
      </c>
      <c r="W636" s="133" t="s">
        <v>2417</v>
      </c>
      <c r="X636" s="133" t="s">
        <v>2417</v>
      </c>
      <c r="Y636" s="133" t="s">
        <v>2417</v>
      </c>
      <c r="Z636" s="133" t="s">
        <v>2417</v>
      </c>
      <c r="AA636" s="133" t="s">
        <v>2417</v>
      </c>
      <c r="AB636" s="133" t="s">
        <v>2417</v>
      </c>
      <c r="AC636" s="133" t="s">
        <v>2417</v>
      </c>
      <c r="AD636" s="133" t="s">
        <v>2417</v>
      </c>
      <c r="AE636" s="57"/>
    </row>
    <row r="637" spans="1:31" ht="20.399999999999999" hidden="1" outlineLevel="2">
      <c r="A637" s="68" t="s">
        <v>1601</v>
      </c>
      <c r="B637" s="63" t="s">
        <v>2671</v>
      </c>
      <c r="C637" s="360" t="s">
        <v>1514</v>
      </c>
      <c r="D637" s="351"/>
      <c r="E637" s="133" t="s">
        <v>2669</v>
      </c>
      <c r="F637" s="133" t="s">
        <v>2417</v>
      </c>
      <c r="G637" s="133" t="s">
        <v>2417</v>
      </c>
      <c r="H637" s="133" t="s">
        <v>2417</v>
      </c>
      <c r="I637" s="134" t="s">
        <v>2418</v>
      </c>
      <c r="J637" s="133" t="s">
        <v>2417</v>
      </c>
      <c r="K637" s="133" t="s">
        <v>2417</v>
      </c>
      <c r="L637" s="133" t="s">
        <v>2417</v>
      </c>
      <c r="M637" s="133" t="s">
        <v>2417</v>
      </c>
      <c r="N637" s="133" t="s">
        <v>2417</v>
      </c>
      <c r="O637" s="133" t="s">
        <v>2417</v>
      </c>
      <c r="P637" s="133" t="s">
        <v>2417</v>
      </c>
      <c r="Q637" s="133" t="s">
        <v>2417</v>
      </c>
      <c r="R637" s="133" t="s">
        <v>2417</v>
      </c>
      <c r="S637" s="123" t="s">
        <v>2619</v>
      </c>
      <c r="T637" s="133" t="s">
        <v>2417</v>
      </c>
      <c r="U637" s="133" t="s">
        <v>2417</v>
      </c>
      <c r="V637" s="133" t="s">
        <v>2417</v>
      </c>
      <c r="W637" s="133" t="s">
        <v>2417</v>
      </c>
      <c r="X637" s="133" t="s">
        <v>2417</v>
      </c>
      <c r="Y637" s="133" t="s">
        <v>2417</v>
      </c>
      <c r="Z637" s="133" t="s">
        <v>2417</v>
      </c>
      <c r="AA637" s="133" t="s">
        <v>2417</v>
      </c>
      <c r="AB637" s="133" t="s">
        <v>2417</v>
      </c>
      <c r="AC637" s="133" t="s">
        <v>2417</v>
      </c>
      <c r="AD637" s="133" t="s">
        <v>2417</v>
      </c>
      <c r="AE637" s="123"/>
    </row>
    <row r="638" spans="1:31" ht="20.399999999999999" hidden="1" outlineLevel="2">
      <c r="A638" s="68" t="s">
        <v>1603</v>
      </c>
      <c r="B638" s="63" t="s">
        <v>1516</v>
      </c>
      <c r="C638" s="387" t="s">
        <v>1517</v>
      </c>
      <c r="D638" s="351"/>
      <c r="E638" s="133" t="s">
        <v>2669</v>
      </c>
      <c r="F638" s="133" t="s">
        <v>2417</v>
      </c>
      <c r="G638" s="133" t="s">
        <v>2417</v>
      </c>
      <c r="H638" s="133" t="s">
        <v>2417</v>
      </c>
      <c r="I638" s="134" t="s">
        <v>2418</v>
      </c>
      <c r="J638" s="133" t="s">
        <v>2417</v>
      </c>
      <c r="K638" s="133" t="s">
        <v>2417</v>
      </c>
      <c r="L638" s="133" t="s">
        <v>2417</v>
      </c>
      <c r="M638" s="133" t="s">
        <v>2417</v>
      </c>
      <c r="N638" s="133" t="s">
        <v>2417</v>
      </c>
      <c r="O638" s="133" t="s">
        <v>2417</v>
      </c>
      <c r="P638" s="133" t="s">
        <v>2417</v>
      </c>
      <c r="Q638" s="133" t="s">
        <v>2417</v>
      </c>
      <c r="R638" s="133" t="s">
        <v>2417</v>
      </c>
      <c r="S638" s="133" t="s">
        <v>2417</v>
      </c>
      <c r="T638" s="133" t="s">
        <v>2417</v>
      </c>
      <c r="U638" s="133" t="s">
        <v>2417</v>
      </c>
      <c r="V638" s="133" t="s">
        <v>2417</v>
      </c>
      <c r="W638" s="133" t="s">
        <v>2417</v>
      </c>
      <c r="X638" s="133" t="s">
        <v>2417</v>
      </c>
      <c r="Y638" s="133" t="s">
        <v>2417</v>
      </c>
      <c r="Z638" s="133" t="s">
        <v>2417</v>
      </c>
      <c r="AA638" s="133" t="s">
        <v>2417</v>
      </c>
      <c r="AB638" s="133" t="s">
        <v>2417</v>
      </c>
      <c r="AC638" s="133" t="s">
        <v>2417</v>
      </c>
      <c r="AD638" s="133" t="s">
        <v>2417</v>
      </c>
      <c r="AE638" s="59"/>
    </row>
    <row r="639" spans="1:31" ht="20.399999999999999" hidden="1" outlineLevel="2">
      <c r="A639" s="68" t="s">
        <v>1604</v>
      </c>
      <c r="B639" s="63" t="s">
        <v>1605</v>
      </c>
      <c r="C639" s="387" t="s">
        <v>1520</v>
      </c>
      <c r="D639" s="351"/>
      <c r="E639" s="133" t="s">
        <v>2669</v>
      </c>
      <c r="F639" s="133" t="s">
        <v>2417</v>
      </c>
      <c r="G639" s="133" t="s">
        <v>2417</v>
      </c>
      <c r="H639" s="133" t="s">
        <v>2417</v>
      </c>
      <c r="I639" s="134" t="s">
        <v>2418</v>
      </c>
      <c r="J639" s="133" t="s">
        <v>2417</v>
      </c>
      <c r="K639" s="133" t="s">
        <v>2417</v>
      </c>
      <c r="L639" s="133" t="s">
        <v>2417</v>
      </c>
      <c r="M639" s="133" t="s">
        <v>2417</v>
      </c>
      <c r="N639" s="133" t="s">
        <v>2417</v>
      </c>
      <c r="O639" s="133" t="s">
        <v>2417</v>
      </c>
      <c r="P639" s="133" t="s">
        <v>2417</v>
      </c>
      <c r="Q639" s="133" t="s">
        <v>2417</v>
      </c>
      <c r="R639" s="133" t="s">
        <v>2417</v>
      </c>
      <c r="S639" s="133" t="s">
        <v>2417</v>
      </c>
      <c r="T639" s="133" t="s">
        <v>2417</v>
      </c>
      <c r="U639" s="133" t="s">
        <v>2417</v>
      </c>
      <c r="V639" s="133" t="s">
        <v>2417</v>
      </c>
      <c r="W639" s="133" t="s">
        <v>2417</v>
      </c>
      <c r="X639" s="133" t="s">
        <v>2417</v>
      </c>
      <c r="Y639" s="133" t="s">
        <v>2417</v>
      </c>
      <c r="Z639" s="133" t="s">
        <v>2417</v>
      </c>
      <c r="AA639" s="133" t="s">
        <v>2417</v>
      </c>
      <c r="AB639" s="133" t="s">
        <v>2417</v>
      </c>
      <c r="AC639" s="133" t="s">
        <v>2417</v>
      </c>
      <c r="AD639" s="133" t="s">
        <v>2417</v>
      </c>
      <c r="AE639" s="59"/>
    </row>
    <row r="640" spans="1:31" ht="20.399999999999999" hidden="1" outlineLevel="2">
      <c r="A640" s="68" t="s">
        <v>1606</v>
      </c>
      <c r="B640" s="64" t="s">
        <v>1522</v>
      </c>
      <c r="C640" s="387" t="s">
        <v>1523</v>
      </c>
      <c r="D640" s="351"/>
      <c r="E640" s="133" t="s">
        <v>2669</v>
      </c>
      <c r="F640" s="133" t="s">
        <v>2417</v>
      </c>
      <c r="G640" s="133" t="s">
        <v>2417</v>
      </c>
      <c r="H640" s="133" t="s">
        <v>2417</v>
      </c>
      <c r="I640" s="134" t="s">
        <v>2418</v>
      </c>
      <c r="J640" s="133" t="s">
        <v>2417</v>
      </c>
      <c r="K640" s="133" t="s">
        <v>2417</v>
      </c>
      <c r="L640" s="133" t="s">
        <v>2417</v>
      </c>
      <c r="M640" s="133" t="s">
        <v>2417</v>
      </c>
      <c r="N640" s="133" t="s">
        <v>2417</v>
      </c>
      <c r="O640" s="133" t="s">
        <v>2417</v>
      </c>
      <c r="P640" s="133" t="s">
        <v>2417</v>
      </c>
      <c r="Q640" s="133" t="s">
        <v>2417</v>
      </c>
      <c r="R640" s="133" t="s">
        <v>2417</v>
      </c>
      <c r="S640" s="133" t="s">
        <v>2417</v>
      </c>
      <c r="T640" s="133" t="s">
        <v>2417</v>
      </c>
      <c r="U640" s="133" t="s">
        <v>2417</v>
      </c>
      <c r="V640" s="133" t="s">
        <v>2417</v>
      </c>
      <c r="W640" s="133" t="s">
        <v>2417</v>
      </c>
      <c r="X640" s="133" t="s">
        <v>2417</v>
      </c>
      <c r="Y640" s="133" t="s">
        <v>2417</v>
      </c>
      <c r="Z640" s="133" t="s">
        <v>2417</v>
      </c>
      <c r="AA640" s="133" t="s">
        <v>2417</v>
      </c>
      <c r="AB640" s="133" t="s">
        <v>2417</v>
      </c>
      <c r="AC640" s="133" t="s">
        <v>2417</v>
      </c>
      <c r="AD640" s="133" t="s">
        <v>2417</v>
      </c>
      <c r="AE640" s="59"/>
    </row>
    <row r="641" spans="1:31" ht="20.399999999999999" hidden="1" outlineLevel="2">
      <c r="A641" s="68" t="s">
        <v>1607</v>
      </c>
      <c r="B641" s="62" t="s">
        <v>1525</v>
      </c>
      <c r="C641" s="387" t="s">
        <v>1526</v>
      </c>
      <c r="D641" s="351"/>
      <c r="E641" s="133" t="s">
        <v>2669</v>
      </c>
      <c r="F641" s="133" t="s">
        <v>2417</v>
      </c>
      <c r="G641" s="133" t="s">
        <v>2417</v>
      </c>
      <c r="H641" s="133" t="s">
        <v>2417</v>
      </c>
      <c r="I641" s="134" t="s">
        <v>2418</v>
      </c>
      <c r="J641" s="133" t="s">
        <v>2417</v>
      </c>
      <c r="K641" s="133" t="s">
        <v>2417</v>
      </c>
      <c r="L641" s="133" t="s">
        <v>2417</v>
      </c>
      <c r="M641" s="133" t="s">
        <v>2417</v>
      </c>
      <c r="N641" s="133" t="s">
        <v>2417</v>
      </c>
      <c r="O641" s="133" t="s">
        <v>2417</v>
      </c>
      <c r="P641" s="133" t="s">
        <v>2417</v>
      </c>
      <c r="Q641" s="133" t="s">
        <v>2417</v>
      </c>
      <c r="R641" s="133" t="s">
        <v>2417</v>
      </c>
      <c r="S641" s="133" t="s">
        <v>2417</v>
      </c>
      <c r="T641" s="133" t="s">
        <v>2417</v>
      </c>
      <c r="U641" s="133" t="s">
        <v>2417</v>
      </c>
      <c r="V641" s="133" t="s">
        <v>2417</v>
      </c>
      <c r="W641" s="133" t="s">
        <v>2417</v>
      </c>
      <c r="X641" s="133" t="s">
        <v>2417</v>
      </c>
      <c r="Y641" s="133" t="s">
        <v>2417</v>
      </c>
      <c r="Z641" s="133" t="s">
        <v>2417</v>
      </c>
      <c r="AA641" s="133" t="s">
        <v>2417</v>
      </c>
      <c r="AB641" s="133" t="s">
        <v>2417</v>
      </c>
      <c r="AC641" s="133" t="s">
        <v>2417</v>
      </c>
      <c r="AD641" s="133" t="s">
        <v>2417</v>
      </c>
      <c r="AE641" s="59"/>
    </row>
    <row r="642" spans="1:31" ht="20.399999999999999" hidden="1" outlineLevel="2">
      <c r="A642" s="68" t="s">
        <v>1608</v>
      </c>
      <c r="B642" s="63" t="s">
        <v>1528</v>
      </c>
      <c r="C642" s="387" t="s">
        <v>1529</v>
      </c>
      <c r="D642" s="351"/>
      <c r="E642" s="133" t="s">
        <v>2669</v>
      </c>
      <c r="F642" s="133" t="s">
        <v>2417</v>
      </c>
      <c r="G642" s="133" t="s">
        <v>2417</v>
      </c>
      <c r="H642" s="133" t="s">
        <v>2417</v>
      </c>
      <c r="I642" s="134" t="s">
        <v>2418</v>
      </c>
      <c r="J642" s="133" t="s">
        <v>2417</v>
      </c>
      <c r="K642" s="133" t="s">
        <v>2417</v>
      </c>
      <c r="L642" s="133" t="s">
        <v>2417</v>
      </c>
      <c r="M642" s="133" t="s">
        <v>2417</v>
      </c>
      <c r="N642" s="133" t="s">
        <v>2417</v>
      </c>
      <c r="O642" s="133" t="s">
        <v>2417</v>
      </c>
      <c r="P642" s="133" t="s">
        <v>2417</v>
      </c>
      <c r="Q642" s="133" t="s">
        <v>2417</v>
      </c>
      <c r="R642" s="133" t="s">
        <v>2417</v>
      </c>
      <c r="S642" s="133" t="s">
        <v>2417</v>
      </c>
      <c r="T642" s="133" t="s">
        <v>2417</v>
      </c>
      <c r="U642" s="133" t="s">
        <v>2417</v>
      </c>
      <c r="V642" s="133" t="s">
        <v>2417</v>
      </c>
      <c r="W642" s="133" t="s">
        <v>2417</v>
      </c>
      <c r="X642" s="133" t="s">
        <v>2417</v>
      </c>
      <c r="Y642" s="133" t="s">
        <v>2417</v>
      </c>
      <c r="Z642" s="133" t="s">
        <v>2417</v>
      </c>
      <c r="AA642" s="133" t="s">
        <v>2417</v>
      </c>
      <c r="AB642" s="133" t="s">
        <v>2417</v>
      </c>
      <c r="AC642" s="133" t="s">
        <v>2417</v>
      </c>
      <c r="AD642" s="133" t="s">
        <v>2417</v>
      </c>
      <c r="AE642" s="59"/>
    </row>
    <row r="643" spans="1:31" ht="20.399999999999999" hidden="1" outlineLevel="2">
      <c r="A643" s="68" t="s">
        <v>1609</v>
      </c>
      <c r="B643" s="63" t="s">
        <v>1531</v>
      </c>
      <c r="C643" s="387" t="s">
        <v>1610</v>
      </c>
      <c r="D643" s="351"/>
      <c r="E643" s="133" t="s">
        <v>2669</v>
      </c>
      <c r="F643" s="133" t="s">
        <v>2417</v>
      </c>
      <c r="G643" s="133" t="s">
        <v>2417</v>
      </c>
      <c r="H643" s="133" t="s">
        <v>2417</v>
      </c>
      <c r="I643" s="134" t="s">
        <v>2418</v>
      </c>
      <c r="J643" s="133" t="s">
        <v>2417</v>
      </c>
      <c r="K643" s="133" t="s">
        <v>2417</v>
      </c>
      <c r="L643" s="133" t="s">
        <v>2417</v>
      </c>
      <c r="M643" s="133" t="s">
        <v>2417</v>
      </c>
      <c r="N643" s="133" t="s">
        <v>2417</v>
      </c>
      <c r="O643" s="133" t="s">
        <v>2417</v>
      </c>
      <c r="P643" s="133" t="s">
        <v>2417</v>
      </c>
      <c r="Q643" s="133" t="s">
        <v>2417</v>
      </c>
      <c r="R643" s="133" t="s">
        <v>2417</v>
      </c>
      <c r="S643" s="133" t="s">
        <v>2417</v>
      </c>
      <c r="T643" s="133" t="s">
        <v>2417</v>
      </c>
      <c r="U643" s="133" t="s">
        <v>2417</v>
      </c>
      <c r="V643" s="133" t="s">
        <v>2417</v>
      </c>
      <c r="W643" s="133" t="s">
        <v>2417</v>
      </c>
      <c r="X643" s="133" t="s">
        <v>2417</v>
      </c>
      <c r="Y643" s="133" t="s">
        <v>2417</v>
      </c>
      <c r="Z643" s="133" t="s">
        <v>2417</v>
      </c>
      <c r="AA643" s="133" t="s">
        <v>2417</v>
      </c>
      <c r="AB643" s="133" t="s">
        <v>2417</v>
      </c>
      <c r="AC643" s="133" t="s">
        <v>2417</v>
      </c>
      <c r="AD643" s="133" t="s">
        <v>2417</v>
      </c>
      <c r="AE643" s="59"/>
    </row>
    <row r="644" spans="1:31" ht="13.2" hidden="1" outlineLevel="2">
      <c r="A644" s="68" t="s">
        <v>1611</v>
      </c>
      <c r="B644" s="63" t="s">
        <v>1534</v>
      </c>
      <c r="C644" s="387" t="s">
        <v>1535</v>
      </c>
      <c r="D644" s="351"/>
      <c r="E644" s="133" t="s">
        <v>2669</v>
      </c>
      <c r="F644" s="133" t="s">
        <v>2417</v>
      </c>
      <c r="G644" s="133" t="s">
        <v>2417</v>
      </c>
      <c r="H644" s="133" t="s">
        <v>2417</v>
      </c>
      <c r="I644" s="134" t="s">
        <v>2418</v>
      </c>
      <c r="J644" s="133" t="s">
        <v>2417</v>
      </c>
      <c r="K644" s="133" t="s">
        <v>2417</v>
      </c>
      <c r="L644" s="133" t="s">
        <v>2417</v>
      </c>
      <c r="M644" s="133" t="s">
        <v>2417</v>
      </c>
      <c r="N644" s="133" t="s">
        <v>2417</v>
      </c>
      <c r="O644" s="133" t="s">
        <v>2417</v>
      </c>
      <c r="P644" s="133" t="s">
        <v>2417</v>
      </c>
      <c r="Q644" s="133" t="s">
        <v>2417</v>
      </c>
      <c r="R644" s="133" t="s">
        <v>2417</v>
      </c>
      <c r="S644" s="133" t="s">
        <v>2417</v>
      </c>
      <c r="T644" s="133" t="s">
        <v>2417</v>
      </c>
      <c r="U644" s="133" t="s">
        <v>2417</v>
      </c>
      <c r="V644" s="133" t="s">
        <v>2417</v>
      </c>
      <c r="W644" s="133" t="s">
        <v>2417</v>
      </c>
      <c r="X644" s="133" t="s">
        <v>2417</v>
      </c>
      <c r="Y644" s="133" t="s">
        <v>2417</v>
      </c>
      <c r="Z644" s="133" t="s">
        <v>2417</v>
      </c>
      <c r="AA644" s="133" t="s">
        <v>2417</v>
      </c>
      <c r="AB644" s="133" t="s">
        <v>2417</v>
      </c>
      <c r="AC644" s="133" t="s">
        <v>2417</v>
      </c>
      <c r="AD644" s="133" t="s">
        <v>2417</v>
      </c>
      <c r="AE644" s="59"/>
    </row>
    <row r="645" spans="1:31" ht="20.399999999999999" hidden="1" outlineLevel="2">
      <c r="A645" s="68" t="s">
        <v>1612</v>
      </c>
      <c r="B645" s="63" t="s">
        <v>2672</v>
      </c>
      <c r="C645" s="360" t="s">
        <v>2673</v>
      </c>
      <c r="D645" s="351"/>
      <c r="E645" s="133" t="s">
        <v>2669</v>
      </c>
      <c r="F645" s="133" t="s">
        <v>2417</v>
      </c>
      <c r="G645" s="133" t="s">
        <v>2417</v>
      </c>
      <c r="H645" s="133" t="s">
        <v>2417</v>
      </c>
      <c r="I645" s="134" t="s">
        <v>2418</v>
      </c>
      <c r="J645" s="133" t="s">
        <v>2417</v>
      </c>
      <c r="K645" s="133" t="s">
        <v>2417</v>
      </c>
      <c r="L645" s="133" t="s">
        <v>2417</v>
      </c>
      <c r="M645" s="133" t="s">
        <v>2417</v>
      </c>
      <c r="N645" s="133" t="s">
        <v>2417</v>
      </c>
      <c r="O645" s="133" t="s">
        <v>2417</v>
      </c>
      <c r="P645" s="133" t="s">
        <v>2417</v>
      </c>
      <c r="Q645" s="133" t="s">
        <v>2417</v>
      </c>
      <c r="R645" s="133" t="s">
        <v>2417</v>
      </c>
      <c r="S645" s="123" t="s">
        <v>2619</v>
      </c>
      <c r="T645" s="133" t="s">
        <v>2417</v>
      </c>
      <c r="U645" s="133" t="s">
        <v>2417</v>
      </c>
      <c r="V645" s="133" t="s">
        <v>2417</v>
      </c>
      <c r="W645" s="133" t="s">
        <v>2417</v>
      </c>
      <c r="X645" s="133" t="s">
        <v>2417</v>
      </c>
      <c r="Y645" s="133" t="s">
        <v>2417</v>
      </c>
      <c r="Z645" s="133" t="s">
        <v>2417</v>
      </c>
      <c r="AA645" s="133" t="s">
        <v>2417</v>
      </c>
      <c r="AB645" s="133" t="s">
        <v>2417</v>
      </c>
      <c r="AC645" s="133" t="s">
        <v>2417</v>
      </c>
      <c r="AD645" s="133" t="s">
        <v>2417</v>
      </c>
      <c r="AE645" s="123"/>
    </row>
    <row r="646" spans="1:31" ht="20.399999999999999" hidden="1" outlineLevel="2">
      <c r="A646" s="68" t="s">
        <v>1615</v>
      </c>
      <c r="B646" s="63" t="s">
        <v>2674</v>
      </c>
      <c r="C646" s="360" t="s">
        <v>2675</v>
      </c>
      <c r="D646" s="351"/>
      <c r="E646" s="133" t="s">
        <v>2669</v>
      </c>
      <c r="F646" s="133" t="s">
        <v>2417</v>
      </c>
      <c r="G646" s="133" t="s">
        <v>2417</v>
      </c>
      <c r="H646" s="133" t="s">
        <v>2417</v>
      </c>
      <c r="I646" s="134" t="s">
        <v>2418</v>
      </c>
      <c r="J646" s="133" t="s">
        <v>2417</v>
      </c>
      <c r="K646" s="133" t="s">
        <v>2417</v>
      </c>
      <c r="L646" s="133" t="s">
        <v>2417</v>
      </c>
      <c r="M646" s="133" t="s">
        <v>2417</v>
      </c>
      <c r="N646" s="133" t="s">
        <v>2417</v>
      </c>
      <c r="O646" s="133" t="s">
        <v>2417</v>
      </c>
      <c r="P646" s="133" t="s">
        <v>2417</v>
      </c>
      <c r="Q646" s="133" t="s">
        <v>2417</v>
      </c>
      <c r="R646" s="133" t="s">
        <v>2417</v>
      </c>
      <c r="S646" s="123" t="s">
        <v>2619</v>
      </c>
      <c r="T646" s="133" t="s">
        <v>2417</v>
      </c>
      <c r="U646" s="133" t="s">
        <v>2417</v>
      </c>
      <c r="V646" s="133" t="s">
        <v>2417</v>
      </c>
      <c r="W646" s="133" t="s">
        <v>2417</v>
      </c>
      <c r="X646" s="133" t="s">
        <v>2417</v>
      </c>
      <c r="Y646" s="133" t="s">
        <v>2417</v>
      </c>
      <c r="Z646" s="133" t="s">
        <v>2417</v>
      </c>
      <c r="AA646" s="133" t="s">
        <v>2417</v>
      </c>
      <c r="AB646" s="133" t="s">
        <v>2417</v>
      </c>
      <c r="AC646" s="133" t="s">
        <v>2417</v>
      </c>
      <c r="AD646" s="133" t="s">
        <v>2417</v>
      </c>
      <c r="AE646" s="123"/>
    </row>
    <row r="647" spans="1:31" ht="20.399999999999999" hidden="1" outlineLevel="2">
      <c r="A647" s="68" t="s">
        <v>1618</v>
      </c>
      <c r="B647" s="63" t="s">
        <v>2676</v>
      </c>
      <c r="C647" s="360" t="s">
        <v>1544</v>
      </c>
      <c r="D647" s="351"/>
      <c r="E647" s="133" t="s">
        <v>2669</v>
      </c>
      <c r="F647" s="133" t="s">
        <v>2417</v>
      </c>
      <c r="G647" s="133" t="s">
        <v>2417</v>
      </c>
      <c r="H647" s="133" t="s">
        <v>2417</v>
      </c>
      <c r="I647" s="134" t="s">
        <v>2418</v>
      </c>
      <c r="J647" s="133" t="s">
        <v>2417</v>
      </c>
      <c r="K647" s="133" t="s">
        <v>2417</v>
      </c>
      <c r="L647" s="133" t="s">
        <v>2417</v>
      </c>
      <c r="M647" s="133" t="s">
        <v>2417</v>
      </c>
      <c r="N647" s="133" t="s">
        <v>2417</v>
      </c>
      <c r="O647" s="133" t="s">
        <v>2417</v>
      </c>
      <c r="P647" s="133" t="s">
        <v>2417</v>
      </c>
      <c r="Q647" s="133" t="s">
        <v>2417</v>
      </c>
      <c r="R647" s="133" t="s">
        <v>2417</v>
      </c>
      <c r="S647" s="123" t="s">
        <v>2619</v>
      </c>
      <c r="T647" s="133" t="s">
        <v>2417</v>
      </c>
      <c r="U647" s="133" t="s">
        <v>2417</v>
      </c>
      <c r="V647" s="133" t="s">
        <v>2417</v>
      </c>
      <c r="W647" s="133" t="s">
        <v>2417</v>
      </c>
      <c r="X647" s="133" t="s">
        <v>2417</v>
      </c>
      <c r="Y647" s="133" t="s">
        <v>2417</v>
      </c>
      <c r="Z647" s="133" t="s">
        <v>2417</v>
      </c>
      <c r="AA647" s="133" t="s">
        <v>2417</v>
      </c>
      <c r="AB647" s="133" t="s">
        <v>2417</v>
      </c>
      <c r="AC647" s="133" t="s">
        <v>2417</v>
      </c>
      <c r="AD647" s="133" t="s">
        <v>2417</v>
      </c>
      <c r="AE647" s="123"/>
    </row>
    <row r="648" spans="1:31" ht="20.399999999999999" hidden="1" outlineLevel="2">
      <c r="A648" s="68" t="s">
        <v>1620</v>
      </c>
      <c r="B648" s="63" t="s">
        <v>2677</v>
      </c>
      <c r="C648" s="360" t="s">
        <v>1544</v>
      </c>
      <c r="D648" s="351"/>
      <c r="E648" s="133" t="s">
        <v>2669</v>
      </c>
      <c r="F648" s="133" t="s">
        <v>2417</v>
      </c>
      <c r="G648" s="133" t="s">
        <v>2417</v>
      </c>
      <c r="H648" s="133" t="s">
        <v>2417</v>
      </c>
      <c r="I648" s="134" t="s">
        <v>2418</v>
      </c>
      <c r="J648" s="133" t="s">
        <v>2417</v>
      </c>
      <c r="K648" s="133" t="s">
        <v>2417</v>
      </c>
      <c r="L648" s="133" t="s">
        <v>2417</v>
      </c>
      <c r="M648" s="133" t="s">
        <v>2417</v>
      </c>
      <c r="N648" s="133" t="s">
        <v>2417</v>
      </c>
      <c r="O648" s="133" t="s">
        <v>2417</v>
      </c>
      <c r="P648" s="133" t="s">
        <v>2417</v>
      </c>
      <c r="Q648" s="133" t="s">
        <v>2417</v>
      </c>
      <c r="R648" s="133" t="s">
        <v>2417</v>
      </c>
      <c r="S648" s="123" t="s">
        <v>2619</v>
      </c>
      <c r="T648" s="133" t="s">
        <v>2417</v>
      </c>
      <c r="U648" s="133" t="s">
        <v>2417</v>
      </c>
      <c r="V648" s="133" t="s">
        <v>2417</v>
      </c>
      <c r="W648" s="133" t="s">
        <v>2417</v>
      </c>
      <c r="X648" s="133" t="s">
        <v>2417</v>
      </c>
      <c r="Y648" s="133" t="s">
        <v>2417</v>
      </c>
      <c r="Z648" s="133" t="s">
        <v>2417</v>
      </c>
      <c r="AA648" s="133" t="s">
        <v>2417</v>
      </c>
      <c r="AB648" s="133" t="s">
        <v>2417</v>
      </c>
      <c r="AC648" s="133" t="s">
        <v>2417</v>
      </c>
      <c r="AD648" s="133" t="s">
        <v>2417</v>
      </c>
      <c r="AE648" s="123"/>
    </row>
    <row r="649" spans="1:31" ht="20.399999999999999" hidden="1" outlineLevel="2">
      <c r="A649" s="68" t="s">
        <v>1622</v>
      </c>
      <c r="B649" s="63" t="s">
        <v>2678</v>
      </c>
      <c r="C649" s="360" t="s">
        <v>1544</v>
      </c>
      <c r="D649" s="351"/>
      <c r="E649" s="133" t="s">
        <v>2669</v>
      </c>
      <c r="F649" s="133" t="s">
        <v>2417</v>
      </c>
      <c r="G649" s="133" t="s">
        <v>2417</v>
      </c>
      <c r="H649" s="133" t="s">
        <v>2417</v>
      </c>
      <c r="I649" s="134" t="s">
        <v>2418</v>
      </c>
      <c r="J649" s="133" t="s">
        <v>2417</v>
      </c>
      <c r="K649" s="133" t="s">
        <v>2417</v>
      </c>
      <c r="L649" s="133" t="s">
        <v>2417</v>
      </c>
      <c r="M649" s="133" t="s">
        <v>2417</v>
      </c>
      <c r="N649" s="133" t="s">
        <v>2417</v>
      </c>
      <c r="O649" s="133" t="s">
        <v>2417</v>
      </c>
      <c r="P649" s="133" t="s">
        <v>2417</v>
      </c>
      <c r="Q649" s="133" t="s">
        <v>2417</v>
      </c>
      <c r="R649" s="133" t="s">
        <v>2417</v>
      </c>
      <c r="S649" s="123" t="s">
        <v>2619</v>
      </c>
      <c r="T649" s="133" t="s">
        <v>2417</v>
      </c>
      <c r="U649" s="133" t="s">
        <v>2417</v>
      </c>
      <c r="V649" s="133" t="s">
        <v>2417</v>
      </c>
      <c r="W649" s="133" t="s">
        <v>2417</v>
      </c>
      <c r="X649" s="133" t="s">
        <v>2417</v>
      </c>
      <c r="Y649" s="133" t="s">
        <v>2417</v>
      </c>
      <c r="Z649" s="133" t="s">
        <v>2417</v>
      </c>
      <c r="AA649" s="133" t="s">
        <v>2417</v>
      </c>
      <c r="AB649" s="133" t="s">
        <v>2417</v>
      </c>
      <c r="AC649" s="133" t="s">
        <v>2417</v>
      </c>
      <c r="AD649" s="133" t="s">
        <v>2417</v>
      </c>
      <c r="AE649" s="123"/>
    </row>
    <row r="650" spans="1:31" ht="20.399999999999999" hidden="1" outlineLevel="2">
      <c r="A650" s="68" t="s">
        <v>1624</v>
      </c>
      <c r="B650" s="63" t="s">
        <v>2679</v>
      </c>
      <c r="C650" s="360" t="s">
        <v>2680</v>
      </c>
      <c r="D650" s="351"/>
      <c r="E650" s="133" t="s">
        <v>2669</v>
      </c>
      <c r="F650" s="133" t="s">
        <v>2417</v>
      </c>
      <c r="G650" s="133" t="s">
        <v>2417</v>
      </c>
      <c r="H650" s="133" t="s">
        <v>2417</v>
      </c>
      <c r="I650" s="134" t="s">
        <v>2418</v>
      </c>
      <c r="J650" s="133" t="s">
        <v>2417</v>
      </c>
      <c r="K650" s="133" t="s">
        <v>2417</v>
      </c>
      <c r="L650" s="133" t="s">
        <v>2417</v>
      </c>
      <c r="M650" s="133" t="s">
        <v>2417</v>
      </c>
      <c r="N650" s="133" t="s">
        <v>2417</v>
      </c>
      <c r="O650" s="133" t="s">
        <v>2417</v>
      </c>
      <c r="P650" s="133" t="s">
        <v>2417</v>
      </c>
      <c r="Q650" s="133" t="s">
        <v>2417</v>
      </c>
      <c r="R650" s="133" t="s">
        <v>2417</v>
      </c>
      <c r="S650" s="123" t="s">
        <v>2619</v>
      </c>
      <c r="T650" s="133" t="s">
        <v>2417</v>
      </c>
      <c r="U650" s="133" t="s">
        <v>2417</v>
      </c>
      <c r="V650" s="133" t="s">
        <v>2417</v>
      </c>
      <c r="W650" s="133" t="s">
        <v>2417</v>
      </c>
      <c r="X650" s="133" t="s">
        <v>2417</v>
      </c>
      <c r="Y650" s="133" t="s">
        <v>2417</v>
      </c>
      <c r="Z650" s="133" t="s">
        <v>2595</v>
      </c>
      <c r="AA650" s="133" t="s">
        <v>2417</v>
      </c>
      <c r="AB650" s="133" t="s">
        <v>2417</v>
      </c>
      <c r="AC650" s="133" t="s">
        <v>2417</v>
      </c>
      <c r="AD650" s="133" t="s">
        <v>2417</v>
      </c>
      <c r="AE650" s="123"/>
    </row>
    <row r="651" spans="1:31" ht="20.399999999999999" hidden="1" outlineLevel="2">
      <c r="A651" s="68" t="s">
        <v>1624</v>
      </c>
      <c r="B651" s="62" t="s">
        <v>2628</v>
      </c>
      <c r="C651" s="355" t="s">
        <v>2629</v>
      </c>
      <c r="D651" s="351"/>
      <c r="E651" s="133" t="s">
        <v>2669</v>
      </c>
      <c r="F651" s="133" t="s">
        <v>2417</v>
      </c>
      <c r="G651" s="133" t="s">
        <v>2417</v>
      </c>
      <c r="H651" s="133" t="s">
        <v>2417</v>
      </c>
      <c r="I651" s="133" t="s">
        <v>2417</v>
      </c>
      <c r="J651" s="133" t="s">
        <v>2417</v>
      </c>
      <c r="K651" s="133" t="s">
        <v>2417</v>
      </c>
      <c r="L651" s="133" t="s">
        <v>2417</v>
      </c>
      <c r="M651" s="133" t="s">
        <v>2417</v>
      </c>
      <c r="N651" s="133" t="s">
        <v>2417</v>
      </c>
      <c r="O651" s="133" t="s">
        <v>2417</v>
      </c>
      <c r="P651" s="133" t="s">
        <v>2417</v>
      </c>
      <c r="Q651" s="133" t="s">
        <v>2417</v>
      </c>
      <c r="R651" s="133" t="s">
        <v>2417</v>
      </c>
      <c r="S651" s="133" t="s">
        <v>2417</v>
      </c>
      <c r="T651" s="133" t="s">
        <v>2417</v>
      </c>
      <c r="U651" s="133" t="s">
        <v>2417</v>
      </c>
      <c r="V651" s="133" t="s">
        <v>2417</v>
      </c>
      <c r="W651" s="133" t="s">
        <v>2417</v>
      </c>
      <c r="X651" s="133" t="s">
        <v>2417</v>
      </c>
      <c r="Y651" s="133" t="s">
        <v>2417</v>
      </c>
      <c r="Z651" s="133" t="s">
        <v>2596</v>
      </c>
      <c r="AA651" s="133" t="s">
        <v>2417</v>
      </c>
      <c r="AB651" s="133" t="s">
        <v>2417</v>
      </c>
      <c r="AC651" s="133" t="s">
        <v>2417</v>
      </c>
      <c r="AD651" s="133" t="s">
        <v>2417</v>
      </c>
      <c r="AE651" s="123"/>
    </row>
    <row r="652" spans="1:31" ht="30.6" hidden="1" outlineLevel="2">
      <c r="A652" s="68" t="s">
        <v>1627</v>
      </c>
      <c r="B652" s="63" t="s">
        <v>2681</v>
      </c>
      <c r="C652" s="360" t="s">
        <v>1554</v>
      </c>
      <c r="D652" s="351"/>
      <c r="E652" s="133" t="s">
        <v>2669</v>
      </c>
      <c r="F652" s="133" t="s">
        <v>2417</v>
      </c>
      <c r="G652" s="133" t="s">
        <v>2417</v>
      </c>
      <c r="H652" s="133" t="s">
        <v>2417</v>
      </c>
      <c r="I652" s="134" t="s">
        <v>2418</v>
      </c>
      <c r="J652" s="133" t="s">
        <v>2417</v>
      </c>
      <c r="K652" s="133" t="s">
        <v>2417</v>
      </c>
      <c r="L652" s="133" t="s">
        <v>2417</v>
      </c>
      <c r="M652" s="133" t="s">
        <v>2417</v>
      </c>
      <c r="N652" s="133" t="s">
        <v>2417</v>
      </c>
      <c r="O652" s="133" t="s">
        <v>2417</v>
      </c>
      <c r="P652" s="133" t="s">
        <v>2417</v>
      </c>
      <c r="Q652" s="133" t="s">
        <v>2417</v>
      </c>
      <c r="R652" s="133" t="s">
        <v>2417</v>
      </c>
      <c r="S652" s="123" t="s">
        <v>2619</v>
      </c>
      <c r="T652" s="133" t="s">
        <v>2417</v>
      </c>
      <c r="U652" s="133" t="s">
        <v>2417</v>
      </c>
      <c r="V652" s="133" t="s">
        <v>2417</v>
      </c>
      <c r="W652" s="133" t="s">
        <v>2417</v>
      </c>
      <c r="X652" s="133" t="s">
        <v>2417</v>
      </c>
      <c r="Y652" s="133" t="s">
        <v>2595</v>
      </c>
      <c r="Z652" s="133" t="s">
        <v>2417</v>
      </c>
      <c r="AA652" s="133" t="s">
        <v>2417</v>
      </c>
      <c r="AB652" s="133" t="s">
        <v>2417</v>
      </c>
      <c r="AC652" s="133" t="s">
        <v>2417</v>
      </c>
      <c r="AD652" s="133" t="s">
        <v>2417</v>
      </c>
      <c r="AE652" s="123"/>
    </row>
    <row r="653" spans="1:31" ht="20.399999999999999" hidden="1" outlineLevel="2">
      <c r="A653" s="68" t="s">
        <v>1627</v>
      </c>
      <c r="B653" s="62" t="s">
        <v>2631</v>
      </c>
      <c r="C653" s="355" t="s">
        <v>2632</v>
      </c>
      <c r="D653" s="351"/>
      <c r="E653" s="133" t="s">
        <v>2669</v>
      </c>
      <c r="F653" s="133" t="s">
        <v>2417</v>
      </c>
      <c r="G653" s="133" t="s">
        <v>2417</v>
      </c>
      <c r="H653" s="133" t="s">
        <v>2417</v>
      </c>
      <c r="I653" s="133" t="s">
        <v>2417</v>
      </c>
      <c r="J653" s="133" t="s">
        <v>2417</v>
      </c>
      <c r="K653" s="133" t="s">
        <v>2417</v>
      </c>
      <c r="L653" s="133" t="s">
        <v>2417</v>
      </c>
      <c r="M653" s="133" t="s">
        <v>2417</v>
      </c>
      <c r="N653" s="133" t="s">
        <v>2417</v>
      </c>
      <c r="O653" s="133" t="s">
        <v>2417</v>
      </c>
      <c r="P653" s="133" t="s">
        <v>2417</v>
      </c>
      <c r="Q653" s="133" t="s">
        <v>2417</v>
      </c>
      <c r="R653" s="133" t="s">
        <v>2417</v>
      </c>
      <c r="S653" s="133" t="s">
        <v>2417</v>
      </c>
      <c r="T653" s="133" t="s">
        <v>2417</v>
      </c>
      <c r="U653" s="133" t="s">
        <v>2417</v>
      </c>
      <c r="V653" s="133" t="s">
        <v>2417</v>
      </c>
      <c r="W653" s="133" t="s">
        <v>2417</v>
      </c>
      <c r="X653" s="133" t="s">
        <v>2417</v>
      </c>
      <c r="Y653" s="133" t="s">
        <v>2596</v>
      </c>
      <c r="Z653" s="133" t="s">
        <v>2417</v>
      </c>
      <c r="AA653" s="133" t="s">
        <v>2417</v>
      </c>
      <c r="AB653" s="133" t="s">
        <v>2417</v>
      </c>
      <c r="AC653" s="133" t="s">
        <v>2417</v>
      </c>
      <c r="AD653" s="133" t="s">
        <v>2417</v>
      </c>
      <c r="AE653" s="123"/>
    </row>
    <row r="654" spans="1:31" ht="20.399999999999999" hidden="1" outlineLevel="2">
      <c r="A654" s="68" t="s">
        <v>1629</v>
      </c>
      <c r="B654" s="63" t="s">
        <v>2682</v>
      </c>
      <c r="C654" s="360" t="s">
        <v>2683</v>
      </c>
      <c r="D654" s="351"/>
      <c r="E654" s="133" t="s">
        <v>2669</v>
      </c>
      <c r="F654" s="133" t="s">
        <v>2417</v>
      </c>
      <c r="G654" s="133" t="s">
        <v>2417</v>
      </c>
      <c r="H654" s="133" t="s">
        <v>2417</v>
      </c>
      <c r="I654" s="134" t="s">
        <v>2418</v>
      </c>
      <c r="J654" s="133" t="s">
        <v>2417</v>
      </c>
      <c r="K654" s="133" t="s">
        <v>2417</v>
      </c>
      <c r="L654" s="133" t="s">
        <v>2417</v>
      </c>
      <c r="M654" s="133" t="s">
        <v>2417</v>
      </c>
      <c r="N654" s="133" t="s">
        <v>2417</v>
      </c>
      <c r="O654" s="133" t="s">
        <v>2417</v>
      </c>
      <c r="P654" s="133" t="s">
        <v>2417</v>
      </c>
      <c r="Q654" s="133" t="s">
        <v>2417</v>
      </c>
      <c r="R654" s="133" t="s">
        <v>2417</v>
      </c>
      <c r="S654" s="123" t="s">
        <v>2619</v>
      </c>
      <c r="T654" s="133" t="s">
        <v>2417</v>
      </c>
      <c r="U654" s="133" t="s">
        <v>2417</v>
      </c>
      <c r="V654" s="133" t="s">
        <v>2417</v>
      </c>
      <c r="W654" s="133" t="s">
        <v>2417</v>
      </c>
      <c r="X654" s="133" t="s">
        <v>2417</v>
      </c>
      <c r="Y654" s="133" t="s">
        <v>2417</v>
      </c>
      <c r="Z654" s="133" t="s">
        <v>2417</v>
      </c>
      <c r="AA654" s="133" t="s">
        <v>2417</v>
      </c>
      <c r="AB654" s="133" t="s">
        <v>2417</v>
      </c>
      <c r="AC654" s="133" t="s">
        <v>2417</v>
      </c>
      <c r="AD654" s="133" t="s">
        <v>2417</v>
      </c>
      <c r="AE654" s="123"/>
    </row>
    <row r="655" spans="1:31" ht="20.399999999999999" hidden="1" outlineLevel="2">
      <c r="A655" s="68" t="s">
        <v>1632</v>
      </c>
      <c r="B655" s="63" t="s">
        <v>2684</v>
      </c>
      <c r="C655" s="360" t="s">
        <v>1560</v>
      </c>
      <c r="D655" s="351"/>
      <c r="E655" s="133" t="s">
        <v>2669</v>
      </c>
      <c r="F655" s="133" t="s">
        <v>2417</v>
      </c>
      <c r="G655" s="133" t="s">
        <v>2417</v>
      </c>
      <c r="H655" s="133" t="s">
        <v>2417</v>
      </c>
      <c r="I655" s="134" t="s">
        <v>2418</v>
      </c>
      <c r="J655" s="133" t="s">
        <v>2417</v>
      </c>
      <c r="K655" s="133" t="s">
        <v>2417</v>
      </c>
      <c r="L655" s="133" t="s">
        <v>2417</v>
      </c>
      <c r="M655" s="133" t="s">
        <v>2417</v>
      </c>
      <c r="N655" s="133" t="s">
        <v>2417</v>
      </c>
      <c r="O655" s="133" t="s">
        <v>2417</v>
      </c>
      <c r="P655" s="133" t="s">
        <v>2417</v>
      </c>
      <c r="Q655" s="133" t="s">
        <v>2417</v>
      </c>
      <c r="R655" s="133" t="s">
        <v>2417</v>
      </c>
      <c r="S655" s="123" t="s">
        <v>2619</v>
      </c>
      <c r="T655" s="133" t="s">
        <v>2417</v>
      </c>
      <c r="U655" s="133" t="s">
        <v>2417</v>
      </c>
      <c r="V655" s="133" t="s">
        <v>2417</v>
      </c>
      <c r="W655" s="133" t="s">
        <v>2417</v>
      </c>
      <c r="X655" s="133" t="s">
        <v>2417</v>
      </c>
      <c r="Y655" s="133" t="s">
        <v>2417</v>
      </c>
      <c r="Z655" s="133" t="s">
        <v>2417</v>
      </c>
      <c r="AA655" s="133" t="s">
        <v>2417</v>
      </c>
      <c r="AB655" s="133" t="s">
        <v>2417</v>
      </c>
      <c r="AC655" s="133" t="s">
        <v>2417</v>
      </c>
      <c r="AD655" s="133" t="s">
        <v>2417</v>
      </c>
      <c r="AE655" s="123"/>
    </row>
    <row r="656" spans="1:31" ht="20.399999999999999" hidden="1" outlineLevel="2">
      <c r="A656" s="68" t="s">
        <v>1634</v>
      </c>
      <c r="B656" s="63" t="s">
        <v>2685</v>
      </c>
      <c r="C656" s="360" t="s">
        <v>1566</v>
      </c>
      <c r="D656" s="351"/>
      <c r="E656" s="133" t="s">
        <v>2669</v>
      </c>
      <c r="F656" s="133" t="s">
        <v>2417</v>
      </c>
      <c r="G656" s="133" t="s">
        <v>2417</v>
      </c>
      <c r="H656" s="133" t="s">
        <v>2417</v>
      </c>
      <c r="I656" s="134" t="s">
        <v>2418</v>
      </c>
      <c r="J656" s="133" t="s">
        <v>2417</v>
      </c>
      <c r="K656" s="133" t="s">
        <v>2417</v>
      </c>
      <c r="L656" s="133" t="s">
        <v>2417</v>
      </c>
      <c r="M656" s="133" t="s">
        <v>2417</v>
      </c>
      <c r="N656" s="133" t="s">
        <v>2417</v>
      </c>
      <c r="O656" s="133" t="s">
        <v>2417</v>
      </c>
      <c r="P656" s="133" t="s">
        <v>2417</v>
      </c>
      <c r="Q656" s="133" t="s">
        <v>2417</v>
      </c>
      <c r="R656" s="133" t="s">
        <v>2417</v>
      </c>
      <c r="S656" s="123" t="s">
        <v>2619</v>
      </c>
      <c r="T656" s="133" t="s">
        <v>2417</v>
      </c>
      <c r="U656" s="133" t="s">
        <v>2417</v>
      </c>
      <c r="V656" s="133" t="s">
        <v>2417</v>
      </c>
      <c r="W656" s="133" t="s">
        <v>2417</v>
      </c>
      <c r="X656" s="133" t="s">
        <v>2417</v>
      </c>
      <c r="Y656" s="133" t="s">
        <v>2417</v>
      </c>
      <c r="Z656" s="133" t="s">
        <v>2417</v>
      </c>
      <c r="AA656" s="133" t="s">
        <v>2417</v>
      </c>
      <c r="AB656" s="133" t="s">
        <v>2417</v>
      </c>
      <c r="AC656" s="133" t="s">
        <v>2417</v>
      </c>
      <c r="AD656" s="133" t="s">
        <v>2417</v>
      </c>
      <c r="AE656" s="123"/>
    </row>
    <row r="657" spans="1:31" ht="20.399999999999999" hidden="1" outlineLevel="2">
      <c r="A657" s="68" t="s">
        <v>1636</v>
      </c>
      <c r="B657" s="62" t="s">
        <v>1568</v>
      </c>
      <c r="C657" s="355" t="s">
        <v>2636</v>
      </c>
      <c r="D657" s="351"/>
      <c r="E657" s="133" t="s">
        <v>2669</v>
      </c>
      <c r="F657" s="133" t="s">
        <v>2417</v>
      </c>
      <c r="G657" s="133" t="s">
        <v>2417</v>
      </c>
      <c r="H657" s="133" t="s">
        <v>2417</v>
      </c>
      <c r="I657" s="134" t="s">
        <v>2418</v>
      </c>
      <c r="J657" s="133" t="s">
        <v>2417</v>
      </c>
      <c r="K657" s="133" t="s">
        <v>2417</v>
      </c>
      <c r="L657" s="133" t="s">
        <v>2417</v>
      </c>
      <c r="M657" s="133" t="s">
        <v>2417</v>
      </c>
      <c r="N657" s="133" t="s">
        <v>2417</v>
      </c>
      <c r="O657" s="133" t="s">
        <v>2417</v>
      </c>
      <c r="P657" s="133" t="s">
        <v>2417</v>
      </c>
      <c r="Q657" s="133" t="s">
        <v>2417</v>
      </c>
      <c r="R657" s="133" t="s">
        <v>2417</v>
      </c>
      <c r="S657" s="133" t="s">
        <v>2417</v>
      </c>
      <c r="T657" s="133" t="s">
        <v>2417</v>
      </c>
      <c r="U657" s="133" t="s">
        <v>2417</v>
      </c>
      <c r="V657" s="133" t="s">
        <v>2417</v>
      </c>
      <c r="W657" s="59" t="s">
        <v>2595</v>
      </c>
      <c r="X657" s="133" t="s">
        <v>2417</v>
      </c>
      <c r="Y657" s="133" t="s">
        <v>2417</v>
      </c>
      <c r="Z657" s="133" t="s">
        <v>2417</v>
      </c>
      <c r="AA657" s="133" t="s">
        <v>2417</v>
      </c>
      <c r="AB657" s="133" t="s">
        <v>2417</v>
      </c>
      <c r="AC657" s="133" t="s">
        <v>2417</v>
      </c>
      <c r="AD657" s="133" t="s">
        <v>2417</v>
      </c>
      <c r="AE657" s="57"/>
    </row>
    <row r="658" spans="1:31" ht="20.399999999999999" hidden="1" outlineLevel="2">
      <c r="A658" s="68" t="s">
        <v>1636</v>
      </c>
      <c r="B658" s="63" t="s">
        <v>1568</v>
      </c>
      <c r="C658" s="387" t="s">
        <v>2686</v>
      </c>
      <c r="D658" s="351"/>
      <c r="E658" s="133" t="s">
        <v>2669</v>
      </c>
      <c r="F658" s="133" t="s">
        <v>2417</v>
      </c>
      <c r="G658" s="133" t="s">
        <v>2417</v>
      </c>
      <c r="H658" s="133" t="s">
        <v>2417</v>
      </c>
      <c r="I658" s="134" t="s">
        <v>2418</v>
      </c>
      <c r="J658" s="133" t="s">
        <v>2417</v>
      </c>
      <c r="K658" s="133" t="s">
        <v>2417</v>
      </c>
      <c r="L658" s="133" t="s">
        <v>2417</v>
      </c>
      <c r="M658" s="133" t="s">
        <v>2417</v>
      </c>
      <c r="N658" s="133" t="s">
        <v>2417</v>
      </c>
      <c r="O658" s="133" t="s">
        <v>2417</v>
      </c>
      <c r="P658" s="133" t="s">
        <v>2417</v>
      </c>
      <c r="Q658" s="133" t="s">
        <v>2417</v>
      </c>
      <c r="R658" s="133" t="s">
        <v>2417</v>
      </c>
      <c r="S658" s="133" t="s">
        <v>2417</v>
      </c>
      <c r="T658" s="133" t="s">
        <v>2417</v>
      </c>
      <c r="U658" s="133" t="s">
        <v>2417</v>
      </c>
      <c r="V658" s="133" t="s">
        <v>2417</v>
      </c>
      <c r="W658" s="59" t="s">
        <v>2596</v>
      </c>
      <c r="X658" s="133" t="s">
        <v>2417</v>
      </c>
      <c r="Y658" s="133" t="s">
        <v>2417</v>
      </c>
      <c r="Z658" s="133" t="s">
        <v>2417</v>
      </c>
      <c r="AA658" s="133" t="s">
        <v>2417</v>
      </c>
      <c r="AB658" s="133" t="s">
        <v>2417</v>
      </c>
      <c r="AC658" s="133" t="s">
        <v>2417</v>
      </c>
      <c r="AD658" s="133" t="s">
        <v>2417</v>
      </c>
      <c r="AE658" s="57"/>
    </row>
    <row r="659" spans="1:31" ht="20.399999999999999" hidden="1" outlineLevel="2">
      <c r="A659" s="68" t="s">
        <v>1638</v>
      </c>
      <c r="B659" s="79" t="s">
        <v>1571</v>
      </c>
      <c r="C659" s="387" t="s">
        <v>1639</v>
      </c>
      <c r="D659" s="351"/>
      <c r="E659" s="133" t="s">
        <v>2669</v>
      </c>
      <c r="F659" s="133" t="s">
        <v>2417</v>
      </c>
      <c r="G659" s="133" t="s">
        <v>2417</v>
      </c>
      <c r="H659" s="133" t="s">
        <v>2417</v>
      </c>
      <c r="I659" s="134" t="s">
        <v>2418</v>
      </c>
      <c r="J659" s="133" t="s">
        <v>2417</v>
      </c>
      <c r="K659" s="133" t="s">
        <v>2417</v>
      </c>
      <c r="L659" s="133" t="s">
        <v>2417</v>
      </c>
      <c r="M659" s="133" t="s">
        <v>2417</v>
      </c>
      <c r="N659" s="133" t="s">
        <v>2417</v>
      </c>
      <c r="O659" s="133" t="s">
        <v>2417</v>
      </c>
      <c r="P659" s="133" t="s">
        <v>2417</v>
      </c>
      <c r="Q659" s="133" t="s">
        <v>2417</v>
      </c>
      <c r="R659" s="133" t="s">
        <v>2417</v>
      </c>
      <c r="S659" s="133" t="s">
        <v>2417</v>
      </c>
      <c r="T659" s="133" t="s">
        <v>2417</v>
      </c>
      <c r="U659" s="133" t="s">
        <v>2417</v>
      </c>
      <c r="V659" s="133" t="s">
        <v>2417</v>
      </c>
      <c r="W659" s="59" t="s">
        <v>2596</v>
      </c>
      <c r="X659" s="133" t="s">
        <v>2417</v>
      </c>
      <c r="Y659" s="133" t="s">
        <v>2417</v>
      </c>
      <c r="Z659" s="133" t="s">
        <v>2417</v>
      </c>
      <c r="AA659" s="133" t="s">
        <v>2417</v>
      </c>
      <c r="AB659" s="133" t="s">
        <v>2417</v>
      </c>
      <c r="AC659" s="133" t="s">
        <v>2417</v>
      </c>
      <c r="AD659" s="133" t="s">
        <v>2417</v>
      </c>
      <c r="AE659" s="57"/>
    </row>
    <row r="660" spans="1:31" ht="20.399999999999999" hidden="1" outlineLevel="2">
      <c r="A660" s="68" t="s">
        <v>2687</v>
      </c>
      <c r="B660" s="79" t="s">
        <v>1577</v>
      </c>
      <c r="C660" s="387" t="s">
        <v>1578</v>
      </c>
      <c r="D660" s="351"/>
      <c r="E660" s="133" t="s">
        <v>2669</v>
      </c>
      <c r="F660" s="133" t="s">
        <v>2417</v>
      </c>
      <c r="G660" s="133" t="s">
        <v>2417</v>
      </c>
      <c r="H660" s="133" t="s">
        <v>2417</v>
      </c>
      <c r="I660" s="134" t="s">
        <v>2418</v>
      </c>
      <c r="J660" s="133" t="s">
        <v>2417</v>
      </c>
      <c r="K660" s="133" t="s">
        <v>2417</v>
      </c>
      <c r="L660" s="133" t="s">
        <v>2417</v>
      </c>
      <c r="M660" s="133" t="s">
        <v>2417</v>
      </c>
      <c r="N660" s="133" t="s">
        <v>2417</v>
      </c>
      <c r="O660" s="133" t="s">
        <v>2417</v>
      </c>
      <c r="P660" s="133" t="s">
        <v>2417</v>
      </c>
      <c r="Q660" s="133" t="s">
        <v>2417</v>
      </c>
      <c r="R660" s="133" t="s">
        <v>2417</v>
      </c>
      <c r="S660" s="133" t="s">
        <v>2417</v>
      </c>
      <c r="T660" s="133" t="s">
        <v>2417</v>
      </c>
      <c r="U660" s="133" t="s">
        <v>2417</v>
      </c>
      <c r="V660" s="133" t="s">
        <v>2417</v>
      </c>
      <c r="W660" s="59" t="s">
        <v>2596</v>
      </c>
      <c r="X660" s="133" t="s">
        <v>2417</v>
      </c>
      <c r="Y660" s="133" t="s">
        <v>2417</v>
      </c>
      <c r="Z660" s="133" t="s">
        <v>2417</v>
      </c>
      <c r="AA660" s="133" t="s">
        <v>2417</v>
      </c>
      <c r="AB660" s="133" t="s">
        <v>2417</v>
      </c>
      <c r="AC660" s="133" t="s">
        <v>2417</v>
      </c>
      <c r="AD660" s="133" t="s">
        <v>2417</v>
      </c>
      <c r="AE660" s="57"/>
    </row>
    <row r="661" spans="1:31" ht="20.399999999999999" hidden="1" outlineLevel="2">
      <c r="A661" s="68" t="s">
        <v>1640</v>
      </c>
      <c r="B661" s="62" t="s">
        <v>1580</v>
      </c>
      <c r="C661" s="355" t="s">
        <v>2640</v>
      </c>
      <c r="D661" s="351"/>
      <c r="E661" s="133" t="s">
        <v>2669</v>
      </c>
      <c r="F661" s="133" t="s">
        <v>2417</v>
      </c>
      <c r="G661" s="133" t="s">
        <v>2417</v>
      </c>
      <c r="H661" s="133" t="s">
        <v>2417</v>
      </c>
      <c r="I661" s="134" t="s">
        <v>2418</v>
      </c>
      <c r="J661" s="133" t="s">
        <v>2417</v>
      </c>
      <c r="K661" s="133" t="s">
        <v>2417</v>
      </c>
      <c r="L661" s="133" t="s">
        <v>2417</v>
      </c>
      <c r="M661" s="133" t="s">
        <v>2417</v>
      </c>
      <c r="N661" s="133" t="s">
        <v>2417</v>
      </c>
      <c r="O661" s="133" t="s">
        <v>2417</v>
      </c>
      <c r="P661" s="133" t="s">
        <v>2417</v>
      </c>
      <c r="Q661" s="133" t="s">
        <v>2417</v>
      </c>
      <c r="R661" s="133" t="s">
        <v>2417</v>
      </c>
      <c r="S661" s="133" t="s">
        <v>2417</v>
      </c>
      <c r="T661" s="133" t="s">
        <v>2417</v>
      </c>
      <c r="U661" s="133" t="s">
        <v>2417</v>
      </c>
      <c r="V661" s="133" t="s">
        <v>2417</v>
      </c>
      <c r="W661" s="133" t="s">
        <v>2417</v>
      </c>
      <c r="X661" s="59" t="s">
        <v>2595</v>
      </c>
      <c r="Y661" s="133" t="s">
        <v>2417</v>
      </c>
      <c r="Z661" s="133" t="s">
        <v>2417</v>
      </c>
      <c r="AA661" s="133" t="s">
        <v>2417</v>
      </c>
      <c r="AB661" s="133" t="s">
        <v>2417</v>
      </c>
      <c r="AC661" s="133" t="s">
        <v>2417</v>
      </c>
      <c r="AD661" s="133" t="s">
        <v>2417</v>
      </c>
      <c r="AE661" s="57"/>
    </row>
    <row r="662" spans="1:31" ht="20.399999999999999" hidden="1" outlineLevel="2">
      <c r="A662" s="68" t="s">
        <v>1640</v>
      </c>
      <c r="B662" s="62" t="s">
        <v>1580</v>
      </c>
      <c r="C662" s="387" t="s">
        <v>2688</v>
      </c>
      <c r="D662" s="351"/>
      <c r="E662" s="133" t="s">
        <v>2669</v>
      </c>
      <c r="F662" s="133" t="s">
        <v>2417</v>
      </c>
      <c r="G662" s="133" t="s">
        <v>2417</v>
      </c>
      <c r="H662" s="133" t="s">
        <v>2417</v>
      </c>
      <c r="I662" s="134" t="s">
        <v>2418</v>
      </c>
      <c r="J662" s="133" t="s">
        <v>2417</v>
      </c>
      <c r="K662" s="133" t="s">
        <v>2417</v>
      </c>
      <c r="L662" s="133" t="s">
        <v>2417</v>
      </c>
      <c r="M662" s="133" t="s">
        <v>2417</v>
      </c>
      <c r="N662" s="133" t="s">
        <v>2417</v>
      </c>
      <c r="O662" s="133" t="s">
        <v>2417</v>
      </c>
      <c r="P662" s="133" t="s">
        <v>2417</v>
      </c>
      <c r="Q662" s="133" t="s">
        <v>2417</v>
      </c>
      <c r="R662" s="133" t="s">
        <v>2417</v>
      </c>
      <c r="S662" s="133" t="s">
        <v>2417</v>
      </c>
      <c r="T662" s="133" t="s">
        <v>2417</v>
      </c>
      <c r="U662" s="133" t="s">
        <v>2417</v>
      </c>
      <c r="V662" s="133" t="s">
        <v>2417</v>
      </c>
      <c r="W662" s="133" t="s">
        <v>2417</v>
      </c>
      <c r="X662" s="59" t="s">
        <v>2596</v>
      </c>
      <c r="Y662" s="133" t="s">
        <v>2417</v>
      </c>
      <c r="Z662" s="133" t="s">
        <v>2417</v>
      </c>
      <c r="AA662" s="133" t="s">
        <v>2417</v>
      </c>
      <c r="AB662" s="133" t="s">
        <v>2417</v>
      </c>
      <c r="AC662" s="133" t="s">
        <v>2417</v>
      </c>
      <c r="AD662" s="133" t="s">
        <v>2417</v>
      </c>
      <c r="AE662" s="57"/>
    </row>
    <row r="663" spans="1:31" ht="20.399999999999999" hidden="1" outlineLevel="2">
      <c r="A663" s="68" t="s">
        <v>1642</v>
      </c>
      <c r="B663" s="79" t="s">
        <v>1583</v>
      </c>
      <c r="C663" s="387" t="s">
        <v>1584</v>
      </c>
      <c r="D663" s="351"/>
      <c r="E663" s="133" t="s">
        <v>2669</v>
      </c>
      <c r="F663" s="133" t="s">
        <v>2417</v>
      </c>
      <c r="G663" s="133" t="s">
        <v>2417</v>
      </c>
      <c r="H663" s="133" t="s">
        <v>2417</v>
      </c>
      <c r="I663" s="134" t="s">
        <v>2418</v>
      </c>
      <c r="J663" s="133" t="s">
        <v>2417</v>
      </c>
      <c r="K663" s="133" t="s">
        <v>2417</v>
      </c>
      <c r="L663" s="133" t="s">
        <v>2417</v>
      </c>
      <c r="M663" s="133" t="s">
        <v>2417</v>
      </c>
      <c r="N663" s="133" t="s">
        <v>2417</v>
      </c>
      <c r="O663" s="133" t="s">
        <v>2417</v>
      </c>
      <c r="P663" s="133" t="s">
        <v>2417</v>
      </c>
      <c r="Q663" s="133" t="s">
        <v>2417</v>
      </c>
      <c r="R663" s="133" t="s">
        <v>2417</v>
      </c>
      <c r="S663" s="133" t="s">
        <v>2417</v>
      </c>
      <c r="T663" s="133" t="s">
        <v>2417</v>
      </c>
      <c r="U663" s="133" t="s">
        <v>2417</v>
      </c>
      <c r="V663" s="133" t="s">
        <v>2417</v>
      </c>
      <c r="W663" s="133" t="s">
        <v>2417</v>
      </c>
      <c r="X663" s="59" t="s">
        <v>2596</v>
      </c>
      <c r="Y663" s="133" t="s">
        <v>2417</v>
      </c>
      <c r="Z663" s="133" t="s">
        <v>2417</v>
      </c>
      <c r="AA663" s="133" t="s">
        <v>2417</v>
      </c>
      <c r="AB663" s="133" t="s">
        <v>2417</v>
      </c>
      <c r="AC663" s="133" t="s">
        <v>2417</v>
      </c>
      <c r="AD663" s="133" t="s">
        <v>2417</v>
      </c>
      <c r="AE663" s="57"/>
    </row>
    <row r="664" spans="1:31" ht="13.2" hidden="1" outlineLevel="2">
      <c r="A664" s="68" t="s">
        <v>1643</v>
      </c>
      <c r="B664" s="63" t="s">
        <v>1586</v>
      </c>
      <c r="C664" s="387" t="s">
        <v>1587</v>
      </c>
      <c r="D664" s="351"/>
      <c r="E664" s="133" t="s">
        <v>2669</v>
      </c>
      <c r="F664" s="133" t="s">
        <v>2417</v>
      </c>
      <c r="G664" s="133" t="s">
        <v>2417</v>
      </c>
      <c r="H664" s="133" t="s">
        <v>2417</v>
      </c>
      <c r="I664" s="134" t="s">
        <v>2418</v>
      </c>
      <c r="J664" s="133" t="s">
        <v>2417</v>
      </c>
      <c r="K664" s="133" t="s">
        <v>2417</v>
      </c>
      <c r="L664" s="133" t="s">
        <v>2417</v>
      </c>
      <c r="M664" s="133" t="s">
        <v>2417</v>
      </c>
      <c r="N664" s="133" t="s">
        <v>2417</v>
      </c>
      <c r="O664" s="133" t="s">
        <v>2417</v>
      </c>
      <c r="P664" s="133" t="s">
        <v>2417</v>
      </c>
      <c r="Q664" s="133" t="s">
        <v>2417</v>
      </c>
      <c r="R664" s="133" t="s">
        <v>2417</v>
      </c>
      <c r="S664" s="133" t="s">
        <v>2417</v>
      </c>
      <c r="T664" s="133" t="s">
        <v>2417</v>
      </c>
      <c r="U664" s="133" t="s">
        <v>2417</v>
      </c>
      <c r="V664" s="133" t="s">
        <v>2417</v>
      </c>
      <c r="W664" s="132" t="s">
        <v>2417</v>
      </c>
      <c r="X664" s="132" t="s">
        <v>2417</v>
      </c>
      <c r="Y664" s="132" t="s">
        <v>2417</v>
      </c>
      <c r="Z664" s="132" t="s">
        <v>2417</v>
      </c>
      <c r="AA664" s="133" t="s">
        <v>2417</v>
      </c>
      <c r="AB664" s="133" t="s">
        <v>2417</v>
      </c>
      <c r="AC664" s="133" t="s">
        <v>2417</v>
      </c>
      <c r="AD664" s="133" t="s">
        <v>2417</v>
      </c>
      <c r="AE664" s="59"/>
    </row>
    <row r="665" spans="1:31" ht="13.2" hidden="1" outlineLevel="2">
      <c r="A665" s="68" t="s">
        <v>1644</v>
      </c>
      <c r="B665" s="62" t="s">
        <v>1589</v>
      </c>
      <c r="C665" s="387" t="s">
        <v>2689</v>
      </c>
      <c r="D665" s="351"/>
      <c r="E665" s="133" t="s">
        <v>2669</v>
      </c>
      <c r="F665" s="133" t="s">
        <v>2417</v>
      </c>
      <c r="G665" s="133" t="s">
        <v>2417</v>
      </c>
      <c r="H665" s="133" t="s">
        <v>2417</v>
      </c>
      <c r="I665" s="134" t="s">
        <v>2418</v>
      </c>
      <c r="J665" s="133" t="s">
        <v>2417</v>
      </c>
      <c r="K665" s="133" t="s">
        <v>2417</v>
      </c>
      <c r="L665" s="133" t="s">
        <v>2417</v>
      </c>
      <c r="M665" s="133" t="s">
        <v>2417</v>
      </c>
      <c r="N665" s="133" t="s">
        <v>2417</v>
      </c>
      <c r="O665" s="133" t="s">
        <v>2417</v>
      </c>
      <c r="P665" s="133" t="s">
        <v>2417</v>
      </c>
      <c r="Q665" s="133" t="s">
        <v>2417</v>
      </c>
      <c r="R665" s="133" t="s">
        <v>2417</v>
      </c>
      <c r="S665" s="133" t="s">
        <v>2417</v>
      </c>
      <c r="T665" s="133" t="s">
        <v>2417</v>
      </c>
      <c r="U665" s="133" t="s">
        <v>2417</v>
      </c>
      <c r="V665" s="133" t="s">
        <v>2417</v>
      </c>
      <c r="W665" s="132" t="s">
        <v>2417</v>
      </c>
      <c r="X665" s="132" t="s">
        <v>2417</v>
      </c>
      <c r="Y665" s="132" t="s">
        <v>2417</v>
      </c>
      <c r="Z665" s="132" t="s">
        <v>2417</v>
      </c>
      <c r="AA665" s="133" t="s">
        <v>2417</v>
      </c>
      <c r="AB665" s="133" t="s">
        <v>2417</v>
      </c>
      <c r="AC665" s="133" t="s">
        <v>2417</v>
      </c>
      <c r="AD665" s="133" t="s">
        <v>2417</v>
      </c>
      <c r="AE665" s="59"/>
    </row>
    <row r="666" spans="1:31" ht="13.2" hidden="1" outlineLevel="2">
      <c r="A666" s="68" t="s">
        <v>1646</v>
      </c>
      <c r="B666" s="91" t="s">
        <v>1592</v>
      </c>
      <c r="C666" s="396" t="s">
        <v>2690</v>
      </c>
      <c r="D666" s="351"/>
      <c r="E666" s="133" t="s">
        <v>2669</v>
      </c>
      <c r="F666" s="133" t="s">
        <v>2417</v>
      </c>
      <c r="G666" s="133" t="s">
        <v>2417</v>
      </c>
      <c r="H666" s="133" t="s">
        <v>2417</v>
      </c>
      <c r="I666" s="134" t="s">
        <v>2418</v>
      </c>
      <c r="J666" s="133" t="s">
        <v>2417</v>
      </c>
      <c r="K666" s="133" t="s">
        <v>2417</v>
      </c>
      <c r="L666" s="133" t="s">
        <v>2417</v>
      </c>
      <c r="M666" s="133" t="s">
        <v>2417</v>
      </c>
      <c r="N666" s="133" t="s">
        <v>2417</v>
      </c>
      <c r="O666" s="133" t="s">
        <v>2417</v>
      </c>
      <c r="P666" s="133" t="s">
        <v>2417</v>
      </c>
      <c r="Q666" s="133" t="s">
        <v>2417</v>
      </c>
      <c r="R666" s="133" t="s">
        <v>2417</v>
      </c>
      <c r="S666" s="133" t="s">
        <v>2417</v>
      </c>
      <c r="T666" s="133" t="s">
        <v>2417</v>
      </c>
      <c r="U666" s="133" t="s">
        <v>2417</v>
      </c>
      <c r="V666" s="167" t="s">
        <v>2596</v>
      </c>
      <c r="W666" s="132" t="s">
        <v>2417</v>
      </c>
      <c r="X666" s="132" t="s">
        <v>2417</v>
      </c>
      <c r="Y666" s="132" t="s">
        <v>2417</v>
      </c>
      <c r="Z666" s="132" t="s">
        <v>2417</v>
      </c>
      <c r="AA666" s="133" t="s">
        <v>2417</v>
      </c>
      <c r="AB666" s="133" t="s">
        <v>2417</v>
      </c>
      <c r="AC666" s="133" t="s">
        <v>2417</v>
      </c>
      <c r="AD666" s="133" t="s">
        <v>2417</v>
      </c>
      <c r="AE666" s="167"/>
    </row>
    <row r="667" spans="1:31" ht="13.2" hidden="1" outlineLevel="2">
      <c r="A667" s="68" t="s">
        <v>2667</v>
      </c>
      <c r="B667" s="91" t="s">
        <v>2644</v>
      </c>
      <c r="C667" s="387" t="s">
        <v>2645</v>
      </c>
      <c r="D667" s="351"/>
      <c r="E667" s="133" t="s">
        <v>2669</v>
      </c>
      <c r="F667" s="133" t="s">
        <v>2417</v>
      </c>
      <c r="G667" s="133" t="s">
        <v>2417</v>
      </c>
      <c r="H667" s="133" t="s">
        <v>2417</v>
      </c>
      <c r="I667" s="134" t="s">
        <v>2418</v>
      </c>
      <c r="J667" s="133" t="s">
        <v>2500</v>
      </c>
      <c r="K667" s="133" t="s">
        <v>2417</v>
      </c>
      <c r="L667" s="133" t="s">
        <v>2417</v>
      </c>
      <c r="M667" s="133" t="s">
        <v>2417</v>
      </c>
      <c r="N667" s="133" t="s">
        <v>2417</v>
      </c>
      <c r="O667" s="133" t="s">
        <v>2417</v>
      </c>
      <c r="P667" s="133" t="s">
        <v>2417</v>
      </c>
      <c r="Q667" s="133" t="s">
        <v>2417</v>
      </c>
      <c r="R667" s="133" t="s">
        <v>2417</v>
      </c>
      <c r="S667" s="133" t="s">
        <v>2417</v>
      </c>
      <c r="T667" s="133" t="s">
        <v>2417</v>
      </c>
      <c r="U667" s="133" t="s">
        <v>2417</v>
      </c>
      <c r="V667" s="135" t="s">
        <v>2595</v>
      </c>
      <c r="W667" s="132" t="s">
        <v>2417</v>
      </c>
      <c r="X667" s="132" t="s">
        <v>2417</v>
      </c>
      <c r="Y667" s="132" t="s">
        <v>2417</v>
      </c>
      <c r="Z667" s="132" t="s">
        <v>2417</v>
      </c>
      <c r="AA667" s="133" t="s">
        <v>2417</v>
      </c>
      <c r="AB667" s="133" t="s">
        <v>2417</v>
      </c>
      <c r="AC667" s="133" t="s">
        <v>2417</v>
      </c>
      <c r="AD667" s="133" t="s">
        <v>2417</v>
      </c>
      <c r="AE667" s="167"/>
    </row>
    <row r="668" spans="1:31" ht="13.2" hidden="1" outlineLevel="1">
      <c r="A668" s="384" t="s">
        <v>2691</v>
      </c>
      <c r="B668" s="350"/>
      <c r="C668" s="350"/>
      <c r="D668" s="351"/>
      <c r="E668" s="133" t="s">
        <v>2692</v>
      </c>
      <c r="F668" s="133" t="s">
        <v>2417</v>
      </c>
      <c r="G668" s="133" t="s">
        <v>2417</v>
      </c>
      <c r="H668" s="133" t="s">
        <v>2417</v>
      </c>
      <c r="I668" s="134" t="s">
        <v>2418</v>
      </c>
      <c r="J668" s="133" t="s">
        <v>2417</v>
      </c>
      <c r="K668" s="133" t="s">
        <v>2417</v>
      </c>
      <c r="L668" s="133" t="s">
        <v>2417</v>
      </c>
      <c r="M668" s="133" t="s">
        <v>2417</v>
      </c>
      <c r="N668" s="133" t="s">
        <v>2417</v>
      </c>
      <c r="O668" s="133" t="s">
        <v>2417</v>
      </c>
      <c r="P668" s="133" t="s">
        <v>2417</v>
      </c>
      <c r="Q668" s="133" t="s">
        <v>2417</v>
      </c>
      <c r="R668" s="133" t="s">
        <v>2417</v>
      </c>
      <c r="S668" s="133" t="s">
        <v>2417</v>
      </c>
      <c r="T668" s="133" t="s">
        <v>2417</v>
      </c>
      <c r="U668" s="133" t="s">
        <v>2417</v>
      </c>
      <c r="V668" s="133" t="s">
        <v>2417</v>
      </c>
      <c r="W668" s="133" t="s">
        <v>2417</v>
      </c>
      <c r="X668" s="133" t="s">
        <v>2417</v>
      </c>
      <c r="Y668" s="133" t="s">
        <v>2417</v>
      </c>
      <c r="Z668" s="133" t="s">
        <v>2417</v>
      </c>
      <c r="AA668" s="133" t="s">
        <v>2417</v>
      </c>
      <c r="AB668" s="133" t="s">
        <v>2417</v>
      </c>
      <c r="AC668" s="133" t="s">
        <v>2417</v>
      </c>
      <c r="AD668" s="133" t="s">
        <v>2417</v>
      </c>
      <c r="AE668" s="168"/>
    </row>
    <row r="669" spans="1:31" ht="13.2" hidden="1" outlineLevel="2">
      <c r="A669" s="68" t="s">
        <v>1649</v>
      </c>
      <c r="B669" s="64"/>
      <c r="C669" s="360" t="s">
        <v>2693</v>
      </c>
      <c r="D669" s="351"/>
      <c r="E669" s="133" t="s">
        <v>2692</v>
      </c>
      <c r="F669" s="133" t="s">
        <v>2417</v>
      </c>
      <c r="G669" s="133" t="s">
        <v>2417</v>
      </c>
      <c r="H669" s="133" t="s">
        <v>2417</v>
      </c>
      <c r="I669" s="134" t="s">
        <v>2418</v>
      </c>
      <c r="J669" s="133" t="s">
        <v>2417</v>
      </c>
      <c r="K669" s="133" t="s">
        <v>2417</v>
      </c>
      <c r="L669" s="133" t="s">
        <v>2417</v>
      </c>
      <c r="M669" s="133" t="s">
        <v>2417</v>
      </c>
      <c r="N669" s="133" t="s">
        <v>2417</v>
      </c>
      <c r="O669" s="133" t="s">
        <v>2417</v>
      </c>
      <c r="P669" s="133" t="s">
        <v>2417</v>
      </c>
      <c r="Q669" s="133" t="s">
        <v>2417</v>
      </c>
      <c r="R669" s="133" t="s">
        <v>2417</v>
      </c>
      <c r="S669" s="133" t="s">
        <v>2417</v>
      </c>
      <c r="T669" s="133" t="s">
        <v>2417</v>
      </c>
      <c r="U669" s="133" t="s">
        <v>2417</v>
      </c>
      <c r="V669" s="133" t="s">
        <v>2417</v>
      </c>
      <c r="W669" s="133" t="s">
        <v>2417</v>
      </c>
      <c r="X669" s="133" t="s">
        <v>2417</v>
      </c>
      <c r="Y669" s="133" t="s">
        <v>2417</v>
      </c>
      <c r="Z669" s="133" t="s">
        <v>2417</v>
      </c>
      <c r="AA669" s="133" t="s">
        <v>2417</v>
      </c>
      <c r="AB669" s="133" t="s">
        <v>2417</v>
      </c>
      <c r="AC669" s="133" t="s">
        <v>2417</v>
      </c>
      <c r="AD669" s="133" t="s">
        <v>2417</v>
      </c>
      <c r="AE669" s="123"/>
    </row>
    <row r="670" spans="1:31" ht="13.2" hidden="1" outlineLevel="2">
      <c r="A670" s="68" t="s">
        <v>1651</v>
      </c>
      <c r="B670" s="62" t="s">
        <v>1504</v>
      </c>
      <c r="C670" s="387" t="s">
        <v>1598</v>
      </c>
      <c r="D670" s="351"/>
      <c r="E670" s="133" t="s">
        <v>2692</v>
      </c>
      <c r="F670" s="133" t="s">
        <v>2417</v>
      </c>
      <c r="G670" s="133" t="s">
        <v>2417</v>
      </c>
      <c r="H670" s="133" t="s">
        <v>2417</v>
      </c>
      <c r="I670" s="134" t="s">
        <v>2418</v>
      </c>
      <c r="J670" s="133" t="s">
        <v>2417</v>
      </c>
      <c r="K670" s="133" t="s">
        <v>2417</v>
      </c>
      <c r="L670" s="133" t="s">
        <v>2417</v>
      </c>
      <c r="M670" s="133" t="s">
        <v>2417</v>
      </c>
      <c r="N670" s="133" t="s">
        <v>2417</v>
      </c>
      <c r="O670" s="133" t="s">
        <v>2417</v>
      </c>
      <c r="P670" s="133" t="s">
        <v>2417</v>
      </c>
      <c r="Q670" s="133" t="s">
        <v>2417</v>
      </c>
      <c r="R670" s="133" t="s">
        <v>2417</v>
      </c>
      <c r="S670" s="133" t="s">
        <v>2417</v>
      </c>
      <c r="T670" s="133" t="s">
        <v>2417</v>
      </c>
      <c r="U670" s="133" t="s">
        <v>2417</v>
      </c>
      <c r="V670" s="133" t="s">
        <v>2417</v>
      </c>
      <c r="W670" s="133" t="s">
        <v>2417</v>
      </c>
      <c r="X670" s="133" t="s">
        <v>2417</v>
      </c>
      <c r="Y670" s="133" t="s">
        <v>2417</v>
      </c>
      <c r="Z670" s="133" t="s">
        <v>2417</v>
      </c>
      <c r="AA670" s="133" t="s">
        <v>2417</v>
      </c>
      <c r="AB670" s="133" t="s">
        <v>2417</v>
      </c>
      <c r="AC670" s="133" t="s">
        <v>2417</v>
      </c>
      <c r="AD670" s="133" t="s">
        <v>2417</v>
      </c>
      <c r="AE670" s="59"/>
    </row>
    <row r="671" spans="1:31" ht="13.2" hidden="1" outlineLevel="2">
      <c r="A671" s="68" t="s">
        <v>1652</v>
      </c>
      <c r="B671" s="62" t="s">
        <v>1507</v>
      </c>
      <c r="C671" s="387" t="s">
        <v>1508</v>
      </c>
      <c r="D671" s="351"/>
      <c r="E671" s="133" t="s">
        <v>2692</v>
      </c>
      <c r="F671" s="133" t="s">
        <v>2417</v>
      </c>
      <c r="G671" s="133" t="s">
        <v>2417</v>
      </c>
      <c r="H671" s="133" t="s">
        <v>2417</v>
      </c>
      <c r="I671" s="134" t="s">
        <v>2418</v>
      </c>
      <c r="J671" s="133" t="s">
        <v>2417</v>
      </c>
      <c r="K671" s="133" t="s">
        <v>2417</v>
      </c>
      <c r="L671" s="133" t="s">
        <v>2417</v>
      </c>
      <c r="M671" s="133" t="s">
        <v>2417</v>
      </c>
      <c r="N671" s="133" t="s">
        <v>2417</v>
      </c>
      <c r="O671" s="133" t="s">
        <v>2417</v>
      </c>
      <c r="P671" s="133" t="s">
        <v>2417</v>
      </c>
      <c r="Q671" s="133" t="s">
        <v>2417</v>
      </c>
      <c r="R671" s="133" t="s">
        <v>2417</v>
      </c>
      <c r="S671" s="133" t="s">
        <v>2417</v>
      </c>
      <c r="T671" s="133" t="s">
        <v>2417</v>
      </c>
      <c r="U671" s="133" t="s">
        <v>2417</v>
      </c>
      <c r="V671" s="133" t="s">
        <v>2417</v>
      </c>
      <c r="W671" s="133" t="s">
        <v>2417</v>
      </c>
      <c r="X671" s="133" t="s">
        <v>2417</v>
      </c>
      <c r="Y671" s="133" t="s">
        <v>2417</v>
      </c>
      <c r="Z671" s="133" t="s">
        <v>2417</v>
      </c>
      <c r="AA671" s="133" t="s">
        <v>2417</v>
      </c>
      <c r="AB671" s="133" t="s">
        <v>2417</v>
      </c>
      <c r="AC671" s="133" t="s">
        <v>2417</v>
      </c>
      <c r="AD671" s="133" t="s">
        <v>2417</v>
      </c>
      <c r="AE671" s="59"/>
    </row>
    <row r="672" spans="1:31" ht="20.399999999999999" hidden="1" outlineLevel="2">
      <c r="A672" s="68" t="s">
        <v>1653</v>
      </c>
      <c r="B672" s="63" t="s">
        <v>1510</v>
      </c>
      <c r="C672" s="387" t="s">
        <v>1511</v>
      </c>
      <c r="D672" s="351"/>
      <c r="E672" s="133" t="s">
        <v>2692</v>
      </c>
      <c r="F672" s="133" t="s">
        <v>2417</v>
      </c>
      <c r="G672" s="133" t="s">
        <v>2417</v>
      </c>
      <c r="H672" s="133" t="s">
        <v>2417</v>
      </c>
      <c r="I672" s="134" t="s">
        <v>2418</v>
      </c>
      <c r="J672" s="133" t="s">
        <v>2417</v>
      </c>
      <c r="K672" s="133" t="s">
        <v>2417</v>
      </c>
      <c r="L672" s="133" t="s">
        <v>2417</v>
      </c>
      <c r="M672" s="133" t="s">
        <v>2417</v>
      </c>
      <c r="N672" s="133" t="s">
        <v>2417</v>
      </c>
      <c r="O672" s="133" t="s">
        <v>2417</v>
      </c>
      <c r="P672" s="133" t="s">
        <v>2417</v>
      </c>
      <c r="Q672" s="133" t="s">
        <v>2417</v>
      </c>
      <c r="R672" s="133" t="s">
        <v>2417</v>
      </c>
      <c r="S672" s="133" t="s">
        <v>2417</v>
      </c>
      <c r="T672" s="133" t="s">
        <v>2417</v>
      </c>
      <c r="U672" s="133" t="s">
        <v>2417</v>
      </c>
      <c r="V672" s="133" t="s">
        <v>2417</v>
      </c>
      <c r="W672" s="133" t="s">
        <v>2417</v>
      </c>
      <c r="X672" s="133" t="s">
        <v>2417</v>
      </c>
      <c r="Y672" s="133" t="s">
        <v>2417</v>
      </c>
      <c r="Z672" s="133" t="s">
        <v>2417</v>
      </c>
      <c r="AA672" s="133" t="s">
        <v>2417</v>
      </c>
      <c r="AB672" s="133" t="s">
        <v>2417</v>
      </c>
      <c r="AC672" s="133" t="s">
        <v>2417</v>
      </c>
      <c r="AD672" s="133" t="s">
        <v>2417</v>
      </c>
      <c r="AE672" s="57"/>
    </row>
    <row r="673" spans="1:31" ht="20.399999999999999" hidden="1" outlineLevel="2">
      <c r="A673" s="68" t="s">
        <v>1654</v>
      </c>
      <c r="B673" s="63" t="s">
        <v>2694</v>
      </c>
      <c r="C673" s="360" t="s">
        <v>1514</v>
      </c>
      <c r="D673" s="351"/>
      <c r="E673" s="133" t="s">
        <v>2692</v>
      </c>
      <c r="F673" s="133" t="s">
        <v>2417</v>
      </c>
      <c r="G673" s="133" t="s">
        <v>2417</v>
      </c>
      <c r="H673" s="133" t="s">
        <v>2417</v>
      </c>
      <c r="I673" s="134" t="s">
        <v>2418</v>
      </c>
      <c r="J673" s="133" t="s">
        <v>2417</v>
      </c>
      <c r="K673" s="133" t="s">
        <v>2417</v>
      </c>
      <c r="L673" s="133" t="s">
        <v>2417</v>
      </c>
      <c r="M673" s="133" t="s">
        <v>2417</v>
      </c>
      <c r="N673" s="133" t="s">
        <v>2417</v>
      </c>
      <c r="O673" s="133" t="s">
        <v>2417</v>
      </c>
      <c r="P673" s="133" t="s">
        <v>2417</v>
      </c>
      <c r="Q673" s="133" t="s">
        <v>2417</v>
      </c>
      <c r="R673" s="133" t="s">
        <v>2417</v>
      </c>
      <c r="S673" s="123" t="s">
        <v>2619</v>
      </c>
      <c r="T673" s="133" t="s">
        <v>2417</v>
      </c>
      <c r="U673" s="133" t="s">
        <v>2417</v>
      </c>
      <c r="V673" s="133" t="s">
        <v>2417</v>
      </c>
      <c r="W673" s="133" t="s">
        <v>2417</v>
      </c>
      <c r="X673" s="133" t="s">
        <v>2417</v>
      </c>
      <c r="Y673" s="133" t="s">
        <v>2417</v>
      </c>
      <c r="Z673" s="133" t="s">
        <v>2417</v>
      </c>
      <c r="AA673" s="133" t="s">
        <v>2417</v>
      </c>
      <c r="AB673" s="133" t="s">
        <v>2417</v>
      </c>
      <c r="AC673" s="133" t="s">
        <v>2417</v>
      </c>
      <c r="AD673" s="133" t="s">
        <v>2417</v>
      </c>
      <c r="AE673" s="123"/>
    </row>
    <row r="674" spans="1:31" ht="20.399999999999999" hidden="1" outlineLevel="2">
      <c r="A674" s="68" t="s">
        <v>1656</v>
      </c>
      <c r="B674" s="63" t="s">
        <v>1516</v>
      </c>
      <c r="C674" s="387" t="s">
        <v>1517</v>
      </c>
      <c r="D674" s="351"/>
      <c r="E674" s="133" t="s">
        <v>2692</v>
      </c>
      <c r="F674" s="133" t="s">
        <v>2417</v>
      </c>
      <c r="G674" s="133" t="s">
        <v>2417</v>
      </c>
      <c r="H674" s="133" t="s">
        <v>2417</v>
      </c>
      <c r="I674" s="134" t="s">
        <v>2418</v>
      </c>
      <c r="J674" s="133" t="s">
        <v>2417</v>
      </c>
      <c r="K674" s="133" t="s">
        <v>2417</v>
      </c>
      <c r="L674" s="133" t="s">
        <v>2417</v>
      </c>
      <c r="M674" s="133" t="s">
        <v>2417</v>
      </c>
      <c r="N674" s="133" t="s">
        <v>2417</v>
      </c>
      <c r="O674" s="133" t="s">
        <v>2417</v>
      </c>
      <c r="P674" s="133" t="s">
        <v>2417</v>
      </c>
      <c r="Q674" s="133" t="s">
        <v>2417</v>
      </c>
      <c r="R674" s="133" t="s">
        <v>2417</v>
      </c>
      <c r="S674" s="133" t="s">
        <v>2417</v>
      </c>
      <c r="T674" s="133" t="s">
        <v>2417</v>
      </c>
      <c r="U674" s="133" t="s">
        <v>2417</v>
      </c>
      <c r="V674" s="133" t="s">
        <v>2417</v>
      </c>
      <c r="W674" s="133" t="s">
        <v>2417</v>
      </c>
      <c r="X674" s="133" t="s">
        <v>2417</v>
      </c>
      <c r="Y674" s="133" t="s">
        <v>2417</v>
      </c>
      <c r="Z674" s="133" t="s">
        <v>2417</v>
      </c>
      <c r="AA674" s="133" t="s">
        <v>2417</v>
      </c>
      <c r="AB674" s="133" t="s">
        <v>2417</v>
      </c>
      <c r="AC674" s="133" t="s">
        <v>2417</v>
      </c>
      <c r="AD674" s="133" t="s">
        <v>2417</v>
      </c>
      <c r="AE674" s="59"/>
    </row>
    <row r="675" spans="1:31" ht="20.399999999999999" hidden="1" outlineLevel="2">
      <c r="A675" s="68" t="s">
        <v>1657</v>
      </c>
      <c r="B675" s="64" t="s">
        <v>1658</v>
      </c>
      <c r="C675" s="387" t="s">
        <v>1520</v>
      </c>
      <c r="D675" s="351"/>
      <c r="E675" s="133" t="s">
        <v>2692</v>
      </c>
      <c r="F675" s="133" t="s">
        <v>2417</v>
      </c>
      <c r="G675" s="133" t="s">
        <v>2417</v>
      </c>
      <c r="H675" s="133" t="s">
        <v>2417</v>
      </c>
      <c r="I675" s="134" t="s">
        <v>2418</v>
      </c>
      <c r="J675" s="133" t="s">
        <v>2417</v>
      </c>
      <c r="K675" s="133" t="s">
        <v>2417</v>
      </c>
      <c r="L675" s="133" t="s">
        <v>2417</v>
      </c>
      <c r="M675" s="133" t="s">
        <v>2417</v>
      </c>
      <c r="N675" s="133" t="s">
        <v>2417</v>
      </c>
      <c r="O675" s="133" t="s">
        <v>2417</v>
      </c>
      <c r="P675" s="133" t="s">
        <v>2417</v>
      </c>
      <c r="Q675" s="133" t="s">
        <v>2417</v>
      </c>
      <c r="R675" s="133" t="s">
        <v>2417</v>
      </c>
      <c r="S675" s="133" t="s">
        <v>2417</v>
      </c>
      <c r="T675" s="133" t="s">
        <v>2417</v>
      </c>
      <c r="U675" s="133" t="s">
        <v>2417</v>
      </c>
      <c r="V675" s="133" t="s">
        <v>2417</v>
      </c>
      <c r="W675" s="133" t="s">
        <v>2417</v>
      </c>
      <c r="X675" s="133" t="s">
        <v>2417</v>
      </c>
      <c r="Y675" s="133" t="s">
        <v>2417</v>
      </c>
      <c r="Z675" s="133" t="s">
        <v>2417</v>
      </c>
      <c r="AA675" s="133" t="s">
        <v>2417</v>
      </c>
      <c r="AB675" s="133" t="s">
        <v>2417</v>
      </c>
      <c r="AC675" s="133" t="s">
        <v>2417</v>
      </c>
      <c r="AD675" s="133" t="s">
        <v>2417</v>
      </c>
      <c r="AE675" s="59"/>
    </row>
    <row r="676" spans="1:31" ht="20.399999999999999" hidden="1" outlineLevel="2">
      <c r="A676" s="68" t="s">
        <v>1659</v>
      </c>
      <c r="B676" s="64" t="s">
        <v>1522</v>
      </c>
      <c r="C676" s="387" t="s">
        <v>1523</v>
      </c>
      <c r="D676" s="351"/>
      <c r="E676" s="133" t="s">
        <v>2692</v>
      </c>
      <c r="F676" s="133" t="s">
        <v>2417</v>
      </c>
      <c r="G676" s="133" t="s">
        <v>2417</v>
      </c>
      <c r="H676" s="133" t="s">
        <v>2417</v>
      </c>
      <c r="I676" s="134" t="s">
        <v>2418</v>
      </c>
      <c r="J676" s="133" t="s">
        <v>2417</v>
      </c>
      <c r="K676" s="133" t="s">
        <v>2417</v>
      </c>
      <c r="L676" s="133" t="s">
        <v>2417</v>
      </c>
      <c r="M676" s="133" t="s">
        <v>2417</v>
      </c>
      <c r="N676" s="133" t="s">
        <v>2417</v>
      </c>
      <c r="O676" s="133" t="s">
        <v>2417</v>
      </c>
      <c r="P676" s="133" t="s">
        <v>2417</v>
      </c>
      <c r="Q676" s="133" t="s">
        <v>2417</v>
      </c>
      <c r="R676" s="133" t="s">
        <v>2417</v>
      </c>
      <c r="S676" s="133" t="s">
        <v>2417</v>
      </c>
      <c r="T676" s="133" t="s">
        <v>2417</v>
      </c>
      <c r="U676" s="133" t="s">
        <v>2417</v>
      </c>
      <c r="V676" s="133" t="s">
        <v>2417</v>
      </c>
      <c r="W676" s="133" t="s">
        <v>2417</v>
      </c>
      <c r="X676" s="133" t="s">
        <v>2417</v>
      </c>
      <c r="Y676" s="133" t="s">
        <v>2417</v>
      </c>
      <c r="Z676" s="133" t="s">
        <v>2417</v>
      </c>
      <c r="AA676" s="133" t="s">
        <v>2417</v>
      </c>
      <c r="AB676" s="133" t="s">
        <v>2417</v>
      </c>
      <c r="AC676" s="133" t="s">
        <v>2417</v>
      </c>
      <c r="AD676" s="133" t="s">
        <v>2417</v>
      </c>
      <c r="AE676" s="59"/>
    </row>
    <row r="677" spans="1:31" ht="20.399999999999999" hidden="1" outlineLevel="2">
      <c r="A677" s="68" t="s">
        <v>1660</v>
      </c>
      <c r="B677" s="62" t="s">
        <v>1525</v>
      </c>
      <c r="C677" s="387" t="s">
        <v>1526</v>
      </c>
      <c r="D677" s="351"/>
      <c r="E677" s="133" t="s">
        <v>2692</v>
      </c>
      <c r="F677" s="133" t="s">
        <v>2417</v>
      </c>
      <c r="G677" s="133" t="s">
        <v>2417</v>
      </c>
      <c r="H677" s="133" t="s">
        <v>2417</v>
      </c>
      <c r="I677" s="134" t="s">
        <v>2418</v>
      </c>
      <c r="J677" s="133" t="s">
        <v>2417</v>
      </c>
      <c r="K677" s="133" t="s">
        <v>2417</v>
      </c>
      <c r="L677" s="133" t="s">
        <v>2417</v>
      </c>
      <c r="M677" s="133" t="s">
        <v>2417</v>
      </c>
      <c r="N677" s="133" t="s">
        <v>2417</v>
      </c>
      <c r="O677" s="133" t="s">
        <v>2417</v>
      </c>
      <c r="P677" s="133" t="s">
        <v>2417</v>
      </c>
      <c r="Q677" s="133" t="s">
        <v>2417</v>
      </c>
      <c r="R677" s="133" t="s">
        <v>2417</v>
      </c>
      <c r="S677" s="133" t="s">
        <v>2417</v>
      </c>
      <c r="T677" s="133" t="s">
        <v>2417</v>
      </c>
      <c r="U677" s="133" t="s">
        <v>2417</v>
      </c>
      <c r="V677" s="133" t="s">
        <v>2417</v>
      </c>
      <c r="W677" s="133" t="s">
        <v>2417</v>
      </c>
      <c r="X677" s="133" t="s">
        <v>2417</v>
      </c>
      <c r="Y677" s="133" t="s">
        <v>2417</v>
      </c>
      <c r="Z677" s="133" t="s">
        <v>2417</v>
      </c>
      <c r="AA677" s="133" t="s">
        <v>2417</v>
      </c>
      <c r="AB677" s="133" t="s">
        <v>2417</v>
      </c>
      <c r="AC677" s="133" t="s">
        <v>2417</v>
      </c>
      <c r="AD677" s="133" t="s">
        <v>2417</v>
      </c>
      <c r="AE677" s="59"/>
    </row>
    <row r="678" spans="1:31" ht="20.399999999999999" hidden="1" outlineLevel="2">
      <c r="A678" s="68" t="s">
        <v>1661</v>
      </c>
      <c r="B678" s="63" t="s">
        <v>1528</v>
      </c>
      <c r="C678" s="387" t="s">
        <v>1529</v>
      </c>
      <c r="D678" s="351"/>
      <c r="E678" s="133" t="s">
        <v>2692</v>
      </c>
      <c r="F678" s="133" t="s">
        <v>2417</v>
      </c>
      <c r="G678" s="133" t="s">
        <v>2417</v>
      </c>
      <c r="H678" s="133" t="s">
        <v>2417</v>
      </c>
      <c r="I678" s="134" t="s">
        <v>2418</v>
      </c>
      <c r="J678" s="133" t="s">
        <v>2417</v>
      </c>
      <c r="K678" s="133" t="s">
        <v>2417</v>
      </c>
      <c r="L678" s="133" t="s">
        <v>2417</v>
      </c>
      <c r="M678" s="133" t="s">
        <v>2417</v>
      </c>
      <c r="N678" s="133" t="s">
        <v>2417</v>
      </c>
      <c r="O678" s="133" t="s">
        <v>2417</v>
      </c>
      <c r="P678" s="133" t="s">
        <v>2417</v>
      </c>
      <c r="Q678" s="133" t="s">
        <v>2417</v>
      </c>
      <c r="R678" s="133" t="s">
        <v>2417</v>
      </c>
      <c r="S678" s="133" t="s">
        <v>2417</v>
      </c>
      <c r="T678" s="133" t="s">
        <v>2417</v>
      </c>
      <c r="U678" s="133" t="s">
        <v>2417</v>
      </c>
      <c r="V678" s="133" t="s">
        <v>2417</v>
      </c>
      <c r="W678" s="133" t="s">
        <v>2417</v>
      </c>
      <c r="X678" s="133" t="s">
        <v>2417</v>
      </c>
      <c r="Y678" s="133" t="s">
        <v>2417</v>
      </c>
      <c r="Z678" s="133" t="s">
        <v>2417</v>
      </c>
      <c r="AA678" s="133" t="s">
        <v>2417</v>
      </c>
      <c r="AB678" s="133" t="s">
        <v>2417</v>
      </c>
      <c r="AC678" s="133" t="s">
        <v>2417</v>
      </c>
      <c r="AD678" s="133" t="s">
        <v>2417</v>
      </c>
      <c r="AE678" s="59"/>
    </row>
    <row r="679" spans="1:31" ht="20.399999999999999" hidden="1" outlineLevel="2">
      <c r="A679" s="68" t="s">
        <v>1662</v>
      </c>
      <c r="B679" s="63" t="s">
        <v>1531</v>
      </c>
      <c r="C679" s="387" t="s">
        <v>1610</v>
      </c>
      <c r="D679" s="351"/>
      <c r="E679" s="133" t="s">
        <v>2692</v>
      </c>
      <c r="F679" s="133" t="s">
        <v>2417</v>
      </c>
      <c r="G679" s="133" t="s">
        <v>2417</v>
      </c>
      <c r="H679" s="133" t="s">
        <v>2417</v>
      </c>
      <c r="I679" s="134" t="s">
        <v>2418</v>
      </c>
      <c r="J679" s="133" t="s">
        <v>2417</v>
      </c>
      <c r="K679" s="133" t="s">
        <v>2417</v>
      </c>
      <c r="L679" s="133" t="s">
        <v>2417</v>
      </c>
      <c r="M679" s="133" t="s">
        <v>2417</v>
      </c>
      <c r="N679" s="133" t="s">
        <v>2417</v>
      </c>
      <c r="O679" s="133" t="s">
        <v>2417</v>
      </c>
      <c r="P679" s="133" t="s">
        <v>2417</v>
      </c>
      <c r="Q679" s="133" t="s">
        <v>2417</v>
      </c>
      <c r="R679" s="133" t="s">
        <v>2417</v>
      </c>
      <c r="S679" s="133" t="s">
        <v>2417</v>
      </c>
      <c r="T679" s="133" t="s">
        <v>2417</v>
      </c>
      <c r="U679" s="133" t="s">
        <v>2417</v>
      </c>
      <c r="V679" s="133" t="s">
        <v>2417</v>
      </c>
      <c r="W679" s="133" t="s">
        <v>2417</v>
      </c>
      <c r="X679" s="133" t="s">
        <v>2417</v>
      </c>
      <c r="Y679" s="133" t="s">
        <v>2417</v>
      </c>
      <c r="Z679" s="133" t="s">
        <v>2417</v>
      </c>
      <c r="AA679" s="133" t="s">
        <v>2417</v>
      </c>
      <c r="AB679" s="133" t="s">
        <v>2417</v>
      </c>
      <c r="AC679" s="133" t="s">
        <v>2417</v>
      </c>
      <c r="AD679" s="133" t="s">
        <v>2417</v>
      </c>
      <c r="AE679" s="59"/>
    </row>
    <row r="680" spans="1:31" ht="13.2" hidden="1" outlineLevel="2">
      <c r="A680" s="68" t="s">
        <v>1663</v>
      </c>
      <c r="B680" s="63" t="s">
        <v>1534</v>
      </c>
      <c r="C680" s="387" t="s">
        <v>1535</v>
      </c>
      <c r="D680" s="351"/>
      <c r="E680" s="133" t="s">
        <v>2692</v>
      </c>
      <c r="F680" s="133" t="s">
        <v>2417</v>
      </c>
      <c r="G680" s="133" t="s">
        <v>2417</v>
      </c>
      <c r="H680" s="133" t="s">
        <v>2417</v>
      </c>
      <c r="I680" s="134" t="s">
        <v>2418</v>
      </c>
      <c r="J680" s="133" t="s">
        <v>2417</v>
      </c>
      <c r="K680" s="133" t="s">
        <v>2417</v>
      </c>
      <c r="L680" s="133" t="s">
        <v>2417</v>
      </c>
      <c r="M680" s="133" t="s">
        <v>2417</v>
      </c>
      <c r="N680" s="133" t="s">
        <v>2417</v>
      </c>
      <c r="O680" s="133" t="s">
        <v>2417</v>
      </c>
      <c r="P680" s="133" t="s">
        <v>2417</v>
      </c>
      <c r="Q680" s="133" t="s">
        <v>2417</v>
      </c>
      <c r="R680" s="133" t="s">
        <v>2417</v>
      </c>
      <c r="S680" s="133" t="s">
        <v>2417</v>
      </c>
      <c r="T680" s="133" t="s">
        <v>2417</v>
      </c>
      <c r="U680" s="133" t="s">
        <v>2417</v>
      </c>
      <c r="V680" s="133" t="s">
        <v>2417</v>
      </c>
      <c r="W680" s="133" t="s">
        <v>2417</v>
      </c>
      <c r="X680" s="133" t="s">
        <v>2417</v>
      </c>
      <c r="Y680" s="133" t="s">
        <v>2417</v>
      </c>
      <c r="Z680" s="133" t="s">
        <v>2417</v>
      </c>
      <c r="AA680" s="133" t="s">
        <v>2417</v>
      </c>
      <c r="AB680" s="133" t="s">
        <v>2417</v>
      </c>
      <c r="AC680" s="133" t="s">
        <v>2417</v>
      </c>
      <c r="AD680" s="133" t="s">
        <v>2417</v>
      </c>
      <c r="AE680" s="59"/>
    </row>
    <row r="681" spans="1:31" ht="20.399999999999999" hidden="1" outlineLevel="2">
      <c r="A681" s="68" t="s">
        <v>1664</v>
      </c>
      <c r="B681" s="63" t="s">
        <v>2695</v>
      </c>
      <c r="C681" s="360" t="s">
        <v>2696</v>
      </c>
      <c r="D681" s="351"/>
      <c r="E681" s="133" t="s">
        <v>2692</v>
      </c>
      <c r="F681" s="133" t="s">
        <v>2417</v>
      </c>
      <c r="G681" s="133" t="s">
        <v>2417</v>
      </c>
      <c r="H681" s="133" t="s">
        <v>2417</v>
      </c>
      <c r="I681" s="134" t="s">
        <v>2418</v>
      </c>
      <c r="J681" s="133" t="s">
        <v>2417</v>
      </c>
      <c r="K681" s="133" t="s">
        <v>2417</v>
      </c>
      <c r="L681" s="133" t="s">
        <v>2417</v>
      </c>
      <c r="M681" s="133" t="s">
        <v>2417</v>
      </c>
      <c r="N681" s="133" t="s">
        <v>2417</v>
      </c>
      <c r="O681" s="133" t="s">
        <v>2417</v>
      </c>
      <c r="P681" s="133" t="s">
        <v>2417</v>
      </c>
      <c r="Q681" s="133" t="s">
        <v>2417</v>
      </c>
      <c r="R681" s="133" t="s">
        <v>2417</v>
      </c>
      <c r="S681" s="123" t="s">
        <v>2619</v>
      </c>
      <c r="T681" s="133" t="s">
        <v>2417</v>
      </c>
      <c r="U681" s="133" t="s">
        <v>2417</v>
      </c>
      <c r="V681" s="133" t="s">
        <v>2417</v>
      </c>
      <c r="W681" s="133" t="s">
        <v>2417</v>
      </c>
      <c r="X681" s="133" t="s">
        <v>2417</v>
      </c>
      <c r="Y681" s="133" t="s">
        <v>2417</v>
      </c>
      <c r="Z681" s="133" t="s">
        <v>2417</v>
      </c>
      <c r="AA681" s="133" t="s">
        <v>2417</v>
      </c>
      <c r="AB681" s="133" t="s">
        <v>2417</v>
      </c>
      <c r="AC681" s="133" t="s">
        <v>2417</v>
      </c>
      <c r="AD681" s="133" t="s">
        <v>2417</v>
      </c>
      <c r="AE681" s="123"/>
    </row>
    <row r="682" spans="1:31" ht="20.399999999999999" hidden="1" outlineLevel="2">
      <c r="A682" s="68" t="s">
        <v>1667</v>
      </c>
      <c r="B682" s="63" t="s">
        <v>2697</v>
      </c>
      <c r="C682" s="360" t="s">
        <v>2698</v>
      </c>
      <c r="D682" s="351"/>
      <c r="E682" s="133" t="s">
        <v>2692</v>
      </c>
      <c r="F682" s="133" t="s">
        <v>2417</v>
      </c>
      <c r="G682" s="133" t="s">
        <v>2417</v>
      </c>
      <c r="H682" s="133" t="s">
        <v>2417</v>
      </c>
      <c r="I682" s="134" t="s">
        <v>2418</v>
      </c>
      <c r="J682" s="133" t="s">
        <v>2417</v>
      </c>
      <c r="K682" s="133" t="s">
        <v>2417</v>
      </c>
      <c r="L682" s="133" t="s">
        <v>2417</v>
      </c>
      <c r="M682" s="133" t="s">
        <v>2417</v>
      </c>
      <c r="N682" s="133" t="s">
        <v>2417</v>
      </c>
      <c r="O682" s="133" t="s">
        <v>2417</v>
      </c>
      <c r="P682" s="133" t="s">
        <v>2417</v>
      </c>
      <c r="Q682" s="133" t="s">
        <v>2417</v>
      </c>
      <c r="R682" s="133" t="s">
        <v>2417</v>
      </c>
      <c r="S682" s="123" t="s">
        <v>2619</v>
      </c>
      <c r="T682" s="133" t="s">
        <v>2417</v>
      </c>
      <c r="U682" s="133" t="s">
        <v>2417</v>
      </c>
      <c r="V682" s="133" t="s">
        <v>2417</v>
      </c>
      <c r="W682" s="133" t="s">
        <v>2417</v>
      </c>
      <c r="X682" s="133" t="s">
        <v>2417</v>
      </c>
      <c r="Y682" s="133" t="s">
        <v>2417</v>
      </c>
      <c r="Z682" s="133" t="s">
        <v>2417</v>
      </c>
      <c r="AA682" s="133" t="s">
        <v>2417</v>
      </c>
      <c r="AB682" s="133" t="s">
        <v>2417</v>
      </c>
      <c r="AC682" s="133" t="s">
        <v>2417</v>
      </c>
      <c r="AD682" s="133" t="s">
        <v>2417</v>
      </c>
      <c r="AE682" s="123"/>
    </row>
    <row r="683" spans="1:31" ht="20.399999999999999" hidden="1" outlineLevel="2">
      <c r="A683" s="68" t="s">
        <v>1670</v>
      </c>
      <c r="B683" s="63" t="s">
        <v>2699</v>
      </c>
      <c r="C683" s="360" t="s">
        <v>1544</v>
      </c>
      <c r="D683" s="351"/>
      <c r="E683" s="133" t="s">
        <v>2692</v>
      </c>
      <c r="F683" s="133" t="s">
        <v>2417</v>
      </c>
      <c r="G683" s="133" t="s">
        <v>2417</v>
      </c>
      <c r="H683" s="133" t="s">
        <v>2417</v>
      </c>
      <c r="I683" s="134" t="s">
        <v>2418</v>
      </c>
      <c r="J683" s="133" t="s">
        <v>2417</v>
      </c>
      <c r="K683" s="133" t="s">
        <v>2417</v>
      </c>
      <c r="L683" s="133" t="s">
        <v>2417</v>
      </c>
      <c r="M683" s="133" t="s">
        <v>2417</v>
      </c>
      <c r="N683" s="133" t="s">
        <v>2417</v>
      </c>
      <c r="O683" s="133" t="s">
        <v>2417</v>
      </c>
      <c r="P683" s="133" t="s">
        <v>2417</v>
      </c>
      <c r="Q683" s="133" t="s">
        <v>2417</v>
      </c>
      <c r="R683" s="133" t="s">
        <v>2417</v>
      </c>
      <c r="S683" s="123" t="s">
        <v>2619</v>
      </c>
      <c r="T683" s="133" t="s">
        <v>2417</v>
      </c>
      <c r="U683" s="133" t="s">
        <v>2417</v>
      </c>
      <c r="V683" s="133" t="s">
        <v>2417</v>
      </c>
      <c r="W683" s="133" t="s">
        <v>2417</v>
      </c>
      <c r="X683" s="133" t="s">
        <v>2417</v>
      </c>
      <c r="Y683" s="133" t="s">
        <v>2417</v>
      </c>
      <c r="Z683" s="133" t="s">
        <v>2417</v>
      </c>
      <c r="AA683" s="133" t="s">
        <v>2417</v>
      </c>
      <c r="AB683" s="133" t="s">
        <v>2417</v>
      </c>
      <c r="AC683" s="133" t="s">
        <v>2417</v>
      </c>
      <c r="AD683" s="133" t="s">
        <v>2417</v>
      </c>
      <c r="AE683" s="123"/>
    </row>
    <row r="684" spans="1:31" ht="20.399999999999999" hidden="1" outlineLevel="2">
      <c r="A684" s="68" t="s">
        <v>1672</v>
      </c>
      <c r="B684" s="63" t="s">
        <v>2700</v>
      </c>
      <c r="C684" s="360" t="s">
        <v>1544</v>
      </c>
      <c r="D684" s="351"/>
      <c r="E684" s="133" t="s">
        <v>2692</v>
      </c>
      <c r="F684" s="133" t="s">
        <v>2417</v>
      </c>
      <c r="G684" s="133" t="s">
        <v>2417</v>
      </c>
      <c r="H684" s="133" t="s">
        <v>2417</v>
      </c>
      <c r="I684" s="134" t="s">
        <v>2418</v>
      </c>
      <c r="J684" s="133" t="s">
        <v>2417</v>
      </c>
      <c r="K684" s="133" t="s">
        <v>2417</v>
      </c>
      <c r="L684" s="133" t="s">
        <v>2417</v>
      </c>
      <c r="M684" s="133" t="s">
        <v>2417</v>
      </c>
      <c r="N684" s="133" t="s">
        <v>2417</v>
      </c>
      <c r="O684" s="133" t="s">
        <v>2417</v>
      </c>
      <c r="P684" s="133" t="s">
        <v>2417</v>
      </c>
      <c r="Q684" s="133" t="s">
        <v>2417</v>
      </c>
      <c r="R684" s="133" t="s">
        <v>2417</v>
      </c>
      <c r="S684" s="123" t="s">
        <v>2619</v>
      </c>
      <c r="T684" s="133" t="s">
        <v>2417</v>
      </c>
      <c r="U684" s="133" t="s">
        <v>2417</v>
      </c>
      <c r="V684" s="133" t="s">
        <v>2417</v>
      </c>
      <c r="W684" s="133" t="s">
        <v>2417</v>
      </c>
      <c r="X684" s="133" t="s">
        <v>2417</v>
      </c>
      <c r="Y684" s="133" t="s">
        <v>2417</v>
      </c>
      <c r="Z684" s="133" t="s">
        <v>2417</v>
      </c>
      <c r="AA684" s="133" t="s">
        <v>2417</v>
      </c>
      <c r="AB684" s="133" t="s">
        <v>2417</v>
      </c>
      <c r="AC684" s="133" t="s">
        <v>2417</v>
      </c>
      <c r="AD684" s="133" t="s">
        <v>2417</v>
      </c>
      <c r="AE684" s="123"/>
    </row>
    <row r="685" spans="1:31" ht="20.399999999999999" hidden="1" outlineLevel="2">
      <c r="A685" s="68" t="s">
        <v>1674</v>
      </c>
      <c r="B685" s="63" t="s">
        <v>2701</v>
      </c>
      <c r="C685" s="360" t="s">
        <v>1544</v>
      </c>
      <c r="D685" s="351"/>
      <c r="E685" s="133" t="s">
        <v>2692</v>
      </c>
      <c r="F685" s="133" t="s">
        <v>2417</v>
      </c>
      <c r="G685" s="133" t="s">
        <v>2417</v>
      </c>
      <c r="H685" s="133" t="s">
        <v>2417</v>
      </c>
      <c r="I685" s="134" t="s">
        <v>2418</v>
      </c>
      <c r="J685" s="133" t="s">
        <v>2417</v>
      </c>
      <c r="K685" s="133" t="s">
        <v>2417</v>
      </c>
      <c r="L685" s="133" t="s">
        <v>2417</v>
      </c>
      <c r="M685" s="133" t="s">
        <v>2417</v>
      </c>
      <c r="N685" s="133" t="s">
        <v>2417</v>
      </c>
      <c r="O685" s="133" t="s">
        <v>2417</v>
      </c>
      <c r="P685" s="133" t="s">
        <v>2417</v>
      </c>
      <c r="Q685" s="133" t="s">
        <v>2417</v>
      </c>
      <c r="R685" s="133" t="s">
        <v>2417</v>
      </c>
      <c r="S685" s="123" t="s">
        <v>2619</v>
      </c>
      <c r="T685" s="133" t="s">
        <v>2417</v>
      </c>
      <c r="U685" s="133" t="s">
        <v>2417</v>
      </c>
      <c r="V685" s="133" t="s">
        <v>2417</v>
      </c>
      <c r="W685" s="133" t="s">
        <v>2417</v>
      </c>
      <c r="X685" s="133" t="s">
        <v>2417</v>
      </c>
      <c r="Y685" s="133" t="s">
        <v>2417</v>
      </c>
      <c r="Z685" s="133" t="s">
        <v>2417</v>
      </c>
      <c r="AA685" s="133" t="s">
        <v>2417</v>
      </c>
      <c r="AB685" s="133" t="s">
        <v>2417</v>
      </c>
      <c r="AC685" s="133" t="s">
        <v>2417</v>
      </c>
      <c r="AD685" s="133" t="s">
        <v>2417</v>
      </c>
      <c r="AE685" s="123"/>
    </row>
    <row r="686" spans="1:31" ht="20.399999999999999" hidden="1" outlineLevel="2">
      <c r="A686" s="68" t="s">
        <v>1676</v>
      </c>
      <c r="B686" s="63" t="s">
        <v>2702</v>
      </c>
      <c r="C686" s="360" t="s">
        <v>2703</v>
      </c>
      <c r="D686" s="351"/>
      <c r="E686" s="133" t="s">
        <v>2692</v>
      </c>
      <c r="F686" s="133" t="s">
        <v>2417</v>
      </c>
      <c r="G686" s="133" t="s">
        <v>2417</v>
      </c>
      <c r="H686" s="133" t="s">
        <v>2417</v>
      </c>
      <c r="I686" s="134" t="s">
        <v>2418</v>
      </c>
      <c r="J686" s="133" t="s">
        <v>2417</v>
      </c>
      <c r="K686" s="133" t="s">
        <v>2417</v>
      </c>
      <c r="L686" s="133" t="s">
        <v>2417</v>
      </c>
      <c r="M686" s="133" t="s">
        <v>2417</v>
      </c>
      <c r="N686" s="133" t="s">
        <v>2417</v>
      </c>
      <c r="O686" s="133" t="s">
        <v>2417</v>
      </c>
      <c r="P686" s="133" t="s">
        <v>2417</v>
      </c>
      <c r="Q686" s="133" t="s">
        <v>2417</v>
      </c>
      <c r="R686" s="133" t="s">
        <v>2417</v>
      </c>
      <c r="S686" s="123" t="s">
        <v>2619</v>
      </c>
      <c r="T686" s="133" t="s">
        <v>2417</v>
      </c>
      <c r="U686" s="133" t="s">
        <v>2417</v>
      </c>
      <c r="V686" s="133" t="s">
        <v>2417</v>
      </c>
      <c r="W686" s="133" t="s">
        <v>2417</v>
      </c>
      <c r="X686" s="133" t="s">
        <v>2417</v>
      </c>
      <c r="Y686" s="133" t="s">
        <v>2417</v>
      </c>
      <c r="Z686" s="133" t="s">
        <v>2595</v>
      </c>
      <c r="AA686" s="133" t="s">
        <v>2417</v>
      </c>
      <c r="AB686" s="133" t="s">
        <v>2417</v>
      </c>
      <c r="AC686" s="133" t="s">
        <v>2417</v>
      </c>
      <c r="AD686" s="133" t="s">
        <v>2417</v>
      </c>
      <c r="AE686" s="123"/>
    </row>
    <row r="687" spans="1:31" ht="20.399999999999999" hidden="1" outlineLevel="2">
      <c r="A687" s="68" t="s">
        <v>1676</v>
      </c>
      <c r="B687" s="62" t="s">
        <v>2628</v>
      </c>
      <c r="C687" s="355" t="s">
        <v>2629</v>
      </c>
      <c r="D687" s="351"/>
      <c r="E687" s="133" t="s">
        <v>2692</v>
      </c>
      <c r="F687" s="133" t="s">
        <v>2417</v>
      </c>
      <c r="G687" s="133" t="s">
        <v>2417</v>
      </c>
      <c r="H687" s="133" t="s">
        <v>2417</v>
      </c>
      <c r="I687" s="133" t="s">
        <v>2417</v>
      </c>
      <c r="J687" s="133" t="s">
        <v>2417</v>
      </c>
      <c r="K687" s="133" t="s">
        <v>2417</v>
      </c>
      <c r="L687" s="133" t="s">
        <v>2417</v>
      </c>
      <c r="M687" s="133" t="s">
        <v>2417</v>
      </c>
      <c r="N687" s="133" t="s">
        <v>2417</v>
      </c>
      <c r="O687" s="133" t="s">
        <v>2417</v>
      </c>
      <c r="P687" s="133" t="s">
        <v>2417</v>
      </c>
      <c r="Q687" s="133" t="s">
        <v>2417</v>
      </c>
      <c r="R687" s="133" t="s">
        <v>2417</v>
      </c>
      <c r="S687" s="133" t="s">
        <v>2417</v>
      </c>
      <c r="T687" s="133" t="s">
        <v>2417</v>
      </c>
      <c r="U687" s="133" t="s">
        <v>2417</v>
      </c>
      <c r="V687" s="133" t="s">
        <v>2417</v>
      </c>
      <c r="W687" s="133" t="s">
        <v>2417</v>
      </c>
      <c r="X687" s="133" t="s">
        <v>2417</v>
      </c>
      <c r="Y687" s="133" t="s">
        <v>2417</v>
      </c>
      <c r="Z687" s="133" t="s">
        <v>2596</v>
      </c>
      <c r="AA687" s="133" t="s">
        <v>2417</v>
      </c>
      <c r="AB687" s="133" t="s">
        <v>2417</v>
      </c>
      <c r="AC687" s="133" t="s">
        <v>2417</v>
      </c>
      <c r="AD687" s="133" t="s">
        <v>2417</v>
      </c>
      <c r="AE687" s="123"/>
    </row>
    <row r="688" spans="1:31" ht="30.6" hidden="1" outlineLevel="2">
      <c r="A688" s="68" t="s">
        <v>1679</v>
      </c>
      <c r="B688" s="63" t="s">
        <v>2704</v>
      </c>
      <c r="C688" s="360" t="s">
        <v>1554</v>
      </c>
      <c r="D688" s="351"/>
      <c r="E688" s="133" t="s">
        <v>2692</v>
      </c>
      <c r="F688" s="133" t="s">
        <v>2417</v>
      </c>
      <c r="G688" s="133" t="s">
        <v>2417</v>
      </c>
      <c r="H688" s="133" t="s">
        <v>2417</v>
      </c>
      <c r="I688" s="134" t="s">
        <v>2418</v>
      </c>
      <c r="J688" s="133" t="s">
        <v>2417</v>
      </c>
      <c r="K688" s="133" t="s">
        <v>2417</v>
      </c>
      <c r="L688" s="133" t="s">
        <v>2417</v>
      </c>
      <c r="M688" s="133" t="s">
        <v>2417</v>
      </c>
      <c r="N688" s="133" t="s">
        <v>2417</v>
      </c>
      <c r="O688" s="133" t="s">
        <v>2417</v>
      </c>
      <c r="P688" s="133" t="s">
        <v>2417</v>
      </c>
      <c r="Q688" s="133" t="s">
        <v>2417</v>
      </c>
      <c r="R688" s="133" t="s">
        <v>2417</v>
      </c>
      <c r="S688" s="123" t="s">
        <v>2619</v>
      </c>
      <c r="T688" s="133" t="s">
        <v>2417</v>
      </c>
      <c r="U688" s="133" t="s">
        <v>2417</v>
      </c>
      <c r="V688" s="133" t="s">
        <v>2417</v>
      </c>
      <c r="W688" s="133" t="s">
        <v>2417</v>
      </c>
      <c r="X688" s="133" t="s">
        <v>2417</v>
      </c>
      <c r="Y688" s="133" t="s">
        <v>2595</v>
      </c>
      <c r="Z688" s="133" t="s">
        <v>2417</v>
      </c>
      <c r="AA688" s="133" t="s">
        <v>2417</v>
      </c>
      <c r="AB688" s="133" t="s">
        <v>2417</v>
      </c>
      <c r="AC688" s="133" t="s">
        <v>2417</v>
      </c>
      <c r="AD688" s="133" t="s">
        <v>2417</v>
      </c>
      <c r="AE688" s="123"/>
    </row>
    <row r="689" spans="1:31" ht="20.399999999999999" hidden="1" outlineLevel="2">
      <c r="A689" s="68" t="s">
        <v>1679</v>
      </c>
      <c r="B689" s="64" t="s">
        <v>2705</v>
      </c>
      <c r="C689" s="355" t="s">
        <v>2632</v>
      </c>
      <c r="D689" s="351"/>
      <c r="E689" s="133" t="s">
        <v>2692</v>
      </c>
      <c r="F689" s="133" t="s">
        <v>2417</v>
      </c>
      <c r="G689" s="133" t="s">
        <v>2417</v>
      </c>
      <c r="H689" s="133" t="s">
        <v>2417</v>
      </c>
      <c r="I689" s="133" t="s">
        <v>2417</v>
      </c>
      <c r="J689" s="133" t="s">
        <v>2417</v>
      </c>
      <c r="K689" s="133" t="s">
        <v>2417</v>
      </c>
      <c r="L689" s="133" t="s">
        <v>2417</v>
      </c>
      <c r="M689" s="133" t="s">
        <v>2417</v>
      </c>
      <c r="N689" s="133" t="s">
        <v>2417</v>
      </c>
      <c r="O689" s="133" t="s">
        <v>2417</v>
      </c>
      <c r="P689" s="133" t="s">
        <v>2417</v>
      </c>
      <c r="Q689" s="133" t="s">
        <v>2417</v>
      </c>
      <c r="R689" s="133" t="s">
        <v>2417</v>
      </c>
      <c r="S689" s="133" t="s">
        <v>2417</v>
      </c>
      <c r="T689" s="133" t="s">
        <v>2417</v>
      </c>
      <c r="U689" s="133" t="s">
        <v>2417</v>
      </c>
      <c r="V689" s="133" t="s">
        <v>2417</v>
      </c>
      <c r="W689" s="133" t="s">
        <v>2417</v>
      </c>
      <c r="X689" s="133" t="s">
        <v>2417</v>
      </c>
      <c r="Y689" s="133" t="s">
        <v>2596</v>
      </c>
      <c r="Z689" s="133" t="s">
        <v>2417</v>
      </c>
      <c r="AA689" s="133" t="s">
        <v>2417</v>
      </c>
      <c r="AB689" s="133" t="s">
        <v>2417</v>
      </c>
      <c r="AC689" s="133" t="s">
        <v>2417</v>
      </c>
      <c r="AD689" s="133" t="s">
        <v>2417</v>
      </c>
      <c r="AE689" s="123"/>
    </row>
    <row r="690" spans="1:31" ht="20.399999999999999" hidden="1" outlineLevel="2">
      <c r="A690" s="68" t="s">
        <v>1681</v>
      </c>
      <c r="B690" s="63" t="s">
        <v>2706</v>
      </c>
      <c r="C690" s="360" t="s">
        <v>2707</v>
      </c>
      <c r="D690" s="351"/>
      <c r="E690" s="133" t="s">
        <v>2692</v>
      </c>
      <c r="F690" s="133" t="s">
        <v>2417</v>
      </c>
      <c r="G690" s="133" t="s">
        <v>2417</v>
      </c>
      <c r="H690" s="133" t="s">
        <v>2417</v>
      </c>
      <c r="I690" s="134" t="s">
        <v>2418</v>
      </c>
      <c r="J690" s="133" t="s">
        <v>2417</v>
      </c>
      <c r="K690" s="133" t="s">
        <v>2417</v>
      </c>
      <c r="L690" s="133" t="s">
        <v>2417</v>
      </c>
      <c r="M690" s="133" t="s">
        <v>2417</v>
      </c>
      <c r="N690" s="133" t="s">
        <v>2417</v>
      </c>
      <c r="O690" s="133" t="s">
        <v>2417</v>
      </c>
      <c r="P690" s="133" t="s">
        <v>2417</v>
      </c>
      <c r="Q690" s="133" t="s">
        <v>2417</v>
      </c>
      <c r="R690" s="133" t="s">
        <v>2417</v>
      </c>
      <c r="S690" s="123" t="s">
        <v>2619</v>
      </c>
      <c r="T690" s="133" t="s">
        <v>2417</v>
      </c>
      <c r="U690" s="133" t="s">
        <v>2417</v>
      </c>
      <c r="V690" s="133" t="s">
        <v>2417</v>
      </c>
      <c r="W690" s="133" t="s">
        <v>2417</v>
      </c>
      <c r="X690" s="133" t="s">
        <v>2417</v>
      </c>
      <c r="Y690" s="133" t="s">
        <v>2417</v>
      </c>
      <c r="Z690" s="133" t="s">
        <v>2417</v>
      </c>
      <c r="AA690" s="133" t="s">
        <v>2417</v>
      </c>
      <c r="AB690" s="133" t="s">
        <v>2417</v>
      </c>
      <c r="AC690" s="133" t="s">
        <v>2417</v>
      </c>
      <c r="AD690" s="133" t="s">
        <v>2417</v>
      </c>
      <c r="AE690" s="123"/>
    </row>
    <row r="691" spans="1:31" ht="20.399999999999999" hidden="1" outlineLevel="2">
      <c r="A691" s="68" t="s">
        <v>1684</v>
      </c>
      <c r="B691" s="63" t="s">
        <v>2708</v>
      </c>
      <c r="C691" s="360" t="s">
        <v>1560</v>
      </c>
      <c r="D691" s="351"/>
      <c r="E691" s="133" t="s">
        <v>2692</v>
      </c>
      <c r="F691" s="133" t="s">
        <v>2417</v>
      </c>
      <c r="G691" s="133" t="s">
        <v>2417</v>
      </c>
      <c r="H691" s="133" t="s">
        <v>2417</v>
      </c>
      <c r="I691" s="134" t="s">
        <v>2418</v>
      </c>
      <c r="J691" s="133" t="s">
        <v>2417</v>
      </c>
      <c r="K691" s="133" t="s">
        <v>2417</v>
      </c>
      <c r="L691" s="133" t="s">
        <v>2417</v>
      </c>
      <c r="M691" s="133" t="s">
        <v>2417</v>
      </c>
      <c r="N691" s="133" t="s">
        <v>2417</v>
      </c>
      <c r="O691" s="133" t="s">
        <v>2417</v>
      </c>
      <c r="P691" s="133" t="s">
        <v>2417</v>
      </c>
      <c r="Q691" s="133" t="s">
        <v>2417</v>
      </c>
      <c r="R691" s="133" t="s">
        <v>2417</v>
      </c>
      <c r="S691" s="123" t="s">
        <v>2619</v>
      </c>
      <c r="T691" s="133" t="s">
        <v>2417</v>
      </c>
      <c r="U691" s="133" t="s">
        <v>2417</v>
      </c>
      <c r="V691" s="133" t="s">
        <v>2417</v>
      </c>
      <c r="W691" s="133" t="s">
        <v>2417</v>
      </c>
      <c r="X691" s="133" t="s">
        <v>2417</v>
      </c>
      <c r="Y691" s="133" t="s">
        <v>2417</v>
      </c>
      <c r="Z691" s="133" t="s">
        <v>2417</v>
      </c>
      <c r="AA691" s="133" t="s">
        <v>2417</v>
      </c>
      <c r="AB691" s="133" t="s">
        <v>2417</v>
      </c>
      <c r="AC691" s="133" t="s">
        <v>2417</v>
      </c>
      <c r="AD691" s="133" t="s">
        <v>2417</v>
      </c>
      <c r="AE691" s="123"/>
    </row>
    <row r="692" spans="1:31" ht="20.399999999999999" hidden="1" outlineLevel="2">
      <c r="A692" s="68" t="s">
        <v>1686</v>
      </c>
      <c r="B692" s="63" t="s">
        <v>2709</v>
      </c>
      <c r="C692" s="360" t="s">
        <v>1566</v>
      </c>
      <c r="D692" s="351"/>
      <c r="E692" s="133" t="s">
        <v>2692</v>
      </c>
      <c r="F692" s="133" t="s">
        <v>2417</v>
      </c>
      <c r="G692" s="133" t="s">
        <v>2417</v>
      </c>
      <c r="H692" s="133" t="s">
        <v>2417</v>
      </c>
      <c r="I692" s="134" t="s">
        <v>2418</v>
      </c>
      <c r="J692" s="133" t="s">
        <v>2417</v>
      </c>
      <c r="K692" s="133" t="s">
        <v>2417</v>
      </c>
      <c r="L692" s="133" t="s">
        <v>2417</v>
      </c>
      <c r="M692" s="133" t="s">
        <v>2417</v>
      </c>
      <c r="N692" s="133" t="s">
        <v>2417</v>
      </c>
      <c r="O692" s="133" t="s">
        <v>2417</v>
      </c>
      <c r="P692" s="133" t="s">
        <v>2417</v>
      </c>
      <c r="Q692" s="133" t="s">
        <v>2417</v>
      </c>
      <c r="R692" s="133" t="s">
        <v>2417</v>
      </c>
      <c r="S692" s="123" t="s">
        <v>2619</v>
      </c>
      <c r="T692" s="133" t="s">
        <v>2417</v>
      </c>
      <c r="U692" s="133" t="s">
        <v>2417</v>
      </c>
      <c r="V692" s="133" t="s">
        <v>2417</v>
      </c>
      <c r="W692" s="133" t="s">
        <v>2417</v>
      </c>
      <c r="X692" s="133" t="s">
        <v>2417</v>
      </c>
      <c r="Y692" s="133" t="s">
        <v>2417</v>
      </c>
      <c r="Z692" s="133" t="s">
        <v>2417</v>
      </c>
      <c r="AA692" s="133" t="s">
        <v>2417</v>
      </c>
      <c r="AB692" s="133" t="s">
        <v>2417</v>
      </c>
      <c r="AC692" s="133" t="s">
        <v>2417</v>
      </c>
      <c r="AD692" s="133" t="s">
        <v>2417</v>
      </c>
      <c r="AE692" s="123"/>
    </row>
    <row r="693" spans="1:31" ht="20.399999999999999" hidden="1" outlineLevel="2">
      <c r="A693" s="68" t="s">
        <v>1688</v>
      </c>
      <c r="B693" s="62" t="s">
        <v>1568</v>
      </c>
      <c r="C693" s="355" t="s">
        <v>2636</v>
      </c>
      <c r="D693" s="351"/>
      <c r="E693" s="133" t="s">
        <v>2692</v>
      </c>
      <c r="F693" s="133" t="s">
        <v>2417</v>
      </c>
      <c r="G693" s="133" t="s">
        <v>2417</v>
      </c>
      <c r="H693" s="133" t="s">
        <v>2417</v>
      </c>
      <c r="I693" s="134" t="s">
        <v>2418</v>
      </c>
      <c r="J693" s="133" t="s">
        <v>2417</v>
      </c>
      <c r="K693" s="133" t="s">
        <v>2417</v>
      </c>
      <c r="L693" s="133" t="s">
        <v>2417</v>
      </c>
      <c r="M693" s="133" t="s">
        <v>2417</v>
      </c>
      <c r="N693" s="133" t="s">
        <v>2417</v>
      </c>
      <c r="O693" s="133" t="s">
        <v>2417</v>
      </c>
      <c r="P693" s="133" t="s">
        <v>2417</v>
      </c>
      <c r="Q693" s="133" t="s">
        <v>2417</v>
      </c>
      <c r="R693" s="133" t="s">
        <v>2417</v>
      </c>
      <c r="S693" s="133" t="s">
        <v>2417</v>
      </c>
      <c r="T693" s="133" t="s">
        <v>2417</v>
      </c>
      <c r="U693" s="133" t="s">
        <v>2417</v>
      </c>
      <c r="V693" s="133" t="s">
        <v>2417</v>
      </c>
      <c r="W693" s="59" t="s">
        <v>2595</v>
      </c>
      <c r="X693" s="133" t="s">
        <v>2417</v>
      </c>
      <c r="Y693" s="133" t="s">
        <v>2417</v>
      </c>
      <c r="Z693" s="133" t="s">
        <v>2417</v>
      </c>
      <c r="AA693" s="133" t="s">
        <v>2417</v>
      </c>
      <c r="AB693" s="133" t="s">
        <v>2417</v>
      </c>
      <c r="AC693" s="133" t="s">
        <v>2417</v>
      </c>
      <c r="AD693" s="133" t="s">
        <v>2417</v>
      </c>
      <c r="AE693" s="57"/>
    </row>
    <row r="694" spans="1:31" ht="20.399999999999999" hidden="1" outlineLevel="2">
      <c r="A694" s="68" t="s">
        <v>1688</v>
      </c>
      <c r="B694" s="63" t="s">
        <v>1568</v>
      </c>
      <c r="C694" s="387" t="s">
        <v>2710</v>
      </c>
      <c r="D694" s="351"/>
      <c r="E694" s="133" t="s">
        <v>2692</v>
      </c>
      <c r="F694" s="133" t="s">
        <v>2417</v>
      </c>
      <c r="G694" s="133" t="s">
        <v>2417</v>
      </c>
      <c r="H694" s="133" t="s">
        <v>2417</v>
      </c>
      <c r="I694" s="134" t="s">
        <v>2418</v>
      </c>
      <c r="J694" s="133" t="s">
        <v>2417</v>
      </c>
      <c r="K694" s="133" t="s">
        <v>2417</v>
      </c>
      <c r="L694" s="133" t="s">
        <v>2417</v>
      </c>
      <c r="M694" s="133" t="s">
        <v>2417</v>
      </c>
      <c r="N694" s="133" t="s">
        <v>2417</v>
      </c>
      <c r="O694" s="133" t="s">
        <v>2417</v>
      </c>
      <c r="P694" s="133" t="s">
        <v>2417</v>
      </c>
      <c r="Q694" s="133" t="s">
        <v>2417</v>
      </c>
      <c r="R694" s="133" t="s">
        <v>2417</v>
      </c>
      <c r="S694" s="133" t="s">
        <v>2417</v>
      </c>
      <c r="T694" s="133" t="s">
        <v>2417</v>
      </c>
      <c r="U694" s="133" t="s">
        <v>2417</v>
      </c>
      <c r="V694" s="133" t="s">
        <v>2417</v>
      </c>
      <c r="W694" s="59" t="s">
        <v>2596</v>
      </c>
      <c r="X694" s="133" t="s">
        <v>2417</v>
      </c>
      <c r="Y694" s="133" t="s">
        <v>2417</v>
      </c>
      <c r="Z694" s="133" t="s">
        <v>2417</v>
      </c>
      <c r="AA694" s="133" t="s">
        <v>2417</v>
      </c>
      <c r="AB694" s="133" t="s">
        <v>2417</v>
      </c>
      <c r="AC694" s="133" t="s">
        <v>2417</v>
      </c>
      <c r="AD694" s="133" t="s">
        <v>2417</v>
      </c>
      <c r="AE694" s="57"/>
    </row>
    <row r="695" spans="1:31" ht="20.399999999999999" hidden="1" outlineLevel="2">
      <c r="A695" s="68" t="s">
        <v>1690</v>
      </c>
      <c r="B695" s="63" t="s">
        <v>1691</v>
      </c>
      <c r="C695" s="387" t="s">
        <v>1692</v>
      </c>
      <c r="D695" s="351"/>
      <c r="E695" s="133" t="s">
        <v>2692</v>
      </c>
      <c r="F695" s="133" t="s">
        <v>2417</v>
      </c>
      <c r="G695" s="133" t="s">
        <v>2417</v>
      </c>
      <c r="H695" s="133" t="s">
        <v>2417</v>
      </c>
      <c r="I695" s="134" t="s">
        <v>2418</v>
      </c>
      <c r="J695" s="133" t="s">
        <v>2417</v>
      </c>
      <c r="K695" s="133" t="s">
        <v>2417</v>
      </c>
      <c r="L695" s="133" t="s">
        <v>2417</v>
      </c>
      <c r="M695" s="133" t="s">
        <v>2417</v>
      </c>
      <c r="N695" s="133" t="s">
        <v>2417</v>
      </c>
      <c r="O695" s="133" t="s">
        <v>2417</v>
      </c>
      <c r="P695" s="133" t="s">
        <v>2417</v>
      </c>
      <c r="Q695" s="133" t="s">
        <v>2417</v>
      </c>
      <c r="R695" s="133" t="s">
        <v>2417</v>
      </c>
      <c r="S695" s="133" t="s">
        <v>2417</v>
      </c>
      <c r="T695" s="133" t="s">
        <v>2417</v>
      </c>
      <c r="U695" s="133" t="s">
        <v>2417</v>
      </c>
      <c r="V695" s="133" t="s">
        <v>2417</v>
      </c>
      <c r="W695" s="59" t="s">
        <v>2596</v>
      </c>
      <c r="X695" s="133" t="s">
        <v>2417</v>
      </c>
      <c r="Y695" s="133" t="s">
        <v>2417</v>
      </c>
      <c r="Z695" s="133" t="s">
        <v>2417</v>
      </c>
      <c r="AA695" s="133" t="s">
        <v>2417</v>
      </c>
      <c r="AB695" s="133" t="s">
        <v>2417</v>
      </c>
      <c r="AC695" s="133" t="s">
        <v>2417</v>
      </c>
      <c r="AD695" s="133" t="s">
        <v>2417</v>
      </c>
      <c r="AE695" s="59"/>
    </row>
    <row r="696" spans="1:31" ht="20.399999999999999" hidden="1" outlineLevel="2">
      <c r="A696" s="68" t="s">
        <v>1693</v>
      </c>
      <c r="B696" s="62" t="s">
        <v>1580</v>
      </c>
      <c r="C696" s="355" t="s">
        <v>2640</v>
      </c>
      <c r="D696" s="351"/>
      <c r="E696" s="133" t="s">
        <v>2692</v>
      </c>
      <c r="F696" s="133" t="s">
        <v>2417</v>
      </c>
      <c r="G696" s="133" t="s">
        <v>2417</v>
      </c>
      <c r="H696" s="133" t="s">
        <v>2417</v>
      </c>
      <c r="I696" s="134" t="s">
        <v>2418</v>
      </c>
      <c r="J696" s="133" t="s">
        <v>2417</v>
      </c>
      <c r="K696" s="133" t="s">
        <v>2417</v>
      </c>
      <c r="L696" s="133" t="s">
        <v>2417</v>
      </c>
      <c r="M696" s="133" t="s">
        <v>2417</v>
      </c>
      <c r="N696" s="133" t="s">
        <v>2417</v>
      </c>
      <c r="O696" s="133" t="s">
        <v>2417</v>
      </c>
      <c r="P696" s="133" t="s">
        <v>2417</v>
      </c>
      <c r="Q696" s="133" t="s">
        <v>2417</v>
      </c>
      <c r="R696" s="133" t="s">
        <v>2417</v>
      </c>
      <c r="S696" s="133" t="s">
        <v>2417</v>
      </c>
      <c r="T696" s="133" t="s">
        <v>2417</v>
      </c>
      <c r="U696" s="133" t="s">
        <v>2417</v>
      </c>
      <c r="V696" s="133" t="s">
        <v>2417</v>
      </c>
      <c r="W696" s="133" t="s">
        <v>2417</v>
      </c>
      <c r="X696" s="59" t="s">
        <v>2595</v>
      </c>
      <c r="Y696" s="133" t="s">
        <v>2417</v>
      </c>
      <c r="Z696" s="133" t="s">
        <v>2417</v>
      </c>
      <c r="AA696" s="133" t="s">
        <v>2417</v>
      </c>
      <c r="AB696" s="133" t="s">
        <v>2417</v>
      </c>
      <c r="AC696" s="133" t="s">
        <v>2417</v>
      </c>
      <c r="AD696" s="133" t="s">
        <v>2417</v>
      </c>
      <c r="AE696" s="57"/>
    </row>
    <row r="697" spans="1:31" ht="20.399999999999999" hidden="1" outlineLevel="2">
      <c r="A697" s="68" t="s">
        <v>1693</v>
      </c>
      <c r="B697" s="62" t="s">
        <v>1580</v>
      </c>
      <c r="C697" s="387" t="s">
        <v>2711</v>
      </c>
      <c r="D697" s="351"/>
      <c r="E697" s="133" t="s">
        <v>2692</v>
      </c>
      <c r="F697" s="133" t="s">
        <v>2417</v>
      </c>
      <c r="G697" s="133" t="s">
        <v>2417</v>
      </c>
      <c r="H697" s="133" t="s">
        <v>2417</v>
      </c>
      <c r="I697" s="134" t="s">
        <v>2418</v>
      </c>
      <c r="J697" s="133" t="s">
        <v>2417</v>
      </c>
      <c r="K697" s="133" t="s">
        <v>2417</v>
      </c>
      <c r="L697" s="133" t="s">
        <v>2417</v>
      </c>
      <c r="M697" s="133" t="s">
        <v>2417</v>
      </c>
      <c r="N697" s="133" t="s">
        <v>2417</v>
      </c>
      <c r="O697" s="133" t="s">
        <v>2417</v>
      </c>
      <c r="P697" s="133" t="s">
        <v>2417</v>
      </c>
      <c r="Q697" s="133" t="s">
        <v>2417</v>
      </c>
      <c r="R697" s="133" t="s">
        <v>2417</v>
      </c>
      <c r="S697" s="133" t="s">
        <v>2417</v>
      </c>
      <c r="T697" s="133" t="s">
        <v>2417</v>
      </c>
      <c r="U697" s="133" t="s">
        <v>2417</v>
      </c>
      <c r="V697" s="133" t="s">
        <v>2417</v>
      </c>
      <c r="W697" s="133" t="s">
        <v>2417</v>
      </c>
      <c r="X697" s="59" t="s">
        <v>2596</v>
      </c>
      <c r="Y697" s="133" t="s">
        <v>2417</v>
      </c>
      <c r="Z697" s="133" t="s">
        <v>2417</v>
      </c>
      <c r="AA697" s="133" t="s">
        <v>2417</v>
      </c>
      <c r="AB697" s="133" t="s">
        <v>2417</v>
      </c>
      <c r="AC697" s="133" t="s">
        <v>2417</v>
      </c>
      <c r="AD697" s="133" t="s">
        <v>2417</v>
      </c>
      <c r="AE697" s="57"/>
    </row>
    <row r="698" spans="1:31" ht="20.399999999999999" hidden="1" outlineLevel="2">
      <c r="A698" s="68" t="s">
        <v>1695</v>
      </c>
      <c r="B698" s="79" t="s">
        <v>1583</v>
      </c>
      <c r="C698" s="387" t="s">
        <v>1584</v>
      </c>
      <c r="D698" s="351"/>
      <c r="E698" s="133" t="s">
        <v>2692</v>
      </c>
      <c r="F698" s="133" t="s">
        <v>2417</v>
      </c>
      <c r="G698" s="133" t="s">
        <v>2417</v>
      </c>
      <c r="H698" s="133" t="s">
        <v>2417</v>
      </c>
      <c r="I698" s="134" t="s">
        <v>2418</v>
      </c>
      <c r="J698" s="133" t="s">
        <v>2417</v>
      </c>
      <c r="K698" s="133" t="s">
        <v>2417</v>
      </c>
      <c r="L698" s="133" t="s">
        <v>2417</v>
      </c>
      <c r="M698" s="133" t="s">
        <v>2417</v>
      </c>
      <c r="N698" s="133" t="s">
        <v>2417</v>
      </c>
      <c r="O698" s="133" t="s">
        <v>2417</v>
      </c>
      <c r="P698" s="133" t="s">
        <v>2417</v>
      </c>
      <c r="Q698" s="133" t="s">
        <v>2417</v>
      </c>
      <c r="R698" s="133" t="s">
        <v>2417</v>
      </c>
      <c r="S698" s="133" t="s">
        <v>2417</v>
      </c>
      <c r="T698" s="133" t="s">
        <v>2417</v>
      </c>
      <c r="U698" s="133" t="s">
        <v>2417</v>
      </c>
      <c r="V698" s="133" t="s">
        <v>2417</v>
      </c>
      <c r="W698" s="133" t="s">
        <v>2417</v>
      </c>
      <c r="X698" s="59" t="s">
        <v>2596</v>
      </c>
      <c r="Y698" s="133" t="s">
        <v>2417</v>
      </c>
      <c r="Z698" s="133" t="s">
        <v>2417</v>
      </c>
      <c r="AA698" s="133" t="s">
        <v>2417</v>
      </c>
      <c r="AB698" s="133" t="s">
        <v>2417</v>
      </c>
      <c r="AC698" s="133" t="s">
        <v>2417</v>
      </c>
      <c r="AD698" s="133" t="s">
        <v>2417</v>
      </c>
      <c r="AE698" s="57"/>
    </row>
    <row r="699" spans="1:31" ht="13.2" hidden="1" outlineLevel="2">
      <c r="A699" s="68" t="s">
        <v>1696</v>
      </c>
      <c r="B699" s="63" t="s">
        <v>1586</v>
      </c>
      <c r="C699" s="387" t="s">
        <v>1587</v>
      </c>
      <c r="D699" s="351"/>
      <c r="E699" s="133" t="s">
        <v>2692</v>
      </c>
      <c r="F699" s="133" t="s">
        <v>2417</v>
      </c>
      <c r="G699" s="133" t="s">
        <v>2417</v>
      </c>
      <c r="H699" s="133" t="s">
        <v>2417</v>
      </c>
      <c r="I699" s="134" t="s">
        <v>2418</v>
      </c>
      <c r="J699" s="133" t="s">
        <v>2417</v>
      </c>
      <c r="K699" s="133" t="s">
        <v>2417</v>
      </c>
      <c r="L699" s="133" t="s">
        <v>2417</v>
      </c>
      <c r="M699" s="133" t="s">
        <v>2417</v>
      </c>
      <c r="N699" s="133" t="s">
        <v>2417</v>
      </c>
      <c r="O699" s="133" t="s">
        <v>2417</v>
      </c>
      <c r="P699" s="133" t="s">
        <v>2417</v>
      </c>
      <c r="Q699" s="133" t="s">
        <v>2417</v>
      </c>
      <c r="R699" s="133" t="s">
        <v>2417</v>
      </c>
      <c r="S699" s="133" t="s">
        <v>2417</v>
      </c>
      <c r="T699" s="133" t="s">
        <v>2417</v>
      </c>
      <c r="U699" s="133" t="s">
        <v>2417</v>
      </c>
      <c r="V699" s="133" t="s">
        <v>2417</v>
      </c>
      <c r="W699" s="132" t="s">
        <v>2417</v>
      </c>
      <c r="X699" s="132" t="s">
        <v>2417</v>
      </c>
      <c r="Y699" s="132" t="s">
        <v>2417</v>
      </c>
      <c r="Z699" s="132" t="s">
        <v>2417</v>
      </c>
      <c r="AA699" s="133" t="s">
        <v>2417</v>
      </c>
      <c r="AB699" s="133" t="s">
        <v>2417</v>
      </c>
      <c r="AC699" s="133" t="s">
        <v>2417</v>
      </c>
      <c r="AD699" s="133" t="s">
        <v>2417</v>
      </c>
      <c r="AE699" s="59"/>
    </row>
    <row r="700" spans="1:31" ht="13.2" hidden="1" outlineLevel="2">
      <c r="A700" s="68" t="s">
        <v>1697</v>
      </c>
      <c r="B700" s="62" t="s">
        <v>1589</v>
      </c>
      <c r="C700" s="387" t="s">
        <v>2712</v>
      </c>
      <c r="D700" s="351"/>
      <c r="E700" s="133" t="s">
        <v>2692</v>
      </c>
      <c r="F700" s="133" t="s">
        <v>2417</v>
      </c>
      <c r="G700" s="133" t="s">
        <v>2417</v>
      </c>
      <c r="H700" s="133" t="s">
        <v>2417</v>
      </c>
      <c r="I700" s="134" t="s">
        <v>2418</v>
      </c>
      <c r="J700" s="133" t="s">
        <v>2417</v>
      </c>
      <c r="K700" s="133" t="s">
        <v>2417</v>
      </c>
      <c r="L700" s="133" t="s">
        <v>2417</v>
      </c>
      <c r="M700" s="133" t="s">
        <v>2417</v>
      </c>
      <c r="N700" s="133" t="s">
        <v>2417</v>
      </c>
      <c r="O700" s="133" t="s">
        <v>2417</v>
      </c>
      <c r="P700" s="133" t="s">
        <v>2417</v>
      </c>
      <c r="Q700" s="133" t="s">
        <v>2417</v>
      </c>
      <c r="R700" s="133" t="s">
        <v>2417</v>
      </c>
      <c r="S700" s="133" t="s">
        <v>2417</v>
      </c>
      <c r="T700" s="133" t="s">
        <v>2417</v>
      </c>
      <c r="U700" s="133" t="s">
        <v>2417</v>
      </c>
      <c r="V700" s="133" t="s">
        <v>2417</v>
      </c>
      <c r="W700" s="132" t="s">
        <v>2417</v>
      </c>
      <c r="X700" s="132" t="s">
        <v>2417</v>
      </c>
      <c r="Y700" s="132" t="s">
        <v>2417</v>
      </c>
      <c r="Z700" s="132" t="s">
        <v>2417</v>
      </c>
      <c r="AA700" s="133" t="s">
        <v>2417</v>
      </c>
      <c r="AB700" s="133" t="s">
        <v>2417</v>
      </c>
      <c r="AC700" s="133" t="s">
        <v>2417</v>
      </c>
      <c r="AD700" s="133" t="s">
        <v>2417</v>
      </c>
      <c r="AE700" s="59"/>
    </row>
    <row r="701" spans="1:31" ht="13.2" hidden="1" outlineLevel="2">
      <c r="A701" s="68" t="s">
        <v>1699</v>
      </c>
      <c r="B701" s="91" t="s">
        <v>1592</v>
      </c>
      <c r="C701" s="396" t="s">
        <v>2713</v>
      </c>
      <c r="D701" s="351"/>
      <c r="E701" s="133" t="s">
        <v>2692</v>
      </c>
      <c r="F701" s="133" t="s">
        <v>2417</v>
      </c>
      <c r="G701" s="133" t="s">
        <v>2417</v>
      </c>
      <c r="H701" s="133" t="s">
        <v>2417</v>
      </c>
      <c r="I701" s="134" t="s">
        <v>2418</v>
      </c>
      <c r="J701" s="133" t="s">
        <v>2417</v>
      </c>
      <c r="K701" s="133" t="s">
        <v>2417</v>
      </c>
      <c r="L701" s="133" t="s">
        <v>2417</v>
      </c>
      <c r="M701" s="133" t="s">
        <v>2417</v>
      </c>
      <c r="N701" s="133" t="s">
        <v>2417</v>
      </c>
      <c r="O701" s="133" t="s">
        <v>2417</v>
      </c>
      <c r="P701" s="133" t="s">
        <v>2417</v>
      </c>
      <c r="Q701" s="133" t="s">
        <v>2417</v>
      </c>
      <c r="R701" s="133" t="s">
        <v>2417</v>
      </c>
      <c r="S701" s="133" t="s">
        <v>2417</v>
      </c>
      <c r="T701" s="133" t="s">
        <v>2417</v>
      </c>
      <c r="U701" s="133" t="s">
        <v>2417</v>
      </c>
      <c r="V701" s="167" t="s">
        <v>2596</v>
      </c>
      <c r="W701" s="132" t="s">
        <v>2417</v>
      </c>
      <c r="X701" s="132" t="s">
        <v>2417</v>
      </c>
      <c r="Y701" s="132" t="s">
        <v>2417</v>
      </c>
      <c r="Z701" s="132" t="s">
        <v>2417</v>
      </c>
      <c r="AA701" s="133" t="s">
        <v>2417</v>
      </c>
      <c r="AB701" s="133" t="s">
        <v>2417</v>
      </c>
      <c r="AC701" s="133" t="s">
        <v>2417</v>
      </c>
      <c r="AD701" s="133" t="s">
        <v>2417</v>
      </c>
      <c r="AE701" s="167"/>
    </row>
    <row r="702" spans="1:31" ht="13.2" hidden="1" outlineLevel="2">
      <c r="A702" s="68" t="s">
        <v>2714</v>
      </c>
      <c r="B702" s="91" t="s">
        <v>2644</v>
      </c>
      <c r="C702" s="387" t="s">
        <v>2645</v>
      </c>
      <c r="D702" s="351"/>
      <c r="E702" s="133" t="s">
        <v>2692</v>
      </c>
      <c r="F702" s="133" t="s">
        <v>2417</v>
      </c>
      <c r="G702" s="133" t="s">
        <v>2417</v>
      </c>
      <c r="H702" s="133" t="s">
        <v>2417</v>
      </c>
      <c r="I702" s="134" t="s">
        <v>2418</v>
      </c>
      <c r="J702" s="133" t="s">
        <v>2500</v>
      </c>
      <c r="K702" s="133" t="s">
        <v>2417</v>
      </c>
      <c r="L702" s="133" t="s">
        <v>2417</v>
      </c>
      <c r="M702" s="133" t="s">
        <v>2417</v>
      </c>
      <c r="N702" s="133" t="s">
        <v>2417</v>
      </c>
      <c r="O702" s="133" t="s">
        <v>2417</v>
      </c>
      <c r="P702" s="133" t="s">
        <v>2417</v>
      </c>
      <c r="Q702" s="133" t="s">
        <v>2417</v>
      </c>
      <c r="R702" s="133" t="s">
        <v>2417</v>
      </c>
      <c r="S702" s="133" t="s">
        <v>2417</v>
      </c>
      <c r="T702" s="133" t="s">
        <v>2417</v>
      </c>
      <c r="U702" s="133" t="s">
        <v>2417</v>
      </c>
      <c r="V702" s="135" t="s">
        <v>2595</v>
      </c>
      <c r="W702" s="132" t="s">
        <v>2417</v>
      </c>
      <c r="X702" s="132" t="s">
        <v>2417</v>
      </c>
      <c r="Y702" s="132" t="s">
        <v>2417</v>
      </c>
      <c r="Z702" s="132" t="s">
        <v>2417</v>
      </c>
      <c r="AA702" s="133" t="s">
        <v>2417</v>
      </c>
      <c r="AB702" s="133" t="s">
        <v>2417</v>
      </c>
      <c r="AC702" s="133" t="s">
        <v>2417</v>
      </c>
      <c r="AD702" s="133" t="s">
        <v>2417</v>
      </c>
      <c r="AE702" s="167"/>
    </row>
    <row r="703" spans="1:31" ht="13.2" outlineLevel="1">
      <c r="A703" s="384" t="s">
        <v>1648</v>
      </c>
      <c r="B703" s="350"/>
      <c r="C703" s="350"/>
      <c r="D703" s="351"/>
      <c r="E703" s="133" t="s">
        <v>2715</v>
      </c>
      <c r="F703" s="133" t="s">
        <v>2417</v>
      </c>
      <c r="G703" s="133" t="s">
        <v>2417</v>
      </c>
      <c r="H703" s="133" t="s">
        <v>2417</v>
      </c>
      <c r="I703" s="134" t="s">
        <v>2418</v>
      </c>
      <c r="J703" s="133" t="s">
        <v>2417</v>
      </c>
      <c r="K703" s="133" t="s">
        <v>2417</v>
      </c>
      <c r="L703" s="133" t="s">
        <v>2417</v>
      </c>
      <c r="M703" s="133" t="s">
        <v>2417</v>
      </c>
      <c r="N703" s="133" t="s">
        <v>2417</v>
      </c>
      <c r="O703" s="133" t="s">
        <v>2417</v>
      </c>
      <c r="P703" s="133" t="s">
        <v>2417</v>
      </c>
      <c r="Q703" s="133" t="s">
        <v>2417</v>
      </c>
      <c r="R703" s="133" t="s">
        <v>2417</v>
      </c>
      <c r="S703" s="133" t="s">
        <v>2417</v>
      </c>
      <c r="T703" s="133" t="s">
        <v>2417</v>
      </c>
      <c r="U703" s="133" t="s">
        <v>2417</v>
      </c>
      <c r="V703" s="133" t="s">
        <v>2417</v>
      </c>
      <c r="W703" s="133" t="s">
        <v>2417</v>
      </c>
      <c r="X703" s="133" t="s">
        <v>2417</v>
      </c>
      <c r="Y703" s="133" t="s">
        <v>2417</v>
      </c>
      <c r="Z703" s="133" t="s">
        <v>2417</v>
      </c>
      <c r="AA703" s="133" t="s">
        <v>2417</v>
      </c>
      <c r="AB703" s="133" t="s">
        <v>2417</v>
      </c>
      <c r="AC703" s="133" t="s">
        <v>2417</v>
      </c>
      <c r="AD703" s="133" t="s">
        <v>2417</v>
      </c>
      <c r="AE703" s="168"/>
    </row>
    <row r="704" spans="1:31" ht="13.2" outlineLevel="2">
      <c r="A704" s="68" t="s">
        <v>1649</v>
      </c>
      <c r="B704" s="64"/>
      <c r="C704" s="360" t="s">
        <v>2716</v>
      </c>
      <c r="D704" s="351"/>
      <c r="E704" s="133" t="s">
        <v>2715</v>
      </c>
      <c r="F704" s="133" t="s">
        <v>2417</v>
      </c>
      <c r="G704" s="133" t="s">
        <v>2417</v>
      </c>
      <c r="H704" s="133" t="s">
        <v>2417</v>
      </c>
      <c r="I704" s="134" t="s">
        <v>2418</v>
      </c>
      <c r="J704" s="133" t="s">
        <v>2417</v>
      </c>
      <c r="K704" s="133" t="s">
        <v>2417</v>
      </c>
      <c r="L704" s="133" t="s">
        <v>2417</v>
      </c>
      <c r="M704" s="133" t="s">
        <v>2417</v>
      </c>
      <c r="N704" s="133" t="s">
        <v>2417</v>
      </c>
      <c r="O704" s="133" t="s">
        <v>2417</v>
      </c>
      <c r="P704" s="133" t="s">
        <v>2417</v>
      </c>
      <c r="Q704" s="133" t="s">
        <v>2417</v>
      </c>
      <c r="R704" s="133" t="s">
        <v>2417</v>
      </c>
      <c r="S704" s="133" t="s">
        <v>2417</v>
      </c>
      <c r="T704" s="133" t="s">
        <v>2417</v>
      </c>
      <c r="U704" s="133" t="s">
        <v>2417</v>
      </c>
      <c r="V704" s="133" t="s">
        <v>2417</v>
      </c>
      <c r="W704" s="133" t="s">
        <v>2417</v>
      </c>
      <c r="X704" s="133" t="s">
        <v>2417</v>
      </c>
      <c r="Y704" s="133" t="s">
        <v>2417</v>
      </c>
      <c r="Z704" s="133" t="s">
        <v>2417</v>
      </c>
      <c r="AA704" s="133" t="s">
        <v>2417</v>
      </c>
      <c r="AB704" s="133" t="s">
        <v>2417</v>
      </c>
      <c r="AC704" s="133" t="s">
        <v>2417</v>
      </c>
      <c r="AD704" s="133" t="s">
        <v>2417</v>
      </c>
      <c r="AE704" s="123"/>
    </row>
    <row r="705" spans="1:31" ht="13.2" outlineLevel="2">
      <c r="A705" s="68" t="s">
        <v>1651</v>
      </c>
      <c r="B705" s="62" t="s">
        <v>1504</v>
      </c>
      <c r="C705" s="387" t="s">
        <v>1598</v>
      </c>
      <c r="D705" s="351"/>
      <c r="E705" s="133" t="s">
        <v>2715</v>
      </c>
      <c r="F705" s="133" t="s">
        <v>2417</v>
      </c>
      <c r="G705" s="133" t="s">
        <v>2417</v>
      </c>
      <c r="H705" s="133" t="s">
        <v>2417</v>
      </c>
      <c r="I705" s="134" t="s">
        <v>2418</v>
      </c>
      <c r="J705" s="133" t="s">
        <v>2417</v>
      </c>
      <c r="K705" s="133" t="s">
        <v>2417</v>
      </c>
      <c r="L705" s="133" t="s">
        <v>2417</v>
      </c>
      <c r="M705" s="133" t="s">
        <v>2417</v>
      </c>
      <c r="N705" s="133" t="s">
        <v>2417</v>
      </c>
      <c r="O705" s="133" t="s">
        <v>2417</v>
      </c>
      <c r="P705" s="133" t="s">
        <v>2417</v>
      </c>
      <c r="Q705" s="133" t="s">
        <v>2417</v>
      </c>
      <c r="R705" s="133" t="s">
        <v>2417</v>
      </c>
      <c r="S705" s="133" t="s">
        <v>2417</v>
      </c>
      <c r="T705" s="133" t="s">
        <v>2417</v>
      </c>
      <c r="U705" s="133" t="s">
        <v>2417</v>
      </c>
      <c r="V705" s="133" t="s">
        <v>2417</v>
      </c>
      <c r="W705" s="133" t="s">
        <v>2417</v>
      </c>
      <c r="X705" s="133" t="s">
        <v>2417</v>
      </c>
      <c r="Y705" s="133" t="s">
        <v>2417</v>
      </c>
      <c r="Z705" s="133" t="s">
        <v>2417</v>
      </c>
      <c r="AA705" s="133" t="s">
        <v>2417</v>
      </c>
      <c r="AB705" s="133" t="s">
        <v>2417</v>
      </c>
      <c r="AC705" s="133" t="s">
        <v>2417</v>
      </c>
      <c r="AD705" s="133" t="s">
        <v>2417</v>
      </c>
      <c r="AE705" s="59"/>
    </row>
    <row r="706" spans="1:31" ht="13.2" outlineLevel="2">
      <c r="A706" s="68" t="s">
        <v>1652</v>
      </c>
      <c r="B706" s="62" t="s">
        <v>1507</v>
      </c>
      <c r="C706" s="387" t="s">
        <v>1508</v>
      </c>
      <c r="D706" s="351"/>
      <c r="E706" s="133" t="s">
        <v>2715</v>
      </c>
      <c r="F706" s="133" t="s">
        <v>2417</v>
      </c>
      <c r="G706" s="133" t="s">
        <v>2417</v>
      </c>
      <c r="H706" s="133" t="s">
        <v>2417</v>
      </c>
      <c r="I706" s="134" t="s">
        <v>2418</v>
      </c>
      <c r="J706" s="133" t="s">
        <v>2417</v>
      </c>
      <c r="K706" s="133" t="s">
        <v>2417</v>
      </c>
      <c r="L706" s="133" t="s">
        <v>2417</v>
      </c>
      <c r="M706" s="133" t="s">
        <v>2417</v>
      </c>
      <c r="N706" s="133" t="s">
        <v>2417</v>
      </c>
      <c r="O706" s="133" t="s">
        <v>2417</v>
      </c>
      <c r="P706" s="133" t="s">
        <v>2417</v>
      </c>
      <c r="Q706" s="133" t="s">
        <v>2417</v>
      </c>
      <c r="R706" s="133" t="s">
        <v>2417</v>
      </c>
      <c r="S706" s="133" t="s">
        <v>2417</v>
      </c>
      <c r="T706" s="133" t="s">
        <v>2417</v>
      </c>
      <c r="U706" s="133" t="s">
        <v>2417</v>
      </c>
      <c r="V706" s="133" t="s">
        <v>2417</v>
      </c>
      <c r="W706" s="133" t="s">
        <v>2417</v>
      </c>
      <c r="X706" s="133" t="s">
        <v>2417</v>
      </c>
      <c r="Y706" s="133" t="s">
        <v>2417</v>
      </c>
      <c r="Z706" s="133" t="s">
        <v>2417</v>
      </c>
      <c r="AA706" s="133" t="s">
        <v>2417</v>
      </c>
      <c r="AB706" s="133" t="s">
        <v>2417</v>
      </c>
      <c r="AC706" s="133" t="s">
        <v>2417</v>
      </c>
      <c r="AD706" s="133" t="s">
        <v>2417</v>
      </c>
      <c r="AE706" s="59"/>
    </row>
    <row r="707" spans="1:31" ht="20.399999999999999" outlineLevel="2">
      <c r="A707" s="68" t="s">
        <v>1653</v>
      </c>
      <c r="B707" s="63" t="s">
        <v>1510</v>
      </c>
      <c r="C707" s="387" t="s">
        <v>1511</v>
      </c>
      <c r="D707" s="351"/>
      <c r="E707" s="133" t="s">
        <v>2715</v>
      </c>
      <c r="F707" s="133" t="s">
        <v>2417</v>
      </c>
      <c r="G707" s="133" t="s">
        <v>2417</v>
      </c>
      <c r="H707" s="133" t="s">
        <v>2417</v>
      </c>
      <c r="I707" s="134" t="s">
        <v>2418</v>
      </c>
      <c r="J707" s="133" t="s">
        <v>2417</v>
      </c>
      <c r="K707" s="133" t="s">
        <v>2417</v>
      </c>
      <c r="L707" s="133" t="s">
        <v>2417</v>
      </c>
      <c r="M707" s="133" t="s">
        <v>2417</v>
      </c>
      <c r="N707" s="133" t="s">
        <v>2417</v>
      </c>
      <c r="O707" s="133" t="s">
        <v>2417</v>
      </c>
      <c r="P707" s="133" t="s">
        <v>2417</v>
      </c>
      <c r="Q707" s="133" t="s">
        <v>2417</v>
      </c>
      <c r="R707" s="133" t="s">
        <v>2417</v>
      </c>
      <c r="S707" s="133" t="s">
        <v>2417</v>
      </c>
      <c r="T707" s="133" t="s">
        <v>2417</v>
      </c>
      <c r="U707" s="133" t="s">
        <v>2417</v>
      </c>
      <c r="V707" s="133" t="s">
        <v>2417</v>
      </c>
      <c r="W707" s="133" t="s">
        <v>2417</v>
      </c>
      <c r="X707" s="133" t="s">
        <v>2417</v>
      </c>
      <c r="Y707" s="133" t="s">
        <v>2417</v>
      </c>
      <c r="Z707" s="133" t="s">
        <v>2417</v>
      </c>
      <c r="AA707" s="133" t="s">
        <v>2417</v>
      </c>
      <c r="AB707" s="133" t="s">
        <v>2417</v>
      </c>
      <c r="AC707" s="133" t="s">
        <v>2417</v>
      </c>
      <c r="AD707" s="133" t="s">
        <v>2417</v>
      </c>
      <c r="AE707" s="57"/>
    </row>
    <row r="708" spans="1:31" ht="20.399999999999999" outlineLevel="2">
      <c r="A708" s="68" t="s">
        <v>1654</v>
      </c>
      <c r="B708" s="63" t="s">
        <v>2717</v>
      </c>
      <c r="C708" s="360" t="s">
        <v>1514</v>
      </c>
      <c r="D708" s="351"/>
      <c r="E708" s="133" t="s">
        <v>2715</v>
      </c>
      <c r="F708" s="133" t="s">
        <v>2417</v>
      </c>
      <c r="G708" s="133" t="s">
        <v>2417</v>
      </c>
      <c r="H708" s="133" t="s">
        <v>2417</v>
      </c>
      <c r="I708" s="134" t="s">
        <v>2418</v>
      </c>
      <c r="J708" s="133" t="s">
        <v>2417</v>
      </c>
      <c r="K708" s="133" t="s">
        <v>2417</v>
      </c>
      <c r="L708" s="133" t="s">
        <v>2417</v>
      </c>
      <c r="M708" s="133" t="s">
        <v>2417</v>
      </c>
      <c r="N708" s="133" t="s">
        <v>2417</v>
      </c>
      <c r="O708" s="133" t="s">
        <v>2417</v>
      </c>
      <c r="P708" s="133" t="s">
        <v>2417</v>
      </c>
      <c r="Q708" s="133" t="s">
        <v>2417</v>
      </c>
      <c r="R708" s="133" t="s">
        <v>2417</v>
      </c>
      <c r="S708" s="123" t="s">
        <v>2619</v>
      </c>
      <c r="T708" s="133" t="s">
        <v>2417</v>
      </c>
      <c r="U708" s="133" t="s">
        <v>2417</v>
      </c>
      <c r="V708" s="133" t="s">
        <v>2417</v>
      </c>
      <c r="W708" s="133" t="s">
        <v>2417</v>
      </c>
      <c r="X708" s="133" t="s">
        <v>2417</v>
      </c>
      <c r="Y708" s="133" t="s">
        <v>2417</v>
      </c>
      <c r="Z708" s="133" t="s">
        <v>2417</v>
      </c>
      <c r="AA708" s="133" t="s">
        <v>2417</v>
      </c>
      <c r="AB708" s="133" t="s">
        <v>2417</v>
      </c>
      <c r="AC708" s="133" t="s">
        <v>2417</v>
      </c>
      <c r="AD708" s="133" t="s">
        <v>2417</v>
      </c>
      <c r="AE708" s="123"/>
    </row>
    <row r="709" spans="1:31" ht="20.399999999999999" outlineLevel="2">
      <c r="A709" s="68" t="s">
        <v>1656</v>
      </c>
      <c r="B709" s="63" t="s">
        <v>1516</v>
      </c>
      <c r="C709" s="387" t="s">
        <v>1517</v>
      </c>
      <c r="D709" s="351"/>
      <c r="E709" s="133" t="s">
        <v>2715</v>
      </c>
      <c r="F709" s="133" t="s">
        <v>2417</v>
      </c>
      <c r="G709" s="133" t="s">
        <v>2417</v>
      </c>
      <c r="H709" s="133" t="s">
        <v>2417</v>
      </c>
      <c r="I709" s="134" t="s">
        <v>2418</v>
      </c>
      <c r="J709" s="133" t="s">
        <v>2417</v>
      </c>
      <c r="K709" s="133" t="s">
        <v>2417</v>
      </c>
      <c r="L709" s="133" t="s">
        <v>2417</v>
      </c>
      <c r="M709" s="133" t="s">
        <v>2417</v>
      </c>
      <c r="N709" s="133" t="s">
        <v>2417</v>
      </c>
      <c r="O709" s="133" t="s">
        <v>2417</v>
      </c>
      <c r="P709" s="133" t="s">
        <v>2417</v>
      </c>
      <c r="Q709" s="133" t="s">
        <v>2417</v>
      </c>
      <c r="R709" s="133" t="s">
        <v>2417</v>
      </c>
      <c r="S709" s="133" t="s">
        <v>2417</v>
      </c>
      <c r="T709" s="133" t="s">
        <v>2417</v>
      </c>
      <c r="U709" s="133" t="s">
        <v>2417</v>
      </c>
      <c r="V709" s="133" t="s">
        <v>2417</v>
      </c>
      <c r="W709" s="133" t="s">
        <v>2417</v>
      </c>
      <c r="X709" s="133" t="s">
        <v>2417</v>
      </c>
      <c r="Y709" s="133" t="s">
        <v>2417</v>
      </c>
      <c r="Z709" s="133" t="s">
        <v>2417</v>
      </c>
      <c r="AA709" s="133" t="s">
        <v>2417</v>
      </c>
      <c r="AB709" s="133" t="s">
        <v>2417</v>
      </c>
      <c r="AC709" s="133" t="s">
        <v>2417</v>
      </c>
      <c r="AD709" s="133" t="s">
        <v>2417</v>
      </c>
      <c r="AE709" s="59"/>
    </row>
    <row r="710" spans="1:31" ht="20.399999999999999" outlineLevel="2">
      <c r="A710" s="68" t="s">
        <v>1657</v>
      </c>
      <c r="B710" s="64" t="s">
        <v>1658</v>
      </c>
      <c r="C710" s="387" t="s">
        <v>1520</v>
      </c>
      <c r="D710" s="351"/>
      <c r="E710" s="133" t="s">
        <v>2715</v>
      </c>
      <c r="F710" s="133" t="s">
        <v>2417</v>
      </c>
      <c r="G710" s="133" t="s">
        <v>2417</v>
      </c>
      <c r="H710" s="133" t="s">
        <v>2417</v>
      </c>
      <c r="I710" s="134" t="s">
        <v>2418</v>
      </c>
      <c r="J710" s="133" t="s">
        <v>2417</v>
      </c>
      <c r="K710" s="133" t="s">
        <v>2417</v>
      </c>
      <c r="L710" s="133" t="s">
        <v>2417</v>
      </c>
      <c r="M710" s="133" t="s">
        <v>2417</v>
      </c>
      <c r="N710" s="133" t="s">
        <v>2417</v>
      </c>
      <c r="O710" s="133" t="s">
        <v>2417</v>
      </c>
      <c r="P710" s="133" t="s">
        <v>2417</v>
      </c>
      <c r="Q710" s="133" t="s">
        <v>2417</v>
      </c>
      <c r="R710" s="133" t="s">
        <v>2417</v>
      </c>
      <c r="S710" s="133" t="s">
        <v>2417</v>
      </c>
      <c r="T710" s="133" t="s">
        <v>2417</v>
      </c>
      <c r="U710" s="133" t="s">
        <v>2417</v>
      </c>
      <c r="V710" s="133" t="s">
        <v>2417</v>
      </c>
      <c r="W710" s="133" t="s">
        <v>2417</v>
      </c>
      <c r="X710" s="133" t="s">
        <v>2417</v>
      </c>
      <c r="Y710" s="133" t="s">
        <v>2417</v>
      </c>
      <c r="Z710" s="133" t="s">
        <v>2417</v>
      </c>
      <c r="AA710" s="133" t="s">
        <v>2417</v>
      </c>
      <c r="AB710" s="133" t="s">
        <v>2417</v>
      </c>
      <c r="AC710" s="133" t="s">
        <v>2417</v>
      </c>
      <c r="AD710" s="133" t="s">
        <v>2417</v>
      </c>
      <c r="AE710" s="59"/>
    </row>
    <row r="711" spans="1:31" ht="20.399999999999999" outlineLevel="2">
      <c r="A711" s="68" t="s">
        <v>1659</v>
      </c>
      <c r="B711" s="64" t="s">
        <v>1522</v>
      </c>
      <c r="C711" s="387" t="s">
        <v>1523</v>
      </c>
      <c r="D711" s="351"/>
      <c r="E711" s="133" t="s">
        <v>2715</v>
      </c>
      <c r="F711" s="133" t="s">
        <v>2417</v>
      </c>
      <c r="G711" s="133" t="s">
        <v>2417</v>
      </c>
      <c r="H711" s="133" t="s">
        <v>2417</v>
      </c>
      <c r="I711" s="134" t="s">
        <v>2418</v>
      </c>
      <c r="J711" s="133" t="s">
        <v>2417</v>
      </c>
      <c r="K711" s="133" t="s">
        <v>2417</v>
      </c>
      <c r="L711" s="133" t="s">
        <v>2417</v>
      </c>
      <c r="M711" s="133" t="s">
        <v>2417</v>
      </c>
      <c r="N711" s="133" t="s">
        <v>2417</v>
      </c>
      <c r="O711" s="133" t="s">
        <v>2417</v>
      </c>
      <c r="P711" s="133" t="s">
        <v>2417</v>
      </c>
      <c r="Q711" s="133" t="s">
        <v>2417</v>
      </c>
      <c r="R711" s="133" t="s">
        <v>2417</v>
      </c>
      <c r="S711" s="133" t="s">
        <v>2417</v>
      </c>
      <c r="T711" s="133" t="s">
        <v>2417</v>
      </c>
      <c r="U711" s="133" t="s">
        <v>2417</v>
      </c>
      <c r="V711" s="133" t="s">
        <v>2417</v>
      </c>
      <c r="W711" s="133" t="s">
        <v>2417</v>
      </c>
      <c r="X711" s="133" t="s">
        <v>2417</v>
      </c>
      <c r="Y711" s="133" t="s">
        <v>2417</v>
      </c>
      <c r="Z711" s="133" t="s">
        <v>2417</v>
      </c>
      <c r="AA711" s="133" t="s">
        <v>2417</v>
      </c>
      <c r="AB711" s="133" t="s">
        <v>2417</v>
      </c>
      <c r="AC711" s="133" t="s">
        <v>2417</v>
      </c>
      <c r="AD711" s="133" t="s">
        <v>2417</v>
      </c>
      <c r="AE711" s="59"/>
    </row>
    <row r="712" spans="1:31" ht="20.399999999999999" outlineLevel="2">
      <c r="A712" s="68" t="s">
        <v>1660</v>
      </c>
      <c r="B712" s="62" t="s">
        <v>1525</v>
      </c>
      <c r="C712" s="387" t="s">
        <v>1526</v>
      </c>
      <c r="D712" s="351"/>
      <c r="E712" s="133" t="s">
        <v>2715</v>
      </c>
      <c r="F712" s="133" t="s">
        <v>2417</v>
      </c>
      <c r="G712" s="133" t="s">
        <v>2417</v>
      </c>
      <c r="H712" s="133" t="s">
        <v>2417</v>
      </c>
      <c r="I712" s="134" t="s">
        <v>2418</v>
      </c>
      <c r="J712" s="133" t="s">
        <v>2417</v>
      </c>
      <c r="K712" s="133" t="s">
        <v>2417</v>
      </c>
      <c r="L712" s="133" t="s">
        <v>2417</v>
      </c>
      <c r="M712" s="133" t="s">
        <v>2417</v>
      </c>
      <c r="N712" s="133" t="s">
        <v>2417</v>
      </c>
      <c r="O712" s="133" t="s">
        <v>2417</v>
      </c>
      <c r="P712" s="133" t="s">
        <v>2417</v>
      </c>
      <c r="Q712" s="133" t="s">
        <v>2417</v>
      </c>
      <c r="R712" s="133" t="s">
        <v>2417</v>
      </c>
      <c r="S712" s="133" t="s">
        <v>2417</v>
      </c>
      <c r="T712" s="133" t="s">
        <v>2417</v>
      </c>
      <c r="U712" s="133" t="s">
        <v>2417</v>
      </c>
      <c r="V712" s="133" t="s">
        <v>2417</v>
      </c>
      <c r="W712" s="133" t="s">
        <v>2417</v>
      </c>
      <c r="X712" s="133" t="s">
        <v>2417</v>
      </c>
      <c r="Y712" s="133" t="s">
        <v>2417</v>
      </c>
      <c r="Z712" s="133" t="s">
        <v>2417</v>
      </c>
      <c r="AA712" s="133" t="s">
        <v>2417</v>
      </c>
      <c r="AB712" s="133" t="s">
        <v>2417</v>
      </c>
      <c r="AC712" s="133" t="s">
        <v>2417</v>
      </c>
      <c r="AD712" s="133" t="s">
        <v>2417</v>
      </c>
      <c r="AE712" s="59"/>
    </row>
    <row r="713" spans="1:31" ht="20.399999999999999" outlineLevel="2">
      <c r="A713" s="68" t="s">
        <v>1661</v>
      </c>
      <c r="B713" s="63" t="s">
        <v>1528</v>
      </c>
      <c r="C713" s="387" t="s">
        <v>1529</v>
      </c>
      <c r="D713" s="351"/>
      <c r="E713" s="133" t="s">
        <v>2715</v>
      </c>
      <c r="F713" s="133" t="s">
        <v>2417</v>
      </c>
      <c r="G713" s="133" t="s">
        <v>2417</v>
      </c>
      <c r="H713" s="133" t="s">
        <v>2417</v>
      </c>
      <c r="I713" s="134" t="s">
        <v>2418</v>
      </c>
      <c r="J713" s="133" t="s">
        <v>2417</v>
      </c>
      <c r="K713" s="133" t="s">
        <v>2417</v>
      </c>
      <c r="L713" s="133" t="s">
        <v>2417</v>
      </c>
      <c r="M713" s="133" t="s">
        <v>2417</v>
      </c>
      <c r="N713" s="133" t="s">
        <v>2417</v>
      </c>
      <c r="O713" s="133" t="s">
        <v>2417</v>
      </c>
      <c r="P713" s="133" t="s">
        <v>2417</v>
      </c>
      <c r="Q713" s="133" t="s">
        <v>2417</v>
      </c>
      <c r="R713" s="133" t="s">
        <v>2417</v>
      </c>
      <c r="S713" s="133" t="s">
        <v>2417</v>
      </c>
      <c r="T713" s="133" t="s">
        <v>2417</v>
      </c>
      <c r="U713" s="133" t="s">
        <v>2417</v>
      </c>
      <c r="V713" s="133" t="s">
        <v>2417</v>
      </c>
      <c r="W713" s="133" t="s">
        <v>2417</v>
      </c>
      <c r="X713" s="133" t="s">
        <v>2417</v>
      </c>
      <c r="Y713" s="133" t="s">
        <v>2417</v>
      </c>
      <c r="Z713" s="133" t="s">
        <v>2417</v>
      </c>
      <c r="AA713" s="133" t="s">
        <v>2417</v>
      </c>
      <c r="AB713" s="133" t="s">
        <v>2417</v>
      </c>
      <c r="AC713" s="133" t="s">
        <v>2417</v>
      </c>
      <c r="AD713" s="133" t="s">
        <v>2417</v>
      </c>
      <c r="AE713" s="59"/>
    </row>
    <row r="714" spans="1:31" ht="20.399999999999999" outlineLevel="2">
      <c r="A714" s="68" t="s">
        <v>1662</v>
      </c>
      <c r="B714" s="63" t="s">
        <v>1531</v>
      </c>
      <c r="C714" s="387" t="s">
        <v>1610</v>
      </c>
      <c r="D714" s="351"/>
      <c r="E714" s="133" t="s">
        <v>2715</v>
      </c>
      <c r="F714" s="133" t="s">
        <v>2417</v>
      </c>
      <c r="G714" s="133" t="s">
        <v>2417</v>
      </c>
      <c r="H714" s="133" t="s">
        <v>2417</v>
      </c>
      <c r="I714" s="134" t="s">
        <v>2418</v>
      </c>
      <c r="J714" s="133" t="s">
        <v>2417</v>
      </c>
      <c r="K714" s="133" t="s">
        <v>2417</v>
      </c>
      <c r="L714" s="133" t="s">
        <v>2417</v>
      </c>
      <c r="M714" s="133" t="s">
        <v>2417</v>
      </c>
      <c r="N714" s="133" t="s">
        <v>2417</v>
      </c>
      <c r="O714" s="133" t="s">
        <v>2417</v>
      </c>
      <c r="P714" s="133" t="s">
        <v>2417</v>
      </c>
      <c r="Q714" s="133" t="s">
        <v>2417</v>
      </c>
      <c r="R714" s="133" t="s">
        <v>2417</v>
      </c>
      <c r="S714" s="133" t="s">
        <v>2417</v>
      </c>
      <c r="T714" s="133" t="s">
        <v>2417</v>
      </c>
      <c r="U714" s="133" t="s">
        <v>2417</v>
      </c>
      <c r="V714" s="133" t="s">
        <v>2417</v>
      </c>
      <c r="W714" s="133" t="s">
        <v>2417</v>
      </c>
      <c r="X714" s="133" t="s">
        <v>2417</v>
      </c>
      <c r="Y714" s="133" t="s">
        <v>2417</v>
      </c>
      <c r="Z714" s="133" t="s">
        <v>2417</v>
      </c>
      <c r="AA714" s="133" t="s">
        <v>2417</v>
      </c>
      <c r="AB714" s="133" t="s">
        <v>2417</v>
      </c>
      <c r="AC714" s="133" t="s">
        <v>2417</v>
      </c>
      <c r="AD714" s="133" t="s">
        <v>2417</v>
      </c>
      <c r="AE714" s="59"/>
    </row>
    <row r="715" spans="1:31" ht="13.2" outlineLevel="2">
      <c r="A715" s="68" t="s">
        <v>1663</v>
      </c>
      <c r="B715" s="63" t="s">
        <v>1534</v>
      </c>
      <c r="C715" s="387" t="s">
        <v>1535</v>
      </c>
      <c r="D715" s="351"/>
      <c r="E715" s="133" t="s">
        <v>2715</v>
      </c>
      <c r="F715" s="133" t="s">
        <v>2417</v>
      </c>
      <c r="G715" s="133" t="s">
        <v>2417</v>
      </c>
      <c r="H715" s="133" t="s">
        <v>2417</v>
      </c>
      <c r="I715" s="134" t="s">
        <v>2418</v>
      </c>
      <c r="J715" s="133" t="s">
        <v>2417</v>
      </c>
      <c r="K715" s="133" t="s">
        <v>2417</v>
      </c>
      <c r="L715" s="133" t="s">
        <v>2417</v>
      </c>
      <c r="M715" s="133" t="s">
        <v>2417</v>
      </c>
      <c r="N715" s="133" t="s">
        <v>2417</v>
      </c>
      <c r="O715" s="133" t="s">
        <v>2417</v>
      </c>
      <c r="P715" s="133" t="s">
        <v>2417</v>
      </c>
      <c r="Q715" s="133" t="s">
        <v>2417</v>
      </c>
      <c r="R715" s="133" t="s">
        <v>2417</v>
      </c>
      <c r="S715" s="133" t="s">
        <v>2417</v>
      </c>
      <c r="T715" s="133" t="s">
        <v>2417</v>
      </c>
      <c r="U715" s="133" t="s">
        <v>2417</v>
      </c>
      <c r="V715" s="133" t="s">
        <v>2417</v>
      </c>
      <c r="W715" s="133" t="s">
        <v>2417</v>
      </c>
      <c r="X715" s="133" t="s">
        <v>2417</v>
      </c>
      <c r="Y715" s="133" t="s">
        <v>2417</v>
      </c>
      <c r="Z715" s="133" t="s">
        <v>2417</v>
      </c>
      <c r="AA715" s="133" t="s">
        <v>2417</v>
      </c>
      <c r="AB715" s="133" t="s">
        <v>2417</v>
      </c>
      <c r="AC715" s="133" t="s">
        <v>2417</v>
      </c>
      <c r="AD715" s="133" t="s">
        <v>2417</v>
      </c>
      <c r="AE715" s="59"/>
    </row>
    <row r="716" spans="1:31" ht="20.399999999999999" outlineLevel="2">
      <c r="A716" s="68" t="s">
        <v>1664</v>
      </c>
      <c r="B716" s="63" t="s">
        <v>2718</v>
      </c>
      <c r="C716" s="360" t="s">
        <v>2719</v>
      </c>
      <c r="D716" s="351"/>
      <c r="E716" s="133" t="s">
        <v>2715</v>
      </c>
      <c r="F716" s="133" t="s">
        <v>2417</v>
      </c>
      <c r="G716" s="133" t="s">
        <v>2417</v>
      </c>
      <c r="H716" s="133" t="s">
        <v>2417</v>
      </c>
      <c r="I716" s="134" t="s">
        <v>2418</v>
      </c>
      <c r="J716" s="133" t="s">
        <v>2417</v>
      </c>
      <c r="K716" s="133" t="s">
        <v>2417</v>
      </c>
      <c r="L716" s="133" t="s">
        <v>2417</v>
      </c>
      <c r="M716" s="133" t="s">
        <v>2417</v>
      </c>
      <c r="N716" s="133" t="s">
        <v>2417</v>
      </c>
      <c r="O716" s="133" t="s">
        <v>2417</v>
      </c>
      <c r="P716" s="133" t="s">
        <v>2417</v>
      </c>
      <c r="Q716" s="133" t="s">
        <v>2417</v>
      </c>
      <c r="R716" s="133" t="s">
        <v>2417</v>
      </c>
      <c r="S716" s="123" t="s">
        <v>2619</v>
      </c>
      <c r="T716" s="133" t="s">
        <v>2417</v>
      </c>
      <c r="U716" s="133" t="s">
        <v>2417</v>
      </c>
      <c r="V716" s="133" t="s">
        <v>2417</v>
      </c>
      <c r="W716" s="133" t="s">
        <v>2417</v>
      </c>
      <c r="X716" s="133" t="s">
        <v>2417</v>
      </c>
      <c r="Y716" s="133" t="s">
        <v>2417</v>
      </c>
      <c r="Z716" s="133" t="s">
        <v>2417</v>
      </c>
      <c r="AA716" s="133" t="s">
        <v>2417</v>
      </c>
      <c r="AB716" s="133" t="s">
        <v>2417</v>
      </c>
      <c r="AC716" s="133" t="s">
        <v>2417</v>
      </c>
      <c r="AD716" s="133" t="s">
        <v>2417</v>
      </c>
      <c r="AE716" s="123"/>
    </row>
    <row r="717" spans="1:31" ht="20.399999999999999" outlineLevel="2">
      <c r="A717" s="68" t="s">
        <v>1667</v>
      </c>
      <c r="B717" s="63" t="s">
        <v>2720</v>
      </c>
      <c r="C717" s="360" t="s">
        <v>2721</v>
      </c>
      <c r="D717" s="351"/>
      <c r="E717" s="133" t="s">
        <v>2715</v>
      </c>
      <c r="F717" s="133" t="s">
        <v>2417</v>
      </c>
      <c r="G717" s="133" t="s">
        <v>2417</v>
      </c>
      <c r="H717" s="133" t="s">
        <v>2417</v>
      </c>
      <c r="I717" s="134" t="s">
        <v>2418</v>
      </c>
      <c r="J717" s="133" t="s">
        <v>2417</v>
      </c>
      <c r="K717" s="133" t="s">
        <v>2417</v>
      </c>
      <c r="L717" s="133" t="s">
        <v>2417</v>
      </c>
      <c r="M717" s="133" t="s">
        <v>2417</v>
      </c>
      <c r="N717" s="133" t="s">
        <v>2417</v>
      </c>
      <c r="O717" s="133" t="s">
        <v>2417</v>
      </c>
      <c r="P717" s="133" t="s">
        <v>2417</v>
      </c>
      <c r="Q717" s="133" t="s">
        <v>2417</v>
      </c>
      <c r="R717" s="133" t="s">
        <v>2417</v>
      </c>
      <c r="S717" s="123" t="s">
        <v>2619</v>
      </c>
      <c r="T717" s="133" t="s">
        <v>2417</v>
      </c>
      <c r="U717" s="133" t="s">
        <v>2417</v>
      </c>
      <c r="V717" s="133" t="s">
        <v>2417</v>
      </c>
      <c r="W717" s="133" t="s">
        <v>2417</v>
      </c>
      <c r="X717" s="133" t="s">
        <v>2417</v>
      </c>
      <c r="Y717" s="133" t="s">
        <v>2417</v>
      </c>
      <c r="Z717" s="133" t="s">
        <v>2417</v>
      </c>
      <c r="AA717" s="133" t="s">
        <v>2417</v>
      </c>
      <c r="AB717" s="133" t="s">
        <v>2417</v>
      </c>
      <c r="AC717" s="133" t="s">
        <v>2417</v>
      </c>
      <c r="AD717" s="133" t="s">
        <v>2417</v>
      </c>
      <c r="AE717" s="123"/>
    </row>
    <row r="718" spans="1:31" ht="20.399999999999999" outlineLevel="2">
      <c r="A718" s="68" t="s">
        <v>1670</v>
      </c>
      <c r="B718" s="63" t="s">
        <v>2722</v>
      </c>
      <c r="C718" s="360" t="s">
        <v>1544</v>
      </c>
      <c r="D718" s="351"/>
      <c r="E718" s="133" t="s">
        <v>2715</v>
      </c>
      <c r="F718" s="133" t="s">
        <v>2417</v>
      </c>
      <c r="G718" s="133" t="s">
        <v>2417</v>
      </c>
      <c r="H718" s="133" t="s">
        <v>2417</v>
      </c>
      <c r="I718" s="134" t="s">
        <v>2418</v>
      </c>
      <c r="J718" s="133" t="s">
        <v>2417</v>
      </c>
      <c r="K718" s="133" t="s">
        <v>2417</v>
      </c>
      <c r="L718" s="133" t="s">
        <v>2417</v>
      </c>
      <c r="M718" s="133" t="s">
        <v>2417</v>
      </c>
      <c r="N718" s="133" t="s">
        <v>2417</v>
      </c>
      <c r="O718" s="133" t="s">
        <v>2417</v>
      </c>
      <c r="P718" s="133" t="s">
        <v>2417</v>
      </c>
      <c r="Q718" s="133" t="s">
        <v>2417</v>
      </c>
      <c r="R718" s="133" t="s">
        <v>2417</v>
      </c>
      <c r="S718" s="123" t="s">
        <v>2619</v>
      </c>
      <c r="T718" s="133" t="s">
        <v>2417</v>
      </c>
      <c r="U718" s="133" t="s">
        <v>2417</v>
      </c>
      <c r="V718" s="133" t="s">
        <v>2417</v>
      </c>
      <c r="W718" s="133" t="s">
        <v>2417</v>
      </c>
      <c r="X718" s="133" t="s">
        <v>2417</v>
      </c>
      <c r="Y718" s="133" t="s">
        <v>2417</v>
      </c>
      <c r="Z718" s="133" t="s">
        <v>2417</v>
      </c>
      <c r="AA718" s="133" t="s">
        <v>2417</v>
      </c>
      <c r="AB718" s="133" t="s">
        <v>2417</v>
      </c>
      <c r="AC718" s="133" t="s">
        <v>2417</v>
      </c>
      <c r="AD718" s="133" t="s">
        <v>2417</v>
      </c>
      <c r="AE718" s="123"/>
    </row>
    <row r="719" spans="1:31" ht="20.399999999999999" outlineLevel="2">
      <c r="A719" s="68" t="s">
        <v>1672</v>
      </c>
      <c r="B719" s="63" t="s">
        <v>2723</v>
      </c>
      <c r="C719" s="360" t="s">
        <v>1544</v>
      </c>
      <c r="D719" s="351"/>
      <c r="E719" s="133" t="s">
        <v>2715</v>
      </c>
      <c r="F719" s="133" t="s">
        <v>2417</v>
      </c>
      <c r="G719" s="133" t="s">
        <v>2417</v>
      </c>
      <c r="H719" s="133" t="s">
        <v>2417</v>
      </c>
      <c r="I719" s="134" t="s">
        <v>2418</v>
      </c>
      <c r="J719" s="133" t="s">
        <v>2417</v>
      </c>
      <c r="K719" s="133" t="s">
        <v>2417</v>
      </c>
      <c r="L719" s="133" t="s">
        <v>2417</v>
      </c>
      <c r="M719" s="133" t="s">
        <v>2417</v>
      </c>
      <c r="N719" s="133" t="s">
        <v>2417</v>
      </c>
      <c r="O719" s="133" t="s">
        <v>2417</v>
      </c>
      <c r="P719" s="133" t="s">
        <v>2417</v>
      </c>
      <c r="Q719" s="133" t="s">
        <v>2417</v>
      </c>
      <c r="R719" s="133" t="s">
        <v>2417</v>
      </c>
      <c r="S719" s="123" t="s">
        <v>2619</v>
      </c>
      <c r="T719" s="133" t="s">
        <v>2417</v>
      </c>
      <c r="U719" s="133" t="s">
        <v>2417</v>
      </c>
      <c r="V719" s="133" t="s">
        <v>2417</v>
      </c>
      <c r="W719" s="133" t="s">
        <v>2417</v>
      </c>
      <c r="X719" s="133" t="s">
        <v>2417</v>
      </c>
      <c r="Y719" s="133" t="s">
        <v>2417</v>
      </c>
      <c r="Z719" s="133" t="s">
        <v>2417</v>
      </c>
      <c r="AA719" s="133" t="s">
        <v>2417</v>
      </c>
      <c r="AB719" s="133" t="s">
        <v>2417</v>
      </c>
      <c r="AC719" s="133" t="s">
        <v>2417</v>
      </c>
      <c r="AD719" s="133" t="s">
        <v>2417</v>
      </c>
      <c r="AE719" s="123"/>
    </row>
    <row r="720" spans="1:31" ht="20.399999999999999" outlineLevel="2">
      <c r="A720" s="68" t="s">
        <v>1674</v>
      </c>
      <c r="B720" s="63" t="s">
        <v>2724</v>
      </c>
      <c r="C720" s="360" t="s">
        <v>1544</v>
      </c>
      <c r="D720" s="351"/>
      <c r="E720" s="133" t="s">
        <v>2715</v>
      </c>
      <c r="F720" s="133" t="s">
        <v>2417</v>
      </c>
      <c r="G720" s="133" t="s">
        <v>2417</v>
      </c>
      <c r="H720" s="133" t="s">
        <v>2417</v>
      </c>
      <c r="I720" s="134" t="s">
        <v>2418</v>
      </c>
      <c r="J720" s="133" t="s">
        <v>2417</v>
      </c>
      <c r="K720" s="133" t="s">
        <v>2417</v>
      </c>
      <c r="L720" s="133" t="s">
        <v>2417</v>
      </c>
      <c r="M720" s="133" t="s">
        <v>2417</v>
      </c>
      <c r="N720" s="133" t="s">
        <v>2417</v>
      </c>
      <c r="O720" s="133" t="s">
        <v>2417</v>
      </c>
      <c r="P720" s="133" t="s">
        <v>2417</v>
      </c>
      <c r="Q720" s="133" t="s">
        <v>2417</v>
      </c>
      <c r="R720" s="133" t="s">
        <v>2417</v>
      </c>
      <c r="S720" s="123" t="s">
        <v>2619</v>
      </c>
      <c r="T720" s="133" t="s">
        <v>2417</v>
      </c>
      <c r="U720" s="133" t="s">
        <v>2417</v>
      </c>
      <c r="V720" s="133" t="s">
        <v>2417</v>
      </c>
      <c r="W720" s="133" t="s">
        <v>2417</v>
      </c>
      <c r="X720" s="133" t="s">
        <v>2417</v>
      </c>
      <c r="Y720" s="133" t="s">
        <v>2417</v>
      </c>
      <c r="Z720" s="133" t="s">
        <v>2417</v>
      </c>
      <c r="AA720" s="133" t="s">
        <v>2417</v>
      </c>
      <c r="AB720" s="133" t="s">
        <v>2417</v>
      </c>
      <c r="AC720" s="133" t="s">
        <v>2417</v>
      </c>
      <c r="AD720" s="133" t="s">
        <v>2417</v>
      </c>
      <c r="AE720" s="123"/>
    </row>
    <row r="721" spans="1:31" ht="20.399999999999999" outlineLevel="2">
      <c r="A721" s="68" t="s">
        <v>1676</v>
      </c>
      <c r="B721" s="63" t="s">
        <v>2725</v>
      </c>
      <c r="C721" s="360" t="s">
        <v>2726</v>
      </c>
      <c r="D721" s="351"/>
      <c r="E721" s="133" t="s">
        <v>2715</v>
      </c>
      <c r="F721" s="133" t="s">
        <v>2417</v>
      </c>
      <c r="G721" s="133" t="s">
        <v>2417</v>
      </c>
      <c r="H721" s="133" t="s">
        <v>2417</v>
      </c>
      <c r="I721" s="134" t="s">
        <v>2418</v>
      </c>
      <c r="J721" s="133" t="s">
        <v>2417</v>
      </c>
      <c r="K721" s="133" t="s">
        <v>2417</v>
      </c>
      <c r="L721" s="133" t="s">
        <v>2417</v>
      </c>
      <c r="M721" s="133" t="s">
        <v>2417</v>
      </c>
      <c r="N721" s="133" t="s">
        <v>2417</v>
      </c>
      <c r="O721" s="133" t="s">
        <v>2417</v>
      </c>
      <c r="P721" s="133" t="s">
        <v>2417</v>
      </c>
      <c r="Q721" s="133" t="s">
        <v>2417</v>
      </c>
      <c r="R721" s="133" t="s">
        <v>2417</v>
      </c>
      <c r="S721" s="123" t="s">
        <v>2619</v>
      </c>
      <c r="T721" s="133" t="s">
        <v>2417</v>
      </c>
      <c r="U721" s="133" t="s">
        <v>2417</v>
      </c>
      <c r="V721" s="133" t="s">
        <v>2417</v>
      </c>
      <c r="W721" s="133" t="s">
        <v>2417</v>
      </c>
      <c r="X721" s="133" t="s">
        <v>2417</v>
      </c>
      <c r="Y721" s="133" t="s">
        <v>2417</v>
      </c>
      <c r="Z721" s="133" t="s">
        <v>2595</v>
      </c>
      <c r="AA721" s="133" t="s">
        <v>2417</v>
      </c>
      <c r="AB721" s="133" t="s">
        <v>2417</v>
      </c>
      <c r="AC721" s="133" t="s">
        <v>2417</v>
      </c>
      <c r="AD721" s="133" t="s">
        <v>2417</v>
      </c>
      <c r="AE721" s="123"/>
    </row>
    <row r="722" spans="1:31" ht="20.399999999999999" hidden="1" outlineLevel="2">
      <c r="A722" s="68" t="s">
        <v>1676</v>
      </c>
      <c r="B722" s="62" t="s">
        <v>2628</v>
      </c>
      <c r="C722" s="355" t="s">
        <v>2629</v>
      </c>
      <c r="D722" s="351"/>
      <c r="E722" s="133" t="s">
        <v>2715</v>
      </c>
      <c r="F722" s="133" t="s">
        <v>2417</v>
      </c>
      <c r="G722" s="133" t="s">
        <v>2417</v>
      </c>
      <c r="H722" s="133" t="s">
        <v>2417</v>
      </c>
      <c r="I722" s="133" t="s">
        <v>2417</v>
      </c>
      <c r="J722" s="133" t="s">
        <v>2417</v>
      </c>
      <c r="K722" s="133" t="s">
        <v>2417</v>
      </c>
      <c r="L722" s="133" t="s">
        <v>2417</v>
      </c>
      <c r="M722" s="133" t="s">
        <v>2417</v>
      </c>
      <c r="N722" s="133" t="s">
        <v>2417</v>
      </c>
      <c r="O722" s="133" t="s">
        <v>2417</v>
      </c>
      <c r="P722" s="133" t="s">
        <v>2417</v>
      </c>
      <c r="Q722" s="133" t="s">
        <v>2417</v>
      </c>
      <c r="R722" s="133" t="s">
        <v>2417</v>
      </c>
      <c r="S722" s="133" t="s">
        <v>2417</v>
      </c>
      <c r="T722" s="133" t="s">
        <v>2417</v>
      </c>
      <c r="U722" s="133" t="s">
        <v>2417</v>
      </c>
      <c r="V722" s="133" t="s">
        <v>2417</v>
      </c>
      <c r="W722" s="133" t="s">
        <v>2417</v>
      </c>
      <c r="X722" s="133" t="s">
        <v>2417</v>
      </c>
      <c r="Y722" s="133" t="s">
        <v>2417</v>
      </c>
      <c r="Z722" s="133" t="s">
        <v>2596</v>
      </c>
      <c r="AA722" s="133" t="s">
        <v>2417</v>
      </c>
      <c r="AB722" s="133" t="s">
        <v>2417</v>
      </c>
      <c r="AC722" s="133" t="s">
        <v>2417</v>
      </c>
      <c r="AD722" s="133" t="s">
        <v>2417</v>
      </c>
      <c r="AE722" s="123"/>
    </row>
    <row r="723" spans="1:31" ht="30.6" outlineLevel="2">
      <c r="A723" s="68" t="s">
        <v>1679</v>
      </c>
      <c r="B723" s="63" t="s">
        <v>2727</v>
      </c>
      <c r="C723" s="360" t="s">
        <v>1554</v>
      </c>
      <c r="D723" s="351"/>
      <c r="E723" s="133" t="s">
        <v>2715</v>
      </c>
      <c r="F723" s="133" t="s">
        <v>2417</v>
      </c>
      <c r="G723" s="133" t="s">
        <v>2417</v>
      </c>
      <c r="H723" s="133" t="s">
        <v>2417</v>
      </c>
      <c r="I723" s="134" t="s">
        <v>2418</v>
      </c>
      <c r="J723" s="133" t="s">
        <v>2417</v>
      </c>
      <c r="K723" s="133" t="s">
        <v>2417</v>
      </c>
      <c r="L723" s="133" t="s">
        <v>2417</v>
      </c>
      <c r="M723" s="133" t="s">
        <v>2417</v>
      </c>
      <c r="N723" s="133" t="s">
        <v>2417</v>
      </c>
      <c r="O723" s="133" t="s">
        <v>2417</v>
      </c>
      <c r="P723" s="133" t="s">
        <v>2417</v>
      </c>
      <c r="Q723" s="133" t="s">
        <v>2417</v>
      </c>
      <c r="R723" s="133" t="s">
        <v>2417</v>
      </c>
      <c r="S723" s="123" t="s">
        <v>2619</v>
      </c>
      <c r="T723" s="133" t="s">
        <v>2417</v>
      </c>
      <c r="U723" s="133" t="s">
        <v>2417</v>
      </c>
      <c r="V723" s="133" t="s">
        <v>2417</v>
      </c>
      <c r="W723" s="133" t="s">
        <v>2417</v>
      </c>
      <c r="X723" s="133" t="s">
        <v>2417</v>
      </c>
      <c r="Y723" s="133" t="s">
        <v>2595</v>
      </c>
      <c r="Z723" s="133" t="s">
        <v>2417</v>
      </c>
      <c r="AA723" s="133" t="s">
        <v>2417</v>
      </c>
      <c r="AB723" s="133" t="s">
        <v>2417</v>
      </c>
      <c r="AC723" s="133" t="s">
        <v>2417</v>
      </c>
      <c r="AD723" s="133" t="s">
        <v>2417</v>
      </c>
      <c r="AE723" s="123"/>
    </row>
    <row r="724" spans="1:31" ht="20.399999999999999" hidden="1" outlineLevel="2">
      <c r="A724" s="68" t="s">
        <v>1679</v>
      </c>
      <c r="B724" s="64" t="s">
        <v>2705</v>
      </c>
      <c r="C724" s="355" t="s">
        <v>2632</v>
      </c>
      <c r="D724" s="351"/>
      <c r="E724" s="133" t="s">
        <v>2715</v>
      </c>
      <c r="F724" s="133" t="s">
        <v>2417</v>
      </c>
      <c r="G724" s="133" t="s">
        <v>2417</v>
      </c>
      <c r="H724" s="133" t="s">
        <v>2417</v>
      </c>
      <c r="I724" s="133" t="s">
        <v>2417</v>
      </c>
      <c r="J724" s="133" t="s">
        <v>2417</v>
      </c>
      <c r="K724" s="133" t="s">
        <v>2417</v>
      </c>
      <c r="L724" s="133" t="s">
        <v>2417</v>
      </c>
      <c r="M724" s="133" t="s">
        <v>2417</v>
      </c>
      <c r="N724" s="133" t="s">
        <v>2417</v>
      </c>
      <c r="O724" s="133" t="s">
        <v>2417</v>
      </c>
      <c r="P724" s="133" t="s">
        <v>2417</v>
      </c>
      <c r="Q724" s="133" t="s">
        <v>2417</v>
      </c>
      <c r="R724" s="133" t="s">
        <v>2417</v>
      </c>
      <c r="S724" s="133" t="s">
        <v>2417</v>
      </c>
      <c r="T724" s="133" t="s">
        <v>2417</v>
      </c>
      <c r="U724" s="133" t="s">
        <v>2417</v>
      </c>
      <c r="V724" s="133" t="s">
        <v>2417</v>
      </c>
      <c r="W724" s="133" t="s">
        <v>2417</v>
      </c>
      <c r="X724" s="133" t="s">
        <v>2417</v>
      </c>
      <c r="Y724" s="133" t="s">
        <v>2596</v>
      </c>
      <c r="Z724" s="133" t="s">
        <v>2417</v>
      </c>
      <c r="AA724" s="133" t="s">
        <v>2417</v>
      </c>
      <c r="AB724" s="133" t="s">
        <v>2417</v>
      </c>
      <c r="AC724" s="133" t="s">
        <v>2417</v>
      </c>
      <c r="AD724" s="133" t="s">
        <v>2417</v>
      </c>
      <c r="AE724" s="123"/>
    </row>
    <row r="725" spans="1:31" ht="20.399999999999999" outlineLevel="2">
      <c r="A725" s="68" t="s">
        <v>1681</v>
      </c>
      <c r="B725" s="63" t="s">
        <v>2728</v>
      </c>
      <c r="C725" s="360" t="s">
        <v>2729</v>
      </c>
      <c r="D725" s="351"/>
      <c r="E725" s="133" t="s">
        <v>2715</v>
      </c>
      <c r="F725" s="133" t="s">
        <v>2417</v>
      </c>
      <c r="G725" s="133" t="s">
        <v>2417</v>
      </c>
      <c r="H725" s="133" t="s">
        <v>2417</v>
      </c>
      <c r="I725" s="134" t="s">
        <v>2418</v>
      </c>
      <c r="J725" s="133" t="s">
        <v>2417</v>
      </c>
      <c r="K725" s="133" t="s">
        <v>2417</v>
      </c>
      <c r="L725" s="133" t="s">
        <v>2417</v>
      </c>
      <c r="M725" s="133" t="s">
        <v>2417</v>
      </c>
      <c r="N725" s="133" t="s">
        <v>2417</v>
      </c>
      <c r="O725" s="133" t="s">
        <v>2417</v>
      </c>
      <c r="P725" s="133" t="s">
        <v>2417</v>
      </c>
      <c r="Q725" s="133" t="s">
        <v>2417</v>
      </c>
      <c r="R725" s="133" t="s">
        <v>2417</v>
      </c>
      <c r="S725" s="123" t="s">
        <v>2619</v>
      </c>
      <c r="T725" s="133" t="s">
        <v>2417</v>
      </c>
      <c r="U725" s="133" t="s">
        <v>2417</v>
      </c>
      <c r="V725" s="133" t="s">
        <v>2417</v>
      </c>
      <c r="W725" s="133" t="s">
        <v>2417</v>
      </c>
      <c r="X725" s="133" t="s">
        <v>2417</v>
      </c>
      <c r="Y725" s="133" t="s">
        <v>2417</v>
      </c>
      <c r="Z725" s="133" t="s">
        <v>2417</v>
      </c>
      <c r="AA725" s="133" t="s">
        <v>2417</v>
      </c>
      <c r="AB725" s="133" t="s">
        <v>2417</v>
      </c>
      <c r="AC725" s="133" t="s">
        <v>2417</v>
      </c>
      <c r="AD725" s="133" t="s">
        <v>2417</v>
      </c>
      <c r="AE725" s="123"/>
    </row>
    <row r="726" spans="1:31" ht="20.399999999999999" outlineLevel="2">
      <c r="A726" s="68" t="s">
        <v>1684</v>
      </c>
      <c r="B726" s="63" t="s">
        <v>2730</v>
      </c>
      <c r="C726" s="360" t="s">
        <v>1560</v>
      </c>
      <c r="D726" s="351"/>
      <c r="E726" s="133" t="s">
        <v>2715</v>
      </c>
      <c r="F726" s="133" t="s">
        <v>2417</v>
      </c>
      <c r="G726" s="133" t="s">
        <v>2417</v>
      </c>
      <c r="H726" s="133" t="s">
        <v>2417</v>
      </c>
      <c r="I726" s="134" t="s">
        <v>2418</v>
      </c>
      <c r="J726" s="133" t="s">
        <v>2417</v>
      </c>
      <c r="K726" s="133" t="s">
        <v>2417</v>
      </c>
      <c r="L726" s="133" t="s">
        <v>2417</v>
      </c>
      <c r="M726" s="133" t="s">
        <v>2417</v>
      </c>
      <c r="N726" s="133" t="s">
        <v>2417</v>
      </c>
      <c r="O726" s="133" t="s">
        <v>2417</v>
      </c>
      <c r="P726" s="133" t="s">
        <v>2417</v>
      </c>
      <c r="Q726" s="133" t="s">
        <v>2417</v>
      </c>
      <c r="R726" s="133" t="s">
        <v>2417</v>
      </c>
      <c r="S726" s="123" t="s">
        <v>2619</v>
      </c>
      <c r="T726" s="133" t="s">
        <v>2417</v>
      </c>
      <c r="U726" s="133" t="s">
        <v>2417</v>
      </c>
      <c r="V726" s="133" t="s">
        <v>2417</v>
      </c>
      <c r="W726" s="133" t="s">
        <v>2417</v>
      </c>
      <c r="X726" s="133" t="s">
        <v>2417</v>
      </c>
      <c r="Y726" s="133" t="s">
        <v>2417</v>
      </c>
      <c r="Z726" s="133" t="s">
        <v>2417</v>
      </c>
      <c r="AA726" s="133" t="s">
        <v>2417</v>
      </c>
      <c r="AB726" s="133" t="s">
        <v>2417</v>
      </c>
      <c r="AC726" s="133" t="s">
        <v>2417</v>
      </c>
      <c r="AD726" s="133" t="s">
        <v>2417</v>
      </c>
      <c r="AE726" s="123"/>
    </row>
    <row r="727" spans="1:31" ht="20.399999999999999" outlineLevel="2">
      <c r="A727" s="68" t="s">
        <v>1686</v>
      </c>
      <c r="B727" s="63" t="s">
        <v>2731</v>
      </c>
      <c r="C727" s="360" t="s">
        <v>1566</v>
      </c>
      <c r="D727" s="351"/>
      <c r="E727" s="133" t="s">
        <v>2715</v>
      </c>
      <c r="F727" s="133" t="s">
        <v>2417</v>
      </c>
      <c r="G727" s="133" t="s">
        <v>2417</v>
      </c>
      <c r="H727" s="133" t="s">
        <v>2417</v>
      </c>
      <c r="I727" s="134" t="s">
        <v>2418</v>
      </c>
      <c r="J727" s="133" t="s">
        <v>2417</v>
      </c>
      <c r="K727" s="133" t="s">
        <v>2417</v>
      </c>
      <c r="L727" s="133" t="s">
        <v>2417</v>
      </c>
      <c r="M727" s="133" t="s">
        <v>2417</v>
      </c>
      <c r="N727" s="133" t="s">
        <v>2417</v>
      </c>
      <c r="O727" s="133" t="s">
        <v>2417</v>
      </c>
      <c r="P727" s="133" t="s">
        <v>2417</v>
      </c>
      <c r="Q727" s="133" t="s">
        <v>2417</v>
      </c>
      <c r="R727" s="133" t="s">
        <v>2417</v>
      </c>
      <c r="S727" s="123" t="s">
        <v>2619</v>
      </c>
      <c r="T727" s="133" t="s">
        <v>2417</v>
      </c>
      <c r="U727" s="133" t="s">
        <v>2417</v>
      </c>
      <c r="V727" s="133" t="s">
        <v>2417</v>
      </c>
      <c r="W727" s="133" t="s">
        <v>2417</v>
      </c>
      <c r="X727" s="133" t="s">
        <v>2417</v>
      </c>
      <c r="Y727" s="133" t="s">
        <v>2417</v>
      </c>
      <c r="Z727" s="133" t="s">
        <v>2417</v>
      </c>
      <c r="AA727" s="133" t="s">
        <v>2417</v>
      </c>
      <c r="AB727" s="133" t="s">
        <v>2417</v>
      </c>
      <c r="AC727" s="133" t="s">
        <v>2417</v>
      </c>
      <c r="AD727" s="133" t="s">
        <v>2417</v>
      </c>
      <c r="AE727" s="123"/>
    </row>
    <row r="728" spans="1:31" ht="20.399999999999999" hidden="1" outlineLevel="2">
      <c r="A728" s="68" t="s">
        <v>1688</v>
      </c>
      <c r="B728" s="62" t="s">
        <v>1568</v>
      </c>
      <c r="C728" s="355" t="s">
        <v>2636</v>
      </c>
      <c r="D728" s="351"/>
      <c r="E728" s="133" t="s">
        <v>2715</v>
      </c>
      <c r="F728" s="133" t="s">
        <v>2417</v>
      </c>
      <c r="G728" s="133" t="s">
        <v>2417</v>
      </c>
      <c r="H728" s="133" t="s">
        <v>2417</v>
      </c>
      <c r="I728" s="134" t="s">
        <v>2418</v>
      </c>
      <c r="J728" s="133" t="s">
        <v>2417</v>
      </c>
      <c r="K728" s="133" t="s">
        <v>2417</v>
      </c>
      <c r="L728" s="133" t="s">
        <v>2417</v>
      </c>
      <c r="M728" s="133" t="s">
        <v>2417</v>
      </c>
      <c r="N728" s="133" t="s">
        <v>2417</v>
      </c>
      <c r="O728" s="133" t="s">
        <v>2417</v>
      </c>
      <c r="P728" s="133" t="s">
        <v>2417</v>
      </c>
      <c r="Q728" s="133" t="s">
        <v>2417</v>
      </c>
      <c r="R728" s="133" t="s">
        <v>2417</v>
      </c>
      <c r="S728" s="133" t="s">
        <v>2417</v>
      </c>
      <c r="T728" s="133" t="s">
        <v>2417</v>
      </c>
      <c r="U728" s="133" t="s">
        <v>2417</v>
      </c>
      <c r="V728" s="133" t="s">
        <v>2417</v>
      </c>
      <c r="W728" s="59" t="s">
        <v>2595</v>
      </c>
      <c r="X728" s="133" t="s">
        <v>2417</v>
      </c>
      <c r="Y728" s="133" t="s">
        <v>2417</v>
      </c>
      <c r="Z728" s="133" t="s">
        <v>2417</v>
      </c>
      <c r="AA728" s="133" t="s">
        <v>2417</v>
      </c>
      <c r="AB728" s="133" t="s">
        <v>2417</v>
      </c>
      <c r="AC728" s="133" t="s">
        <v>2417</v>
      </c>
      <c r="AD728" s="133" t="s">
        <v>2417</v>
      </c>
      <c r="AE728" s="57"/>
    </row>
    <row r="729" spans="1:31" ht="20.399999999999999" outlineLevel="2">
      <c r="A729" s="68" t="s">
        <v>1688</v>
      </c>
      <c r="B729" s="63" t="s">
        <v>1568</v>
      </c>
      <c r="C729" s="387" t="s">
        <v>2732</v>
      </c>
      <c r="D729" s="351"/>
      <c r="E729" s="133" t="s">
        <v>2715</v>
      </c>
      <c r="F729" s="133" t="s">
        <v>2417</v>
      </c>
      <c r="G729" s="133" t="s">
        <v>2417</v>
      </c>
      <c r="H729" s="133" t="s">
        <v>2417</v>
      </c>
      <c r="I729" s="134" t="s">
        <v>2418</v>
      </c>
      <c r="J729" s="133" t="s">
        <v>2417</v>
      </c>
      <c r="K729" s="133" t="s">
        <v>2417</v>
      </c>
      <c r="L729" s="133" t="s">
        <v>2417</v>
      </c>
      <c r="M729" s="133" t="s">
        <v>2417</v>
      </c>
      <c r="N729" s="133" t="s">
        <v>2417</v>
      </c>
      <c r="O729" s="133" t="s">
        <v>2417</v>
      </c>
      <c r="P729" s="133" t="s">
        <v>2417</v>
      </c>
      <c r="Q729" s="133" t="s">
        <v>2417</v>
      </c>
      <c r="R729" s="133" t="s">
        <v>2417</v>
      </c>
      <c r="S729" s="133" t="s">
        <v>2417</v>
      </c>
      <c r="T729" s="133" t="s">
        <v>2417</v>
      </c>
      <c r="U729" s="133" t="s">
        <v>2417</v>
      </c>
      <c r="V729" s="133" t="s">
        <v>2417</v>
      </c>
      <c r="W729" s="59" t="s">
        <v>2596</v>
      </c>
      <c r="X729" s="133" t="s">
        <v>2417</v>
      </c>
      <c r="Y729" s="133" t="s">
        <v>2417</v>
      </c>
      <c r="Z729" s="133" t="s">
        <v>2417</v>
      </c>
      <c r="AA729" s="133" t="s">
        <v>2417</v>
      </c>
      <c r="AB729" s="133" t="s">
        <v>2417</v>
      </c>
      <c r="AC729" s="133" t="s">
        <v>2417</v>
      </c>
      <c r="AD729" s="133" t="s">
        <v>2417</v>
      </c>
      <c r="AE729" s="57"/>
    </row>
    <row r="730" spans="1:31" ht="20.399999999999999" outlineLevel="2">
      <c r="A730" s="68" t="s">
        <v>1690</v>
      </c>
      <c r="B730" s="63" t="s">
        <v>1691</v>
      </c>
      <c r="C730" s="387" t="s">
        <v>1692</v>
      </c>
      <c r="D730" s="351"/>
      <c r="E730" s="133" t="s">
        <v>2715</v>
      </c>
      <c r="F730" s="133" t="s">
        <v>2417</v>
      </c>
      <c r="G730" s="133" t="s">
        <v>2417</v>
      </c>
      <c r="H730" s="133" t="s">
        <v>2417</v>
      </c>
      <c r="I730" s="134" t="s">
        <v>2418</v>
      </c>
      <c r="J730" s="133" t="s">
        <v>2417</v>
      </c>
      <c r="K730" s="133" t="s">
        <v>2417</v>
      </c>
      <c r="L730" s="133" t="s">
        <v>2417</v>
      </c>
      <c r="M730" s="133" t="s">
        <v>2417</v>
      </c>
      <c r="N730" s="133" t="s">
        <v>2417</v>
      </c>
      <c r="O730" s="133" t="s">
        <v>2417</v>
      </c>
      <c r="P730" s="133" t="s">
        <v>2417</v>
      </c>
      <c r="Q730" s="133" t="s">
        <v>2417</v>
      </c>
      <c r="R730" s="133" t="s">
        <v>2417</v>
      </c>
      <c r="S730" s="133" t="s">
        <v>2417</v>
      </c>
      <c r="T730" s="133" t="s">
        <v>2417</v>
      </c>
      <c r="U730" s="133" t="s">
        <v>2417</v>
      </c>
      <c r="V730" s="133" t="s">
        <v>2417</v>
      </c>
      <c r="W730" s="59" t="s">
        <v>2596</v>
      </c>
      <c r="X730" s="133" t="s">
        <v>2417</v>
      </c>
      <c r="Y730" s="133" t="s">
        <v>2417</v>
      </c>
      <c r="Z730" s="133" t="s">
        <v>2417</v>
      </c>
      <c r="AA730" s="133" t="s">
        <v>2417</v>
      </c>
      <c r="AB730" s="133" t="s">
        <v>2417</v>
      </c>
      <c r="AC730" s="133" t="s">
        <v>2417</v>
      </c>
      <c r="AD730" s="133" t="s">
        <v>2417</v>
      </c>
      <c r="AE730" s="59"/>
    </row>
    <row r="731" spans="1:31" ht="20.399999999999999" hidden="1" outlineLevel="2">
      <c r="A731" s="68" t="s">
        <v>1693</v>
      </c>
      <c r="B731" s="62" t="s">
        <v>1580</v>
      </c>
      <c r="C731" s="355" t="s">
        <v>2640</v>
      </c>
      <c r="D731" s="351"/>
      <c r="E731" s="133" t="s">
        <v>2715</v>
      </c>
      <c r="F731" s="133" t="s">
        <v>2417</v>
      </c>
      <c r="G731" s="133" t="s">
        <v>2417</v>
      </c>
      <c r="H731" s="133" t="s">
        <v>2417</v>
      </c>
      <c r="I731" s="134" t="s">
        <v>2418</v>
      </c>
      <c r="J731" s="133" t="s">
        <v>2417</v>
      </c>
      <c r="K731" s="133" t="s">
        <v>2417</v>
      </c>
      <c r="L731" s="133" t="s">
        <v>2417</v>
      </c>
      <c r="M731" s="133" t="s">
        <v>2417</v>
      </c>
      <c r="N731" s="133" t="s">
        <v>2417</v>
      </c>
      <c r="O731" s="133" t="s">
        <v>2417</v>
      </c>
      <c r="P731" s="133" t="s">
        <v>2417</v>
      </c>
      <c r="Q731" s="133" t="s">
        <v>2417</v>
      </c>
      <c r="R731" s="133" t="s">
        <v>2417</v>
      </c>
      <c r="S731" s="133" t="s">
        <v>2417</v>
      </c>
      <c r="T731" s="133" t="s">
        <v>2417</v>
      </c>
      <c r="U731" s="133" t="s">
        <v>2417</v>
      </c>
      <c r="V731" s="133" t="s">
        <v>2417</v>
      </c>
      <c r="W731" s="133" t="s">
        <v>2417</v>
      </c>
      <c r="X731" s="59" t="s">
        <v>2595</v>
      </c>
      <c r="Y731" s="133" t="s">
        <v>2417</v>
      </c>
      <c r="Z731" s="133" t="s">
        <v>2417</v>
      </c>
      <c r="AA731" s="133" t="s">
        <v>2417</v>
      </c>
      <c r="AB731" s="133" t="s">
        <v>2417</v>
      </c>
      <c r="AC731" s="133" t="s">
        <v>2417</v>
      </c>
      <c r="AD731" s="133" t="s">
        <v>2417</v>
      </c>
      <c r="AE731" s="57"/>
    </row>
    <row r="732" spans="1:31" ht="20.399999999999999" outlineLevel="2">
      <c r="A732" s="68" t="s">
        <v>1693</v>
      </c>
      <c r="B732" s="62" t="s">
        <v>1580</v>
      </c>
      <c r="C732" s="387" t="s">
        <v>2733</v>
      </c>
      <c r="D732" s="351"/>
      <c r="E732" s="133" t="s">
        <v>2715</v>
      </c>
      <c r="F732" s="133" t="s">
        <v>2417</v>
      </c>
      <c r="G732" s="133" t="s">
        <v>2417</v>
      </c>
      <c r="H732" s="133" t="s">
        <v>2417</v>
      </c>
      <c r="I732" s="134" t="s">
        <v>2418</v>
      </c>
      <c r="J732" s="133" t="s">
        <v>2417</v>
      </c>
      <c r="K732" s="133" t="s">
        <v>2417</v>
      </c>
      <c r="L732" s="133" t="s">
        <v>2417</v>
      </c>
      <c r="M732" s="133" t="s">
        <v>2417</v>
      </c>
      <c r="N732" s="133" t="s">
        <v>2417</v>
      </c>
      <c r="O732" s="133" t="s">
        <v>2417</v>
      </c>
      <c r="P732" s="133" t="s">
        <v>2417</v>
      </c>
      <c r="Q732" s="133" t="s">
        <v>2417</v>
      </c>
      <c r="R732" s="133" t="s">
        <v>2417</v>
      </c>
      <c r="S732" s="133" t="s">
        <v>2417</v>
      </c>
      <c r="T732" s="133" t="s">
        <v>2417</v>
      </c>
      <c r="U732" s="133" t="s">
        <v>2417</v>
      </c>
      <c r="V732" s="133" t="s">
        <v>2417</v>
      </c>
      <c r="W732" s="133" t="s">
        <v>2417</v>
      </c>
      <c r="X732" s="59" t="s">
        <v>2596</v>
      </c>
      <c r="Y732" s="133" t="s">
        <v>2417</v>
      </c>
      <c r="Z732" s="133" t="s">
        <v>2417</v>
      </c>
      <c r="AA732" s="133" t="s">
        <v>2417</v>
      </c>
      <c r="AB732" s="133" t="s">
        <v>2417</v>
      </c>
      <c r="AC732" s="133" t="s">
        <v>2417</v>
      </c>
      <c r="AD732" s="133" t="s">
        <v>2417</v>
      </c>
      <c r="AE732" s="57"/>
    </row>
    <row r="733" spans="1:31" ht="20.399999999999999" outlineLevel="2">
      <c r="A733" s="68" t="s">
        <v>1695</v>
      </c>
      <c r="B733" s="79" t="s">
        <v>1583</v>
      </c>
      <c r="C733" s="387" t="s">
        <v>1584</v>
      </c>
      <c r="D733" s="351"/>
      <c r="E733" s="133" t="s">
        <v>2715</v>
      </c>
      <c r="F733" s="133" t="s">
        <v>2417</v>
      </c>
      <c r="G733" s="133" t="s">
        <v>2417</v>
      </c>
      <c r="H733" s="133" t="s">
        <v>2417</v>
      </c>
      <c r="I733" s="134" t="s">
        <v>2418</v>
      </c>
      <c r="J733" s="133" t="s">
        <v>2417</v>
      </c>
      <c r="K733" s="133" t="s">
        <v>2417</v>
      </c>
      <c r="L733" s="133" t="s">
        <v>2417</v>
      </c>
      <c r="M733" s="133" t="s">
        <v>2417</v>
      </c>
      <c r="N733" s="133" t="s">
        <v>2417</v>
      </c>
      <c r="O733" s="133" t="s">
        <v>2417</v>
      </c>
      <c r="P733" s="133" t="s">
        <v>2417</v>
      </c>
      <c r="Q733" s="133" t="s">
        <v>2417</v>
      </c>
      <c r="R733" s="133" t="s">
        <v>2417</v>
      </c>
      <c r="S733" s="133" t="s">
        <v>2417</v>
      </c>
      <c r="T733" s="133" t="s">
        <v>2417</v>
      </c>
      <c r="U733" s="133" t="s">
        <v>2417</v>
      </c>
      <c r="V733" s="133" t="s">
        <v>2417</v>
      </c>
      <c r="W733" s="133" t="s">
        <v>2417</v>
      </c>
      <c r="X733" s="59" t="s">
        <v>2596</v>
      </c>
      <c r="Y733" s="133" t="s">
        <v>2417</v>
      </c>
      <c r="Z733" s="133" t="s">
        <v>2417</v>
      </c>
      <c r="AA733" s="133" t="s">
        <v>2417</v>
      </c>
      <c r="AB733" s="133" t="s">
        <v>2417</v>
      </c>
      <c r="AC733" s="133" t="s">
        <v>2417</v>
      </c>
      <c r="AD733" s="133" t="s">
        <v>2417</v>
      </c>
      <c r="AE733" s="57"/>
    </row>
    <row r="734" spans="1:31" ht="13.2" outlineLevel="2">
      <c r="A734" s="68" t="s">
        <v>1696</v>
      </c>
      <c r="B734" s="63" t="s">
        <v>1586</v>
      </c>
      <c r="C734" s="387" t="s">
        <v>1587</v>
      </c>
      <c r="D734" s="351"/>
      <c r="E734" s="133" t="s">
        <v>2715</v>
      </c>
      <c r="F734" s="133" t="s">
        <v>2417</v>
      </c>
      <c r="G734" s="133" t="s">
        <v>2417</v>
      </c>
      <c r="H734" s="133" t="s">
        <v>2417</v>
      </c>
      <c r="I734" s="134" t="s">
        <v>2418</v>
      </c>
      <c r="J734" s="133" t="s">
        <v>2417</v>
      </c>
      <c r="K734" s="133" t="s">
        <v>2417</v>
      </c>
      <c r="L734" s="133" t="s">
        <v>2417</v>
      </c>
      <c r="M734" s="133" t="s">
        <v>2417</v>
      </c>
      <c r="N734" s="133" t="s">
        <v>2417</v>
      </c>
      <c r="O734" s="133" t="s">
        <v>2417</v>
      </c>
      <c r="P734" s="133" t="s">
        <v>2417</v>
      </c>
      <c r="Q734" s="133" t="s">
        <v>2417</v>
      </c>
      <c r="R734" s="133" t="s">
        <v>2417</v>
      </c>
      <c r="S734" s="133" t="s">
        <v>2417</v>
      </c>
      <c r="T734" s="133" t="s">
        <v>2417</v>
      </c>
      <c r="U734" s="133" t="s">
        <v>2417</v>
      </c>
      <c r="V734" s="133" t="s">
        <v>2417</v>
      </c>
      <c r="W734" s="132" t="s">
        <v>2417</v>
      </c>
      <c r="X734" s="132" t="s">
        <v>2417</v>
      </c>
      <c r="Y734" s="132" t="s">
        <v>2417</v>
      </c>
      <c r="Z734" s="132" t="s">
        <v>2417</v>
      </c>
      <c r="AA734" s="133" t="s">
        <v>2417</v>
      </c>
      <c r="AB734" s="133" t="s">
        <v>2417</v>
      </c>
      <c r="AC734" s="133" t="s">
        <v>2417</v>
      </c>
      <c r="AD734" s="133" t="s">
        <v>2417</v>
      </c>
      <c r="AE734" s="59"/>
    </row>
    <row r="735" spans="1:31" ht="13.2" outlineLevel="2">
      <c r="A735" s="68" t="s">
        <v>1697</v>
      </c>
      <c r="B735" s="62" t="s">
        <v>1589</v>
      </c>
      <c r="C735" s="387" t="s">
        <v>2734</v>
      </c>
      <c r="D735" s="351"/>
      <c r="E735" s="133" t="s">
        <v>2715</v>
      </c>
      <c r="F735" s="133" t="s">
        <v>2417</v>
      </c>
      <c r="G735" s="133" t="s">
        <v>2417</v>
      </c>
      <c r="H735" s="133" t="s">
        <v>2417</v>
      </c>
      <c r="I735" s="134" t="s">
        <v>2418</v>
      </c>
      <c r="J735" s="133" t="s">
        <v>2417</v>
      </c>
      <c r="K735" s="133" t="s">
        <v>2417</v>
      </c>
      <c r="L735" s="133" t="s">
        <v>2417</v>
      </c>
      <c r="M735" s="133" t="s">
        <v>2417</v>
      </c>
      <c r="N735" s="133" t="s">
        <v>2417</v>
      </c>
      <c r="O735" s="133" t="s">
        <v>2417</v>
      </c>
      <c r="P735" s="133" t="s">
        <v>2417</v>
      </c>
      <c r="Q735" s="133" t="s">
        <v>2417</v>
      </c>
      <c r="R735" s="133" t="s">
        <v>2417</v>
      </c>
      <c r="S735" s="133" t="s">
        <v>2417</v>
      </c>
      <c r="T735" s="133" t="s">
        <v>2417</v>
      </c>
      <c r="U735" s="133" t="s">
        <v>2417</v>
      </c>
      <c r="V735" s="133" t="s">
        <v>2417</v>
      </c>
      <c r="W735" s="132" t="s">
        <v>2417</v>
      </c>
      <c r="X735" s="132" t="s">
        <v>2417</v>
      </c>
      <c r="Y735" s="132" t="s">
        <v>2417</v>
      </c>
      <c r="Z735" s="132" t="s">
        <v>2417</v>
      </c>
      <c r="AA735" s="133" t="s">
        <v>2417</v>
      </c>
      <c r="AB735" s="133" t="s">
        <v>2417</v>
      </c>
      <c r="AC735" s="133" t="s">
        <v>2417</v>
      </c>
      <c r="AD735" s="133" t="s">
        <v>2417</v>
      </c>
      <c r="AE735" s="59"/>
    </row>
    <row r="736" spans="1:31" ht="13.2" outlineLevel="2">
      <c r="A736" s="68" t="s">
        <v>1699</v>
      </c>
      <c r="B736" s="91" t="s">
        <v>1592</v>
      </c>
      <c r="C736" s="396" t="s">
        <v>2735</v>
      </c>
      <c r="D736" s="351"/>
      <c r="E736" s="133" t="s">
        <v>2715</v>
      </c>
      <c r="F736" s="133" t="s">
        <v>2417</v>
      </c>
      <c r="G736" s="133" t="s">
        <v>2417</v>
      </c>
      <c r="H736" s="133" t="s">
        <v>2417</v>
      </c>
      <c r="I736" s="134" t="s">
        <v>2418</v>
      </c>
      <c r="J736" s="133" t="s">
        <v>2417</v>
      </c>
      <c r="K736" s="133" t="s">
        <v>2417</v>
      </c>
      <c r="L736" s="133" t="s">
        <v>2417</v>
      </c>
      <c r="M736" s="133" t="s">
        <v>2417</v>
      </c>
      <c r="N736" s="133" t="s">
        <v>2417</v>
      </c>
      <c r="O736" s="133" t="s">
        <v>2417</v>
      </c>
      <c r="P736" s="133" t="s">
        <v>2417</v>
      </c>
      <c r="Q736" s="133" t="s">
        <v>2417</v>
      </c>
      <c r="R736" s="133" t="s">
        <v>2417</v>
      </c>
      <c r="S736" s="133" t="s">
        <v>2417</v>
      </c>
      <c r="T736" s="133" t="s">
        <v>2417</v>
      </c>
      <c r="U736" s="133" t="s">
        <v>2417</v>
      </c>
      <c r="V736" s="167" t="s">
        <v>2596</v>
      </c>
      <c r="W736" s="132" t="s">
        <v>2417</v>
      </c>
      <c r="X736" s="132" t="s">
        <v>2417</v>
      </c>
      <c r="Y736" s="132" t="s">
        <v>2417</v>
      </c>
      <c r="Z736" s="132" t="s">
        <v>2417</v>
      </c>
      <c r="AA736" s="133" t="s">
        <v>2417</v>
      </c>
      <c r="AB736" s="133" t="s">
        <v>2417</v>
      </c>
      <c r="AC736" s="133" t="s">
        <v>2417</v>
      </c>
      <c r="AD736" s="133" t="s">
        <v>2417</v>
      </c>
      <c r="AE736" s="167"/>
    </row>
    <row r="737" spans="1:31" ht="13.2" hidden="1" outlineLevel="2">
      <c r="A737" s="68" t="s">
        <v>2714</v>
      </c>
      <c r="B737" s="91" t="s">
        <v>2644</v>
      </c>
      <c r="C737" s="387" t="s">
        <v>2645</v>
      </c>
      <c r="D737" s="351"/>
      <c r="E737" s="133" t="s">
        <v>2715</v>
      </c>
      <c r="F737" s="133" t="s">
        <v>2417</v>
      </c>
      <c r="G737" s="133" t="s">
        <v>2417</v>
      </c>
      <c r="H737" s="133" t="s">
        <v>2417</v>
      </c>
      <c r="I737" s="134" t="s">
        <v>2418</v>
      </c>
      <c r="J737" s="133" t="s">
        <v>2500</v>
      </c>
      <c r="K737" s="133" t="s">
        <v>2417</v>
      </c>
      <c r="L737" s="133" t="s">
        <v>2417</v>
      </c>
      <c r="M737" s="133" t="s">
        <v>2417</v>
      </c>
      <c r="N737" s="133" t="s">
        <v>2417</v>
      </c>
      <c r="O737" s="133" t="s">
        <v>2417</v>
      </c>
      <c r="P737" s="133" t="s">
        <v>2417</v>
      </c>
      <c r="Q737" s="133" t="s">
        <v>2417</v>
      </c>
      <c r="R737" s="133" t="s">
        <v>2417</v>
      </c>
      <c r="S737" s="133" t="s">
        <v>2417</v>
      </c>
      <c r="T737" s="133" t="s">
        <v>2417</v>
      </c>
      <c r="U737" s="133" t="s">
        <v>2417</v>
      </c>
      <c r="V737" s="135" t="s">
        <v>2595</v>
      </c>
      <c r="W737" s="132" t="s">
        <v>2417</v>
      </c>
      <c r="X737" s="132" t="s">
        <v>2417</v>
      </c>
      <c r="Y737" s="132" t="s">
        <v>2417</v>
      </c>
      <c r="Z737" s="132" t="s">
        <v>2417</v>
      </c>
      <c r="AA737" s="133" t="s">
        <v>2417</v>
      </c>
      <c r="AB737" s="133" t="s">
        <v>2417</v>
      </c>
      <c r="AC737" s="133" t="s">
        <v>2417</v>
      </c>
      <c r="AD737" s="133" t="s">
        <v>2417</v>
      </c>
      <c r="AE737" s="167"/>
    </row>
    <row r="738" spans="1:31" ht="13.2" hidden="1" outlineLevel="1">
      <c r="A738" s="384" t="s">
        <v>2736</v>
      </c>
      <c r="B738" s="350"/>
      <c r="C738" s="350"/>
      <c r="D738" s="351"/>
      <c r="E738" s="133" t="s">
        <v>2565</v>
      </c>
      <c r="F738" s="133" t="s">
        <v>2417</v>
      </c>
      <c r="G738" s="133" t="s">
        <v>2417</v>
      </c>
      <c r="H738" s="133" t="s">
        <v>2417</v>
      </c>
      <c r="I738" s="134" t="s">
        <v>2418</v>
      </c>
      <c r="J738" s="133" t="s">
        <v>2417</v>
      </c>
      <c r="K738" s="133" t="s">
        <v>2417</v>
      </c>
      <c r="L738" s="133" t="s">
        <v>2417</v>
      </c>
      <c r="M738" s="133" t="s">
        <v>2417</v>
      </c>
      <c r="N738" s="133" t="s">
        <v>2417</v>
      </c>
      <c r="O738" s="133" t="s">
        <v>2417</v>
      </c>
      <c r="P738" s="133" t="s">
        <v>2417</v>
      </c>
      <c r="Q738" s="133" t="s">
        <v>2417</v>
      </c>
      <c r="R738" s="133" t="s">
        <v>2417</v>
      </c>
      <c r="S738" s="133" t="s">
        <v>2417</v>
      </c>
      <c r="T738" s="133" t="s">
        <v>2417</v>
      </c>
      <c r="U738" s="133" t="s">
        <v>2417</v>
      </c>
      <c r="V738" s="133" t="s">
        <v>2417</v>
      </c>
      <c r="W738" s="133" t="s">
        <v>2417</v>
      </c>
      <c r="X738" s="133" t="s">
        <v>2417</v>
      </c>
      <c r="Y738" s="133" t="s">
        <v>2417</v>
      </c>
      <c r="Z738" s="133" t="s">
        <v>2417</v>
      </c>
      <c r="AA738" s="133" t="s">
        <v>2417</v>
      </c>
      <c r="AB738" s="133" t="s">
        <v>2417</v>
      </c>
      <c r="AC738" s="133" t="s">
        <v>2417</v>
      </c>
      <c r="AD738" s="133" t="s">
        <v>2417</v>
      </c>
      <c r="AE738" s="168"/>
    </row>
    <row r="739" spans="1:31" ht="13.2" hidden="1" outlineLevel="2">
      <c r="A739" s="68" t="s">
        <v>2737</v>
      </c>
      <c r="B739" s="64"/>
      <c r="C739" s="360" t="s">
        <v>2738</v>
      </c>
      <c r="D739" s="351"/>
      <c r="E739" s="133" t="s">
        <v>2565</v>
      </c>
      <c r="F739" s="133" t="s">
        <v>2417</v>
      </c>
      <c r="G739" s="133" t="s">
        <v>2417</v>
      </c>
      <c r="H739" s="133" t="s">
        <v>2417</v>
      </c>
      <c r="I739" s="134" t="s">
        <v>2418</v>
      </c>
      <c r="J739" s="133" t="s">
        <v>2417</v>
      </c>
      <c r="K739" s="133" t="s">
        <v>2417</v>
      </c>
      <c r="L739" s="133" t="s">
        <v>2417</v>
      </c>
      <c r="M739" s="133" t="s">
        <v>2417</v>
      </c>
      <c r="N739" s="133" t="s">
        <v>2417</v>
      </c>
      <c r="O739" s="133" t="s">
        <v>2417</v>
      </c>
      <c r="P739" s="133" t="s">
        <v>2417</v>
      </c>
      <c r="Q739" s="133" t="s">
        <v>2417</v>
      </c>
      <c r="R739" s="133" t="s">
        <v>2417</v>
      </c>
      <c r="S739" s="133" t="s">
        <v>2417</v>
      </c>
      <c r="T739" s="133" t="s">
        <v>2417</v>
      </c>
      <c r="U739" s="133" t="s">
        <v>2417</v>
      </c>
      <c r="V739" s="133" t="s">
        <v>2417</v>
      </c>
      <c r="W739" s="132" t="s">
        <v>2417</v>
      </c>
      <c r="X739" s="132" t="s">
        <v>2417</v>
      </c>
      <c r="Y739" s="132" t="s">
        <v>2417</v>
      </c>
      <c r="Z739" s="132" t="s">
        <v>2417</v>
      </c>
      <c r="AA739" s="133" t="s">
        <v>2417</v>
      </c>
      <c r="AB739" s="133" t="s">
        <v>2417</v>
      </c>
      <c r="AC739" s="133" t="s">
        <v>2417</v>
      </c>
      <c r="AD739" s="133" t="s">
        <v>2417</v>
      </c>
      <c r="AE739" s="123"/>
    </row>
    <row r="740" spans="1:31" ht="13.2" hidden="1" outlineLevel="2">
      <c r="A740" s="68" t="s">
        <v>2739</v>
      </c>
      <c r="B740" s="62" t="s">
        <v>1504</v>
      </c>
      <c r="C740" s="387" t="s">
        <v>1598</v>
      </c>
      <c r="D740" s="351"/>
      <c r="E740" s="133" t="s">
        <v>2565</v>
      </c>
      <c r="F740" s="133" t="s">
        <v>2417</v>
      </c>
      <c r="G740" s="133" t="s">
        <v>2417</v>
      </c>
      <c r="H740" s="133" t="s">
        <v>2417</v>
      </c>
      <c r="I740" s="134" t="s">
        <v>2418</v>
      </c>
      <c r="J740" s="133" t="s">
        <v>2417</v>
      </c>
      <c r="K740" s="133" t="s">
        <v>2417</v>
      </c>
      <c r="L740" s="133" t="s">
        <v>2417</v>
      </c>
      <c r="M740" s="133" t="s">
        <v>2417</v>
      </c>
      <c r="N740" s="133" t="s">
        <v>2417</v>
      </c>
      <c r="O740" s="133" t="s">
        <v>2417</v>
      </c>
      <c r="P740" s="133" t="s">
        <v>2417</v>
      </c>
      <c r="Q740" s="133" t="s">
        <v>2417</v>
      </c>
      <c r="R740" s="133" t="s">
        <v>2417</v>
      </c>
      <c r="S740" s="133" t="s">
        <v>2417</v>
      </c>
      <c r="T740" s="133" t="s">
        <v>2417</v>
      </c>
      <c r="U740" s="133" t="s">
        <v>2417</v>
      </c>
      <c r="V740" s="133" t="s">
        <v>2417</v>
      </c>
      <c r="W740" s="132" t="s">
        <v>2417</v>
      </c>
      <c r="X740" s="132" t="s">
        <v>2417</v>
      </c>
      <c r="Y740" s="132" t="s">
        <v>2417</v>
      </c>
      <c r="Z740" s="132" t="s">
        <v>2417</v>
      </c>
      <c r="AA740" s="133" t="s">
        <v>2417</v>
      </c>
      <c r="AB740" s="133" t="s">
        <v>2417</v>
      </c>
      <c r="AC740" s="133" t="s">
        <v>2417</v>
      </c>
      <c r="AD740" s="133" t="s">
        <v>2417</v>
      </c>
      <c r="AE740" s="59"/>
    </row>
    <row r="741" spans="1:31" ht="13.2" hidden="1" outlineLevel="2">
      <c r="A741" s="68" t="s">
        <v>2740</v>
      </c>
      <c r="B741" s="62" t="s">
        <v>1507</v>
      </c>
      <c r="C741" s="387" t="s">
        <v>1508</v>
      </c>
      <c r="D741" s="351"/>
      <c r="E741" s="133" t="s">
        <v>2565</v>
      </c>
      <c r="F741" s="133" t="s">
        <v>2417</v>
      </c>
      <c r="G741" s="133" t="s">
        <v>2417</v>
      </c>
      <c r="H741" s="133" t="s">
        <v>2417</v>
      </c>
      <c r="I741" s="134" t="s">
        <v>2418</v>
      </c>
      <c r="J741" s="133" t="s">
        <v>2417</v>
      </c>
      <c r="K741" s="133" t="s">
        <v>2417</v>
      </c>
      <c r="L741" s="133" t="s">
        <v>2417</v>
      </c>
      <c r="M741" s="133" t="s">
        <v>2417</v>
      </c>
      <c r="N741" s="133" t="s">
        <v>2417</v>
      </c>
      <c r="O741" s="133" t="s">
        <v>2417</v>
      </c>
      <c r="P741" s="133" t="s">
        <v>2417</v>
      </c>
      <c r="Q741" s="133" t="s">
        <v>2417</v>
      </c>
      <c r="R741" s="133" t="s">
        <v>2417</v>
      </c>
      <c r="S741" s="133" t="s">
        <v>2417</v>
      </c>
      <c r="T741" s="133" t="s">
        <v>2417</v>
      </c>
      <c r="U741" s="133" t="s">
        <v>2417</v>
      </c>
      <c r="V741" s="133" t="s">
        <v>2417</v>
      </c>
      <c r="W741" s="132" t="s">
        <v>2417</v>
      </c>
      <c r="X741" s="132" t="s">
        <v>2417</v>
      </c>
      <c r="Y741" s="132" t="s">
        <v>2417</v>
      </c>
      <c r="Z741" s="132" t="s">
        <v>2417</v>
      </c>
      <c r="AA741" s="133" t="s">
        <v>2417</v>
      </c>
      <c r="AB741" s="133" t="s">
        <v>2417</v>
      </c>
      <c r="AC741" s="133" t="s">
        <v>2417</v>
      </c>
      <c r="AD741" s="133" t="s">
        <v>2417</v>
      </c>
      <c r="AE741" s="59"/>
    </row>
    <row r="742" spans="1:31" ht="20.399999999999999" hidden="1" outlineLevel="2">
      <c r="A742" s="68" t="s">
        <v>2741</v>
      </c>
      <c r="B742" s="63" t="s">
        <v>1510</v>
      </c>
      <c r="C742" s="387" t="s">
        <v>1511</v>
      </c>
      <c r="D742" s="351"/>
      <c r="E742" s="133" t="s">
        <v>2565</v>
      </c>
      <c r="F742" s="133" t="s">
        <v>2417</v>
      </c>
      <c r="G742" s="133" t="s">
        <v>2417</v>
      </c>
      <c r="H742" s="133" t="s">
        <v>2417</v>
      </c>
      <c r="I742" s="134" t="s">
        <v>2418</v>
      </c>
      <c r="J742" s="133" t="s">
        <v>2417</v>
      </c>
      <c r="K742" s="133" t="s">
        <v>2417</v>
      </c>
      <c r="L742" s="133" t="s">
        <v>2417</v>
      </c>
      <c r="M742" s="133" t="s">
        <v>2417</v>
      </c>
      <c r="N742" s="133" t="s">
        <v>2417</v>
      </c>
      <c r="O742" s="133" t="s">
        <v>2417</v>
      </c>
      <c r="P742" s="133" t="s">
        <v>2417</v>
      </c>
      <c r="Q742" s="133" t="s">
        <v>2417</v>
      </c>
      <c r="R742" s="133" t="s">
        <v>2417</v>
      </c>
      <c r="S742" s="133" t="s">
        <v>2417</v>
      </c>
      <c r="T742" s="133" t="s">
        <v>2417</v>
      </c>
      <c r="U742" s="133" t="s">
        <v>2417</v>
      </c>
      <c r="V742" s="133" t="s">
        <v>2417</v>
      </c>
      <c r="W742" s="132" t="s">
        <v>2417</v>
      </c>
      <c r="X742" s="132" t="s">
        <v>2417</v>
      </c>
      <c r="Y742" s="132" t="s">
        <v>2417</v>
      </c>
      <c r="Z742" s="132" t="s">
        <v>2417</v>
      </c>
      <c r="AA742" s="133" t="s">
        <v>2417</v>
      </c>
      <c r="AB742" s="133" t="s">
        <v>2417</v>
      </c>
      <c r="AC742" s="133" t="s">
        <v>2417</v>
      </c>
      <c r="AD742" s="133" t="s">
        <v>2417</v>
      </c>
      <c r="AE742" s="57"/>
    </row>
    <row r="743" spans="1:31" ht="20.399999999999999" hidden="1" outlineLevel="2">
      <c r="A743" s="68" t="s">
        <v>2742</v>
      </c>
      <c r="B743" s="63" t="s">
        <v>2743</v>
      </c>
      <c r="C743" s="360" t="s">
        <v>1514</v>
      </c>
      <c r="D743" s="351"/>
      <c r="E743" s="133" t="s">
        <v>2565</v>
      </c>
      <c r="F743" s="133" t="s">
        <v>2417</v>
      </c>
      <c r="G743" s="133" t="s">
        <v>2417</v>
      </c>
      <c r="H743" s="133" t="s">
        <v>2417</v>
      </c>
      <c r="I743" s="134" t="s">
        <v>2418</v>
      </c>
      <c r="J743" s="133" t="s">
        <v>2417</v>
      </c>
      <c r="K743" s="133" t="s">
        <v>2417</v>
      </c>
      <c r="L743" s="133" t="s">
        <v>2417</v>
      </c>
      <c r="M743" s="133" t="s">
        <v>2417</v>
      </c>
      <c r="N743" s="133" t="s">
        <v>2417</v>
      </c>
      <c r="O743" s="133" t="s">
        <v>2417</v>
      </c>
      <c r="P743" s="133" t="s">
        <v>2417</v>
      </c>
      <c r="Q743" s="133" t="s">
        <v>2417</v>
      </c>
      <c r="R743" s="133" t="s">
        <v>2417</v>
      </c>
      <c r="S743" s="123" t="s">
        <v>2619</v>
      </c>
      <c r="T743" s="133" t="s">
        <v>2417</v>
      </c>
      <c r="U743" s="133" t="s">
        <v>2417</v>
      </c>
      <c r="V743" s="133" t="s">
        <v>2417</v>
      </c>
      <c r="W743" s="132" t="s">
        <v>2417</v>
      </c>
      <c r="X743" s="132" t="s">
        <v>2417</v>
      </c>
      <c r="Y743" s="132" t="s">
        <v>2417</v>
      </c>
      <c r="Z743" s="132" t="s">
        <v>2417</v>
      </c>
      <c r="AA743" s="133" t="s">
        <v>2417</v>
      </c>
      <c r="AB743" s="133" t="s">
        <v>2417</v>
      </c>
      <c r="AC743" s="133" t="s">
        <v>2417</v>
      </c>
      <c r="AD743" s="133" t="s">
        <v>2417</v>
      </c>
      <c r="AE743" s="123"/>
    </row>
    <row r="744" spans="1:31" ht="20.399999999999999" hidden="1" outlineLevel="2">
      <c r="A744" s="68" t="s">
        <v>2744</v>
      </c>
      <c r="B744" s="63" t="s">
        <v>1516</v>
      </c>
      <c r="C744" s="387" t="s">
        <v>1517</v>
      </c>
      <c r="D744" s="351"/>
      <c r="E744" s="133" t="s">
        <v>2565</v>
      </c>
      <c r="F744" s="133" t="s">
        <v>2417</v>
      </c>
      <c r="G744" s="133" t="s">
        <v>2417</v>
      </c>
      <c r="H744" s="133" t="s">
        <v>2417</v>
      </c>
      <c r="I744" s="134" t="s">
        <v>2418</v>
      </c>
      <c r="J744" s="133" t="s">
        <v>2417</v>
      </c>
      <c r="K744" s="133" t="s">
        <v>2417</v>
      </c>
      <c r="L744" s="133" t="s">
        <v>2417</v>
      </c>
      <c r="M744" s="133" t="s">
        <v>2417</v>
      </c>
      <c r="N744" s="133" t="s">
        <v>2417</v>
      </c>
      <c r="O744" s="133" t="s">
        <v>2417</v>
      </c>
      <c r="P744" s="133" t="s">
        <v>2417</v>
      </c>
      <c r="Q744" s="133" t="s">
        <v>2417</v>
      </c>
      <c r="R744" s="133" t="s">
        <v>2417</v>
      </c>
      <c r="S744" s="133" t="s">
        <v>2417</v>
      </c>
      <c r="T744" s="133" t="s">
        <v>2417</v>
      </c>
      <c r="U744" s="133" t="s">
        <v>2417</v>
      </c>
      <c r="V744" s="133" t="s">
        <v>2417</v>
      </c>
      <c r="W744" s="132" t="s">
        <v>2417</v>
      </c>
      <c r="X744" s="132" t="s">
        <v>2417</v>
      </c>
      <c r="Y744" s="132" t="s">
        <v>2417</v>
      </c>
      <c r="Z744" s="132" t="s">
        <v>2417</v>
      </c>
      <c r="AA744" s="133" t="s">
        <v>2417</v>
      </c>
      <c r="AB744" s="133" t="s">
        <v>2417</v>
      </c>
      <c r="AC744" s="133" t="s">
        <v>2417</v>
      </c>
      <c r="AD744" s="133" t="s">
        <v>2417</v>
      </c>
      <c r="AE744" s="59"/>
    </row>
    <row r="745" spans="1:31" ht="20.399999999999999" hidden="1" outlineLevel="2">
      <c r="A745" s="68" t="s">
        <v>2745</v>
      </c>
      <c r="B745" s="64" t="s">
        <v>1658</v>
      </c>
      <c r="C745" s="387" t="s">
        <v>1520</v>
      </c>
      <c r="D745" s="351"/>
      <c r="E745" s="133" t="s">
        <v>2565</v>
      </c>
      <c r="F745" s="133" t="s">
        <v>2417</v>
      </c>
      <c r="G745" s="133" t="s">
        <v>2417</v>
      </c>
      <c r="H745" s="133" t="s">
        <v>2417</v>
      </c>
      <c r="I745" s="134" t="s">
        <v>2418</v>
      </c>
      <c r="J745" s="133" t="s">
        <v>2417</v>
      </c>
      <c r="K745" s="133" t="s">
        <v>2417</v>
      </c>
      <c r="L745" s="133" t="s">
        <v>2417</v>
      </c>
      <c r="M745" s="133" t="s">
        <v>2417</v>
      </c>
      <c r="N745" s="133" t="s">
        <v>2417</v>
      </c>
      <c r="O745" s="133" t="s">
        <v>2417</v>
      </c>
      <c r="P745" s="133" t="s">
        <v>2417</v>
      </c>
      <c r="Q745" s="133" t="s">
        <v>2417</v>
      </c>
      <c r="R745" s="133" t="s">
        <v>2417</v>
      </c>
      <c r="S745" s="133" t="s">
        <v>2417</v>
      </c>
      <c r="T745" s="133" t="s">
        <v>2417</v>
      </c>
      <c r="U745" s="133" t="s">
        <v>2417</v>
      </c>
      <c r="V745" s="133" t="s">
        <v>2417</v>
      </c>
      <c r="W745" s="132" t="s">
        <v>2417</v>
      </c>
      <c r="X745" s="132" t="s">
        <v>2417</v>
      </c>
      <c r="Y745" s="132" t="s">
        <v>2417</v>
      </c>
      <c r="Z745" s="132" t="s">
        <v>2417</v>
      </c>
      <c r="AA745" s="133" t="s">
        <v>2417</v>
      </c>
      <c r="AB745" s="133" t="s">
        <v>2417</v>
      </c>
      <c r="AC745" s="133" t="s">
        <v>2417</v>
      </c>
      <c r="AD745" s="133" t="s">
        <v>2417</v>
      </c>
      <c r="AE745" s="59"/>
    </row>
    <row r="746" spans="1:31" ht="20.399999999999999" hidden="1" outlineLevel="2">
      <c r="A746" s="68" t="s">
        <v>2746</v>
      </c>
      <c r="B746" s="64" t="s">
        <v>1522</v>
      </c>
      <c r="C746" s="387" t="s">
        <v>1523</v>
      </c>
      <c r="D746" s="351"/>
      <c r="E746" s="133" t="s">
        <v>2565</v>
      </c>
      <c r="F746" s="133" t="s">
        <v>2417</v>
      </c>
      <c r="G746" s="133" t="s">
        <v>2417</v>
      </c>
      <c r="H746" s="133" t="s">
        <v>2417</v>
      </c>
      <c r="I746" s="134" t="s">
        <v>2418</v>
      </c>
      <c r="J746" s="133" t="s">
        <v>2417</v>
      </c>
      <c r="K746" s="133" t="s">
        <v>2417</v>
      </c>
      <c r="L746" s="133" t="s">
        <v>2417</v>
      </c>
      <c r="M746" s="133" t="s">
        <v>2417</v>
      </c>
      <c r="N746" s="133" t="s">
        <v>2417</v>
      </c>
      <c r="O746" s="133" t="s">
        <v>2417</v>
      </c>
      <c r="P746" s="133" t="s">
        <v>2417</v>
      </c>
      <c r="Q746" s="133" t="s">
        <v>2417</v>
      </c>
      <c r="R746" s="133" t="s">
        <v>2417</v>
      </c>
      <c r="S746" s="133" t="s">
        <v>2417</v>
      </c>
      <c r="T746" s="133" t="s">
        <v>2417</v>
      </c>
      <c r="U746" s="133" t="s">
        <v>2417</v>
      </c>
      <c r="V746" s="133" t="s">
        <v>2417</v>
      </c>
      <c r="W746" s="132" t="s">
        <v>2417</v>
      </c>
      <c r="X746" s="132" t="s">
        <v>2417</v>
      </c>
      <c r="Y746" s="132" t="s">
        <v>2417</v>
      </c>
      <c r="Z746" s="132" t="s">
        <v>2417</v>
      </c>
      <c r="AA746" s="133" t="s">
        <v>2417</v>
      </c>
      <c r="AB746" s="133" t="s">
        <v>2417</v>
      </c>
      <c r="AC746" s="133" t="s">
        <v>2417</v>
      </c>
      <c r="AD746" s="133" t="s">
        <v>2417</v>
      </c>
      <c r="AE746" s="59"/>
    </row>
    <row r="747" spans="1:31" ht="20.399999999999999" hidden="1" outlineLevel="2">
      <c r="A747" s="68" t="s">
        <v>2747</v>
      </c>
      <c r="B747" s="62" t="s">
        <v>1525</v>
      </c>
      <c r="C747" s="387" t="s">
        <v>1526</v>
      </c>
      <c r="D747" s="351"/>
      <c r="E747" s="133" t="s">
        <v>2565</v>
      </c>
      <c r="F747" s="133" t="s">
        <v>2417</v>
      </c>
      <c r="G747" s="133" t="s">
        <v>2417</v>
      </c>
      <c r="H747" s="133" t="s">
        <v>2417</v>
      </c>
      <c r="I747" s="134" t="s">
        <v>2418</v>
      </c>
      <c r="J747" s="133" t="s">
        <v>2417</v>
      </c>
      <c r="K747" s="133" t="s">
        <v>2417</v>
      </c>
      <c r="L747" s="133" t="s">
        <v>2417</v>
      </c>
      <c r="M747" s="133" t="s">
        <v>2417</v>
      </c>
      <c r="N747" s="133" t="s">
        <v>2417</v>
      </c>
      <c r="O747" s="133" t="s">
        <v>2417</v>
      </c>
      <c r="P747" s="133" t="s">
        <v>2417</v>
      </c>
      <c r="Q747" s="133" t="s">
        <v>2417</v>
      </c>
      <c r="R747" s="133" t="s">
        <v>2417</v>
      </c>
      <c r="S747" s="133" t="s">
        <v>2417</v>
      </c>
      <c r="T747" s="133" t="s">
        <v>2417</v>
      </c>
      <c r="U747" s="133" t="s">
        <v>2417</v>
      </c>
      <c r="V747" s="133" t="s">
        <v>2417</v>
      </c>
      <c r="W747" s="132" t="s">
        <v>2417</v>
      </c>
      <c r="X747" s="132" t="s">
        <v>2417</v>
      </c>
      <c r="Y747" s="132" t="s">
        <v>2417</v>
      </c>
      <c r="Z747" s="132" t="s">
        <v>2417</v>
      </c>
      <c r="AA747" s="133" t="s">
        <v>2417</v>
      </c>
      <c r="AB747" s="133" t="s">
        <v>2417</v>
      </c>
      <c r="AC747" s="133" t="s">
        <v>2417</v>
      </c>
      <c r="AD747" s="133" t="s">
        <v>2417</v>
      </c>
      <c r="AE747" s="59"/>
    </row>
    <row r="748" spans="1:31" ht="20.399999999999999" hidden="1" outlineLevel="2">
      <c r="A748" s="68" t="s">
        <v>2748</v>
      </c>
      <c r="B748" s="63" t="s">
        <v>1528</v>
      </c>
      <c r="C748" s="387" t="s">
        <v>1529</v>
      </c>
      <c r="D748" s="351"/>
      <c r="E748" s="133" t="s">
        <v>2565</v>
      </c>
      <c r="F748" s="133" t="s">
        <v>2417</v>
      </c>
      <c r="G748" s="133" t="s">
        <v>2417</v>
      </c>
      <c r="H748" s="133" t="s">
        <v>2417</v>
      </c>
      <c r="I748" s="134" t="s">
        <v>2418</v>
      </c>
      <c r="J748" s="133" t="s">
        <v>2417</v>
      </c>
      <c r="K748" s="133" t="s">
        <v>2417</v>
      </c>
      <c r="L748" s="133" t="s">
        <v>2417</v>
      </c>
      <c r="M748" s="133" t="s">
        <v>2417</v>
      </c>
      <c r="N748" s="133" t="s">
        <v>2417</v>
      </c>
      <c r="O748" s="133" t="s">
        <v>2417</v>
      </c>
      <c r="P748" s="133" t="s">
        <v>2417</v>
      </c>
      <c r="Q748" s="133" t="s">
        <v>2417</v>
      </c>
      <c r="R748" s="133" t="s">
        <v>2417</v>
      </c>
      <c r="S748" s="133" t="s">
        <v>2417</v>
      </c>
      <c r="T748" s="133" t="s">
        <v>2417</v>
      </c>
      <c r="U748" s="133" t="s">
        <v>2417</v>
      </c>
      <c r="V748" s="133" t="s">
        <v>2417</v>
      </c>
      <c r="W748" s="132" t="s">
        <v>2417</v>
      </c>
      <c r="X748" s="132" t="s">
        <v>2417</v>
      </c>
      <c r="Y748" s="132" t="s">
        <v>2417</v>
      </c>
      <c r="Z748" s="132" t="s">
        <v>2417</v>
      </c>
      <c r="AA748" s="133" t="s">
        <v>2417</v>
      </c>
      <c r="AB748" s="133" t="s">
        <v>2417</v>
      </c>
      <c r="AC748" s="133" t="s">
        <v>2417</v>
      </c>
      <c r="AD748" s="133" t="s">
        <v>2417</v>
      </c>
      <c r="AE748" s="59"/>
    </row>
    <row r="749" spans="1:31" ht="20.399999999999999" hidden="1" outlineLevel="2">
      <c r="A749" s="68" t="s">
        <v>2749</v>
      </c>
      <c r="B749" s="63" t="s">
        <v>1531</v>
      </c>
      <c r="C749" s="387" t="s">
        <v>1610</v>
      </c>
      <c r="D749" s="351"/>
      <c r="E749" s="133" t="s">
        <v>2565</v>
      </c>
      <c r="F749" s="133" t="s">
        <v>2417</v>
      </c>
      <c r="G749" s="133" t="s">
        <v>2417</v>
      </c>
      <c r="H749" s="133" t="s">
        <v>2417</v>
      </c>
      <c r="I749" s="134" t="s">
        <v>2418</v>
      </c>
      <c r="J749" s="133" t="s">
        <v>2417</v>
      </c>
      <c r="K749" s="133" t="s">
        <v>2417</v>
      </c>
      <c r="L749" s="133" t="s">
        <v>2417</v>
      </c>
      <c r="M749" s="133" t="s">
        <v>2417</v>
      </c>
      <c r="N749" s="133" t="s">
        <v>2417</v>
      </c>
      <c r="O749" s="133" t="s">
        <v>2417</v>
      </c>
      <c r="P749" s="133" t="s">
        <v>2417</v>
      </c>
      <c r="Q749" s="133" t="s">
        <v>2417</v>
      </c>
      <c r="R749" s="133" t="s">
        <v>2417</v>
      </c>
      <c r="S749" s="133" t="s">
        <v>2417</v>
      </c>
      <c r="T749" s="133" t="s">
        <v>2417</v>
      </c>
      <c r="U749" s="133" t="s">
        <v>2417</v>
      </c>
      <c r="V749" s="133" t="s">
        <v>2417</v>
      </c>
      <c r="W749" s="132" t="s">
        <v>2417</v>
      </c>
      <c r="X749" s="132" t="s">
        <v>2417</v>
      </c>
      <c r="Y749" s="132" t="s">
        <v>2417</v>
      </c>
      <c r="Z749" s="132" t="s">
        <v>2417</v>
      </c>
      <c r="AA749" s="133" t="s">
        <v>2417</v>
      </c>
      <c r="AB749" s="133" t="s">
        <v>2417</v>
      </c>
      <c r="AC749" s="133" t="s">
        <v>2417</v>
      </c>
      <c r="AD749" s="133" t="s">
        <v>2417</v>
      </c>
      <c r="AE749" s="59"/>
    </row>
    <row r="750" spans="1:31" ht="13.2" hidden="1" outlineLevel="2">
      <c r="A750" s="68" t="s">
        <v>2750</v>
      </c>
      <c r="B750" s="63" t="s">
        <v>1534</v>
      </c>
      <c r="C750" s="387" t="s">
        <v>1535</v>
      </c>
      <c r="D750" s="351"/>
      <c r="E750" s="133" t="s">
        <v>2565</v>
      </c>
      <c r="F750" s="133" t="s">
        <v>2417</v>
      </c>
      <c r="G750" s="133" t="s">
        <v>2417</v>
      </c>
      <c r="H750" s="133" t="s">
        <v>2417</v>
      </c>
      <c r="I750" s="134" t="s">
        <v>2418</v>
      </c>
      <c r="J750" s="133" t="s">
        <v>2417</v>
      </c>
      <c r="K750" s="133" t="s">
        <v>2417</v>
      </c>
      <c r="L750" s="133" t="s">
        <v>2417</v>
      </c>
      <c r="M750" s="133" t="s">
        <v>2417</v>
      </c>
      <c r="N750" s="133" t="s">
        <v>2417</v>
      </c>
      <c r="O750" s="133" t="s">
        <v>2417</v>
      </c>
      <c r="P750" s="133" t="s">
        <v>2417</v>
      </c>
      <c r="Q750" s="133" t="s">
        <v>2417</v>
      </c>
      <c r="R750" s="133" t="s">
        <v>2417</v>
      </c>
      <c r="S750" s="133" t="s">
        <v>2417</v>
      </c>
      <c r="T750" s="133" t="s">
        <v>2417</v>
      </c>
      <c r="U750" s="133" t="s">
        <v>2417</v>
      </c>
      <c r="V750" s="133" t="s">
        <v>2417</v>
      </c>
      <c r="W750" s="132" t="s">
        <v>2417</v>
      </c>
      <c r="X750" s="132" t="s">
        <v>2417</v>
      </c>
      <c r="Y750" s="132" t="s">
        <v>2417</v>
      </c>
      <c r="Z750" s="132" t="s">
        <v>2417</v>
      </c>
      <c r="AA750" s="133" t="s">
        <v>2417</v>
      </c>
      <c r="AB750" s="133" t="s">
        <v>2417</v>
      </c>
      <c r="AC750" s="133" t="s">
        <v>2417</v>
      </c>
      <c r="AD750" s="133" t="s">
        <v>2417</v>
      </c>
      <c r="AE750" s="59"/>
    </row>
    <row r="751" spans="1:31" ht="20.399999999999999" hidden="1" outlineLevel="2">
      <c r="A751" s="68" t="s">
        <v>2751</v>
      </c>
      <c r="B751" s="63" t="s">
        <v>2752</v>
      </c>
      <c r="C751" s="360" t="s">
        <v>2753</v>
      </c>
      <c r="D751" s="351"/>
      <c r="E751" s="133" t="s">
        <v>2565</v>
      </c>
      <c r="F751" s="133" t="s">
        <v>2417</v>
      </c>
      <c r="G751" s="133" t="s">
        <v>2417</v>
      </c>
      <c r="H751" s="133" t="s">
        <v>2417</v>
      </c>
      <c r="I751" s="134" t="s">
        <v>2418</v>
      </c>
      <c r="J751" s="133" t="s">
        <v>2417</v>
      </c>
      <c r="K751" s="133" t="s">
        <v>2417</v>
      </c>
      <c r="L751" s="133" t="s">
        <v>2417</v>
      </c>
      <c r="M751" s="133" t="s">
        <v>2417</v>
      </c>
      <c r="N751" s="133" t="s">
        <v>2417</v>
      </c>
      <c r="O751" s="133" t="s">
        <v>2417</v>
      </c>
      <c r="P751" s="133" t="s">
        <v>2417</v>
      </c>
      <c r="Q751" s="133" t="s">
        <v>2417</v>
      </c>
      <c r="R751" s="133" t="s">
        <v>2417</v>
      </c>
      <c r="S751" s="123" t="s">
        <v>2619</v>
      </c>
      <c r="T751" s="133" t="s">
        <v>2417</v>
      </c>
      <c r="U751" s="133" t="s">
        <v>2417</v>
      </c>
      <c r="V751" s="133" t="s">
        <v>2417</v>
      </c>
      <c r="W751" s="132" t="s">
        <v>2417</v>
      </c>
      <c r="X751" s="132" t="s">
        <v>2417</v>
      </c>
      <c r="Y751" s="132" t="s">
        <v>2417</v>
      </c>
      <c r="Z751" s="132" t="s">
        <v>2417</v>
      </c>
      <c r="AA751" s="133" t="s">
        <v>2417</v>
      </c>
      <c r="AB751" s="133" t="s">
        <v>2417</v>
      </c>
      <c r="AC751" s="133" t="s">
        <v>2417</v>
      </c>
      <c r="AD751" s="133" t="s">
        <v>2417</v>
      </c>
      <c r="AE751" s="123"/>
    </row>
    <row r="752" spans="1:31" ht="20.399999999999999" hidden="1" outlineLevel="2">
      <c r="A752" s="68" t="s">
        <v>2754</v>
      </c>
      <c r="B752" s="63" t="s">
        <v>2755</v>
      </c>
      <c r="C752" s="360" t="s">
        <v>2756</v>
      </c>
      <c r="D752" s="351"/>
      <c r="E752" s="133" t="s">
        <v>2565</v>
      </c>
      <c r="F752" s="133" t="s">
        <v>2417</v>
      </c>
      <c r="G752" s="133" t="s">
        <v>2417</v>
      </c>
      <c r="H752" s="133" t="s">
        <v>2417</v>
      </c>
      <c r="I752" s="134" t="s">
        <v>2418</v>
      </c>
      <c r="J752" s="133" t="s">
        <v>2417</v>
      </c>
      <c r="K752" s="133" t="s">
        <v>2417</v>
      </c>
      <c r="L752" s="133" t="s">
        <v>2417</v>
      </c>
      <c r="M752" s="133" t="s">
        <v>2417</v>
      </c>
      <c r="N752" s="133" t="s">
        <v>2417</v>
      </c>
      <c r="O752" s="133" t="s">
        <v>2417</v>
      </c>
      <c r="P752" s="133" t="s">
        <v>2417</v>
      </c>
      <c r="Q752" s="133" t="s">
        <v>2417</v>
      </c>
      <c r="R752" s="133" t="s">
        <v>2417</v>
      </c>
      <c r="S752" s="123" t="s">
        <v>2619</v>
      </c>
      <c r="T752" s="133" t="s">
        <v>2417</v>
      </c>
      <c r="U752" s="133" t="s">
        <v>2417</v>
      </c>
      <c r="V752" s="133" t="s">
        <v>2417</v>
      </c>
      <c r="W752" s="132" t="s">
        <v>2417</v>
      </c>
      <c r="X752" s="132" t="s">
        <v>2417</v>
      </c>
      <c r="Y752" s="132" t="s">
        <v>2417</v>
      </c>
      <c r="Z752" s="132" t="s">
        <v>2417</v>
      </c>
      <c r="AA752" s="133" t="s">
        <v>2417</v>
      </c>
      <c r="AB752" s="133" t="s">
        <v>2417</v>
      </c>
      <c r="AC752" s="133" t="s">
        <v>2417</v>
      </c>
      <c r="AD752" s="133" t="s">
        <v>2417</v>
      </c>
      <c r="AE752" s="123"/>
    </row>
    <row r="753" spans="1:31" ht="20.399999999999999" hidden="1" outlineLevel="2">
      <c r="A753" s="68" t="s">
        <v>2757</v>
      </c>
      <c r="B753" s="63" t="s">
        <v>2758</v>
      </c>
      <c r="C753" s="360" t="s">
        <v>1544</v>
      </c>
      <c r="D753" s="351"/>
      <c r="E753" s="133" t="s">
        <v>2565</v>
      </c>
      <c r="F753" s="133" t="s">
        <v>2417</v>
      </c>
      <c r="G753" s="133" t="s">
        <v>2417</v>
      </c>
      <c r="H753" s="133" t="s">
        <v>2417</v>
      </c>
      <c r="I753" s="134" t="s">
        <v>2418</v>
      </c>
      <c r="J753" s="133" t="s">
        <v>2417</v>
      </c>
      <c r="K753" s="133" t="s">
        <v>2417</v>
      </c>
      <c r="L753" s="133" t="s">
        <v>2417</v>
      </c>
      <c r="M753" s="133" t="s">
        <v>2417</v>
      </c>
      <c r="N753" s="133" t="s">
        <v>2417</v>
      </c>
      <c r="O753" s="133" t="s">
        <v>2417</v>
      </c>
      <c r="P753" s="133" t="s">
        <v>2417</v>
      </c>
      <c r="Q753" s="133" t="s">
        <v>2417</v>
      </c>
      <c r="R753" s="133" t="s">
        <v>2417</v>
      </c>
      <c r="S753" s="123" t="s">
        <v>2619</v>
      </c>
      <c r="T753" s="133" t="s">
        <v>2417</v>
      </c>
      <c r="U753" s="133" t="s">
        <v>2417</v>
      </c>
      <c r="V753" s="133" t="s">
        <v>2417</v>
      </c>
      <c r="W753" s="132" t="s">
        <v>2417</v>
      </c>
      <c r="X753" s="132" t="s">
        <v>2417</v>
      </c>
      <c r="Y753" s="132" t="s">
        <v>2417</v>
      </c>
      <c r="Z753" s="132" t="s">
        <v>2417</v>
      </c>
      <c r="AA753" s="133" t="s">
        <v>2417</v>
      </c>
      <c r="AB753" s="133" t="s">
        <v>2417</v>
      </c>
      <c r="AC753" s="133" t="s">
        <v>2417</v>
      </c>
      <c r="AD753" s="133" t="s">
        <v>2417</v>
      </c>
      <c r="AE753" s="123"/>
    </row>
    <row r="754" spans="1:31" ht="20.399999999999999" hidden="1" outlineLevel="2">
      <c r="A754" s="68" t="s">
        <v>2759</v>
      </c>
      <c r="B754" s="63" t="s">
        <v>2760</v>
      </c>
      <c r="C754" s="360" t="s">
        <v>1544</v>
      </c>
      <c r="D754" s="351"/>
      <c r="E754" s="133" t="s">
        <v>2565</v>
      </c>
      <c r="F754" s="133" t="s">
        <v>2417</v>
      </c>
      <c r="G754" s="133" t="s">
        <v>2417</v>
      </c>
      <c r="H754" s="133" t="s">
        <v>2417</v>
      </c>
      <c r="I754" s="134" t="s">
        <v>2418</v>
      </c>
      <c r="J754" s="133" t="s">
        <v>2417</v>
      </c>
      <c r="K754" s="133" t="s">
        <v>2417</v>
      </c>
      <c r="L754" s="133" t="s">
        <v>2417</v>
      </c>
      <c r="M754" s="133" t="s">
        <v>2417</v>
      </c>
      <c r="N754" s="133" t="s">
        <v>2417</v>
      </c>
      <c r="O754" s="133" t="s">
        <v>2417</v>
      </c>
      <c r="P754" s="133" t="s">
        <v>2417</v>
      </c>
      <c r="Q754" s="133" t="s">
        <v>2417</v>
      </c>
      <c r="R754" s="133" t="s">
        <v>2417</v>
      </c>
      <c r="S754" s="123" t="s">
        <v>2619</v>
      </c>
      <c r="T754" s="133" t="s">
        <v>2417</v>
      </c>
      <c r="U754" s="133" t="s">
        <v>2417</v>
      </c>
      <c r="V754" s="133" t="s">
        <v>2417</v>
      </c>
      <c r="W754" s="132" t="s">
        <v>2417</v>
      </c>
      <c r="X754" s="132" t="s">
        <v>2417</v>
      </c>
      <c r="Y754" s="132" t="s">
        <v>2417</v>
      </c>
      <c r="Z754" s="132" t="s">
        <v>2417</v>
      </c>
      <c r="AA754" s="133" t="s">
        <v>2417</v>
      </c>
      <c r="AB754" s="133" t="s">
        <v>2417</v>
      </c>
      <c r="AC754" s="133" t="s">
        <v>2417</v>
      </c>
      <c r="AD754" s="133" t="s">
        <v>2417</v>
      </c>
      <c r="AE754" s="123"/>
    </row>
    <row r="755" spans="1:31" ht="20.399999999999999" hidden="1" outlineLevel="2">
      <c r="A755" s="68" t="s">
        <v>2761</v>
      </c>
      <c r="B755" s="63" t="s">
        <v>2762</v>
      </c>
      <c r="C755" s="360" t="s">
        <v>1544</v>
      </c>
      <c r="D755" s="351"/>
      <c r="E755" s="133" t="s">
        <v>2565</v>
      </c>
      <c r="F755" s="133" t="s">
        <v>2417</v>
      </c>
      <c r="G755" s="133" t="s">
        <v>2417</v>
      </c>
      <c r="H755" s="133" t="s">
        <v>2417</v>
      </c>
      <c r="I755" s="134" t="s">
        <v>2418</v>
      </c>
      <c r="J755" s="133" t="s">
        <v>2417</v>
      </c>
      <c r="K755" s="133" t="s">
        <v>2417</v>
      </c>
      <c r="L755" s="133" t="s">
        <v>2417</v>
      </c>
      <c r="M755" s="133" t="s">
        <v>2417</v>
      </c>
      <c r="N755" s="133" t="s">
        <v>2417</v>
      </c>
      <c r="O755" s="133" t="s">
        <v>2417</v>
      </c>
      <c r="P755" s="133" t="s">
        <v>2417</v>
      </c>
      <c r="Q755" s="133" t="s">
        <v>2417</v>
      </c>
      <c r="R755" s="133" t="s">
        <v>2417</v>
      </c>
      <c r="S755" s="123" t="s">
        <v>2619</v>
      </c>
      <c r="T755" s="133" t="s">
        <v>2417</v>
      </c>
      <c r="U755" s="133" t="s">
        <v>2417</v>
      </c>
      <c r="V755" s="133" t="s">
        <v>2417</v>
      </c>
      <c r="W755" s="132" t="s">
        <v>2417</v>
      </c>
      <c r="X755" s="132" t="s">
        <v>2417</v>
      </c>
      <c r="Y755" s="132" t="s">
        <v>2417</v>
      </c>
      <c r="Z755" s="132" t="s">
        <v>2417</v>
      </c>
      <c r="AA755" s="133" t="s">
        <v>2417</v>
      </c>
      <c r="AB755" s="133" t="s">
        <v>2417</v>
      </c>
      <c r="AC755" s="133" t="s">
        <v>2417</v>
      </c>
      <c r="AD755" s="133" t="s">
        <v>2417</v>
      </c>
      <c r="AE755" s="123"/>
    </row>
    <row r="756" spans="1:31" ht="20.399999999999999" hidden="1" outlineLevel="2">
      <c r="A756" s="68" t="s">
        <v>2763</v>
      </c>
      <c r="B756" s="63" t="s">
        <v>2764</v>
      </c>
      <c r="C756" s="360" t="s">
        <v>2765</v>
      </c>
      <c r="D756" s="351"/>
      <c r="E756" s="133" t="s">
        <v>2565</v>
      </c>
      <c r="F756" s="133" t="s">
        <v>2417</v>
      </c>
      <c r="G756" s="133" t="s">
        <v>2417</v>
      </c>
      <c r="H756" s="133" t="s">
        <v>2417</v>
      </c>
      <c r="I756" s="134" t="s">
        <v>2418</v>
      </c>
      <c r="J756" s="133" t="s">
        <v>2417</v>
      </c>
      <c r="K756" s="133" t="s">
        <v>2417</v>
      </c>
      <c r="L756" s="133" t="s">
        <v>2417</v>
      </c>
      <c r="M756" s="133" t="s">
        <v>2417</v>
      </c>
      <c r="N756" s="133" t="s">
        <v>2417</v>
      </c>
      <c r="O756" s="133" t="s">
        <v>2417</v>
      </c>
      <c r="P756" s="133" t="s">
        <v>2417</v>
      </c>
      <c r="Q756" s="133" t="s">
        <v>2417</v>
      </c>
      <c r="R756" s="133" t="s">
        <v>2417</v>
      </c>
      <c r="S756" s="123" t="s">
        <v>2619</v>
      </c>
      <c r="T756" s="133" t="s">
        <v>2417</v>
      </c>
      <c r="U756" s="133" t="s">
        <v>2417</v>
      </c>
      <c r="V756" s="133" t="s">
        <v>2417</v>
      </c>
      <c r="W756" s="132" t="s">
        <v>2417</v>
      </c>
      <c r="X756" s="132" t="s">
        <v>2417</v>
      </c>
      <c r="Y756" s="132" t="s">
        <v>2417</v>
      </c>
      <c r="Z756" s="133" t="s">
        <v>2595</v>
      </c>
      <c r="AA756" s="133" t="s">
        <v>2417</v>
      </c>
      <c r="AB756" s="133" t="s">
        <v>2417</v>
      </c>
      <c r="AC756" s="133" t="s">
        <v>2417</v>
      </c>
      <c r="AD756" s="133" t="s">
        <v>2417</v>
      </c>
      <c r="AE756" s="123"/>
    </row>
    <row r="757" spans="1:31" ht="20.399999999999999" hidden="1" outlineLevel="2">
      <c r="A757" s="68" t="s">
        <v>2763</v>
      </c>
      <c r="B757" s="62" t="s">
        <v>2628</v>
      </c>
      <c r="C757" s="355" t="s">
        <v>2629</v>
      </c>
      <c r="D757" s="351"/>
      <c r="E757" s="133" t="s">
        <v>2565</v>
      </c>
      <c r="F757" s="133" t="s">
        <v>2417</v>
      </c>
      <c r="G757" s="133" t="s">
        <v>2417</v>
      </c>
      <c r="H757" s="133" t="s">
        <v>2417</v>
      </c>
      <c r="I757" s="133" t="s">
        <v>2417</v>
      </c>
      <c r="J757" s="133" t="s">
        <v>2417</v>
      </c>
      <c r="K757" s="133" t="s">
        <v>2417</v>
      </c>
      <c r="L757" s="133" t="s">
        <v>2417</v>
      </c>
      <c r="M757" s="133" t="s">
        <v>2417</v>
      </c>
      <c r="N757" s="133" t="s">
        <v>2417</v>
      </c>
      <c r="O757" s="133" t="s">
        <v>2417</v>
      </c>
      <c r="P757" s="133" t="s">
        <v>2417</v>
      </c>
      <c r="Q757" s="133" t="s">
        <v>2417</v>
      </c>
      <c r="R757" s="133" t="s">
        <v>2417</v>
      </c>
      <c r="S757" s="133" t="s">
        <v>2417</v>
      </c>
      <c r="T757" s="133" t="s">
        <v>2417</v>
      </c>
      <c r="U757" s="133" t="s">
        <v>2417</v>
      </c>
      <c r="V757" s="133" t="s">
        <v>2417</v>
      </c>
      <c r="W757" s="133" t="s">
        <v>2417</v>
      </c>
      <c r="X757" s="133" t="s">
        <v>2417</v>
      </c>
      <c r="Y757" s="133" t="s">
        <v>2417</v>
      </c>
      <c r="Z757" s="132" t="s">
        <v>2596</v>
      </c>
      <c r="AA757" s="133" t="s">
        <v>2417</v>
      </c>
      <c r="AB757" s="133" t="s">
        <v>2417</v>
      </c>
      <c r="AC757" s="133" t="s">
        <v>2417</v>
      </c>
      <c r="AD757" s="133" t="s">
        <v>2417</v>
      </c>
      <c r="AE757" s="123"/>
    </row>
    <row r="758" spans="1:31" ht="30.6" hidden="1" outlineLevel="2">
      <c r="A758" s="68" t="s">
        <v>2766</v>
      </c>
      <c r="B758" s="63" t="s">
        <v>2767</v>
      </c>
      <c r="C758" s="360" t="s">
        <v>1554</v>
      </c>
      <c r="D758" s="351"/>
      <c r="E758" s="133" t="s">
        <v>2565</v>
      </c>
      <c r="F758" s="133" t="s">
        <v>2417</v>
      </c>
      <c r="G758" s="133" t="s">
        <v>2417</v>
      </c>
      <c r="H758" s="133" t="s">
        <v>2417</v>
      </c>
      <c r="I758" s="134" t="s">
        <v>2418</v>
      </c>
      <c r="J758" s="133" t="s">
        <v>2417</v>
      </c>
      <c r="K758" s="133" t="s">
        <v>2417</v>
      </c>
      <c r="L758" s="133" t="s">
        <v>2417</v>
      </c>
      <c r="M758" s="133" t="s">
        <v>2417</v>
      </c>
      <c r="N758" s="133" t="s">
        <v>2417</v>
      </c>
      <c r="O758" s="133" t="s">
        <v>2417</v>
      </c>
      <c r="P758" s="133" t="s">
        <v>2417</v>
      </c>
      <c r="Q758" s="133" t="s">
        <v>2417</v>
      </c>
      <c r="R758" s="133" t="s">
        <v>2417</v>
      </c>
      <c r="S758" s="123" t="s">
        <v>2619</v>
      </c>
      <c r="T758" s="133" t="s">
        <v>2417</v>
      </c>
      <c r="U758" s="133" t="s">
        <v>2417</v>
      </c>
      <c r="V758" s="133" t="s">
        <v>2417</v>
      </c>
      <c r="W758" s="132" t="s">
        <v>2417</v>
      </c>
      <c r="X758" s="132" t="s">
        <v>2417</v>
      </c>
      <c r="Y758" s="133" t="s">
        <v>2595</v>
      </c>
      <c r="Z758" s="132" t="s">
        <v>2417</v>
      </c>
      <c r="AA758" s="133" t="s">
        <v>2417</v>
      </c>
      <c r="AB758" s="133" t="s">
        <v>2417</v>
      </c>
      <c r="AC758" s="133" t="s">
        <v>2417</v>
      </c>
      <c r="AD758" s="133" t="s">
        <v>2417</v>
      </c>
      <c r="AE758" s="123"/>
    </row>
    <row r="759" spans="1:31" ht="20.399999999999999" hidden="1" outlineLevel="2">
      <c r="A759" s="68" t="s">
        <v>2766</v>
      </c>
      <c r="B759" s="64" t="s">
        <v>2768</v>
      </c>
      <c r="C759" s="355" t="s">
        <v>2632</v>
      </c>
      <c r="D759" s="351"/>
      <c r="E759" s="133" t="s">
        <v>2565</v>
      </c>
      <c r="F759" s="133" t="s">
        <v>2417</v>
      </c>
      <c r="G759" s="133" t="s">
        <v>2417</v>
      </c>
      <c r="H759" s="133" t="s">
        <v>2417</v>
      </c>
      <c r="I759" s="133" t="s">
        <v>2417</v>
      </c>
      <c r="J759" s="133" t="s">
        <v>2417</v>
      </c>
      <c r="K759" s="133" t="s">
        <v>2417</v>
      </c>
      <c r="L759" s="133" t="s">
        <v>2417</v>
      </c>
      <c r="M759" s="133" t="s">
        <v>2417</v>
      </c>
      <c r="N759" s="133" t="s">
        <v>2417</v>
      </c>
      <c r="O759" s="133" t="s">
        <v>2417</v>
      </c>
      <c r="P759" s="133" t="s">
        <v>2417</v>
      </c>
      <c r="Q759" s="133" t="s">
        <v>2417</v>
      </c>
      <c r="R759" s="133" t="s">
        <v>2417</v>
      </c>
      <c r="S759" s="133" t="s">
        <v>2417</v>
      </c>
      <c r="T759" s="133" t="s">
        <v>2417</v>
      </c>
      <c r="U759" s="133" t="s">
        <v>2417</v>
      </c>
      <c r="V759" s="133" t="s">
        <v>2417</v>
      </c>
      <c r="W759" s="133" t="s">
        <v>2417</v>
      </c>
      <c r="X759" s="133" t="s">
        <v>2417</v>
      </c>
      <c r="Y759" s="132" t="s">
        <v>2596</v>
      </c>
      <c r="Z759" s="133" t="s">
        <v>2417</v>
      </c>
      <c r="AA759" s="133" t="s">
        <v>2417</v>
      </c>
      <c r="AB759" s="133" t="s">
        <v>2417</v>
      </c>
      <c r="AC759" s="133" t="s">
        <v>2417</v>
      </c>
      <c r="AD759" s="133" t="s">
        <v>2417</v>
      </c>
      <c r="AE759" s="123"/>
    </row>
    <row r="760" spans="1:31" ht="20.399999999999999" hidden="1" outlineLevel="2">
      <c r="A760" s="68" t="s">
        <v>2769</v>
      </c>
      <c r="B760" s="63" t="s">
        <v>2770</v>
      </c>
      <c r="C760" s="360" t="s">
        <v>2771</v>
      </c>
      <c r="D760" s="351"/>
      <c r="E760" s="133" t="s">
        <v>2565</v>
      </c>
      <c r="F760" s="133" t="s">
        <v>2417</v>
      </c>
      <c r="G760" s="133" t="s">
        <v>2417</v>
      </c>
      <c r="H760" s="133" t="s">
        <v>2417</v>
      </c>
      <c r="I760" s="134" t="s">
        <v>2418</v>
      </c>
      <c r="J760" s="133" t="s">
        <v>2417</v>
      </c>
      <c r="K760" s="133" t="s">
        <v>2417</v>
      </c>
      <c r="L760" s="133" t="s">
        <v>2417</v>
      </c>
      <c r="M760" s="133" t="s">
        <v>2417</v>
      </c>
      <c r="N760" s="133" t="s">
        <v>2417</v>
      </c>
      <c r="O760" s="133" t="s">
        <v>2417</v>
      </c>
      <c r="P760" s="133" t="s">
        <v>2417</v>
      </c>
      <c r="Q760" s="133" t="s">
        <v>2417</v>
      </c>
      <c r="R760" s="133" t="s">
        <v>2417</v>
      </c>
      <c r="S760" s="123" t="s">
        <v>2619</v>
      </c>
      <c r="T760" s="133" t="s">
        <v>2417</v>
      </c>
      <c r="U760" s="133" t="s">
        <v>2417</v>
      </c>
      <c r="V760" s="133" t="s">
        <v>2417</v>
      </c>
      <c r="W760" s="132" t="s">
        <v>2417</v>
      </c>
      <c r="X760" s="132" t="s">
        <v>2417</v>
      </c>
      <c r="Y760" s="132" t="s">
        <v>2417</v>
      </c>
      <c r="Z760" s="132" t="s">
        <v>2417</v>
      </c>
      <c r="AA760" s="133" t="s">
        <v>2417</v>
      </c>
      <c r="AB760" s="133" t="s">
        <v>2417</v>
      </c>
      <c r="AC760" s="133" t="s">
        <v>2417</v>
      </c>
      <c r="AD760" s="133" t="s">
        <v>2417</v>
      </c>
      <c r="AE760" s="123"/>
    </row>
    <row r="761" spans="1:31" ht="20.399999999999999" hidden="1" outlineLevel="2">
      <c r="A761" s="68" t="s">
        <v>2772</v>
      </c>
      <c r="B761" s="63" t="s">
        <v>2773</v>
      </c>
      <c r="C761" s="360" t="s">
        <v>1560</v>
      </c>
      <c r="D761" s="351"/>
      <c r="E761" s="133" t="s">
        <v>2565</v>
      </c>
      <c r="F761" s="133" t="s">
        <v>2417</v>
      </c>
      <c r="G761" s="133" t="s">
        <v>2417</v>
      </c>
      <c r="H761" s="133" t="s">
        <v>2417</v>
      </c>
      <c r="I761" s="134" t="s">
        <v>2418</v>
      </c>
      <c r="J761" s="133" t="s">
        <v>2417</v>
      </c>
      <c r="K761" s="133" t="s">
        <v>2417</v>
      </c>
      <c r="L761" s="133" t="s">
        <v>2417</v>
      </c>
      <c r="M761" s="133" t="s">
        <v>2417</v>
      </c>
      <c r="N761" s="133" t="s">
        <v>2417</v>
      </c>
      <c r="O761" s="133" t="s">
        <v>2417</v>
      </c>
      <c r="P761" s="133" t="s">
        <v>2417</v>
      </c>
      <c r="Q761" s="133" t="s">
        <v>2417</v>
      </c>
      <c r="R761" s="133" t="s">
        <v>2417</v>
      </c>
      <c r="S761" s="123" t="s">
        <v>2619</v>
      </c>
      <c r="T761" s="133" t="s">
        <v>2417</v>
      </c>
      <c r="U761" s="133" t="s">
        <v>2417</v>
      </c>
      <c r="V761" s="133" t="s">
        <v>2417</v>
      </c>
      <c r="W761" s="132" t="s">
        <v>2417</v>
      </c>
      <c r="X761" s="132" t="s">
        <v>2417</v>
      </c>
      <c r="Y761" s="132" t="s">
        <v>2417</v>
      </c>
      <c r="Z761" s="132" t="s">
        <v>2417</v>
      </c>
      <c r="AA761" s="133" t="s">
        <v>2417</v>
      </c>
      <c r="AB761" s="133" t="s">
        <v>2417</v>
      </c>
      <c r="AC761" s="133" t="s">
        <v>2417</v>
      </c>
      <c r="AD761" s="133" t="s">
        <v>2417</v>
      </c>
      <c r="AE761" s="123"/>
    </row>
    <row r="762" spans="1:31" ht="20.399999999999999" hidden="1" outlineLevel="2">
      <c r="A762" s="68" t="s">
        <v>2774</v>
      </c>
      <c r="B762" s="63" t="s">
        <v>2775</v>
      </c>
      <c r="C762" s="360" t="s">
        <v>1566</v>
      </c>
      <c r="D762" s="351"/>
      <c r="E762" s="133" t="s">
        <v>2565</v>
      </c>
      <c r="F762" s="133" t="s">
        <v>2417</v>
      </c>
      <c r="G762" s="133" t="s">
        <v>2417</v>
      </c>
      <c r="H762" s="133" t="s">
        <v>2417</v>
      </c>
      <c r="I762" s="134" t="s">
        <v>2418</v>
      </c>
      <c r="J762" s="133" t="s">
        <v>2417</v>
      </c>
      <c r="K762" s="133" t="s">
        <v>2417</v>
      </c>
      <c r="L762" s="133" t="s">
        <v>2417</v>
      </c>
      <c r="M762" s="133" t="s">
        <v>2417</v>
      </c>
      <c r="N762" s="133" t="s">
        <v>2417</v>
      </c>
      <c r="O762" s="133" t="s">
        <v>2417</v>
      </c>
      <c r="P762" s="133" t="s">
        <v>2417</v>
      </c>
      <c r="Q762" s="133" t="s">
        <v>2417</v>
      </c>
      <c r="R762" s="133" t="s">
        <v>2417</v>
      </c>
      <c r="S762" s="123" t="s">
        <v>2619</v>
      </c>
      <c r="T762" s="133" t="s">
        <v>2417</v>
      </c>
      <c r="U762" s="133" t="s">
        <v>2417</v>
      </c>
      <c r="V762" s="133" t="s">
        <v>2417</v>
      </c>
      <c r="W762" s="132" t="s">
        <v>2417</v>
      </c>
      <c r="X762" s="132" t="s">
        <v>2417</v>
      </c>
      <c r="Y762" s="132" t="s">
        <v>2417</v>
      </c>
      <c r="Z762" s="132" t="s">
        <v>2417</v>
      </c>
      <c r="AA762" s="133" t="s">
        <v>2417</v>
      </c>
      <c r="AB762" s="133" t="s">
        <v>2417</v>
      </c>
      <c r="AC762" s="133" t="s">
        <v>2417</v>
      </c>
      <c r="AD762" s="133" t="s">
        <v>2417</v>
      </c>
      <c r="AE762" s="123"/>
    </row>
    <row r="763" spans="1:31" ht="20.399999999999999" hidden="1" outlineLevel="2">
      <c r="A763" s="68" t="s">
        <v>2776</v>
      </c>
      <c r="B763" s="62" t="s">
        <v>1568</v>
      </c>
      <c r="C763" s="355" t="s">
        <v>2636</v>
      </c>
      <c r="D763" s="351"/>
      <c r="E763" s="133" t="s">
        <v>2565</v>
      </c>
      <c r="F763" s="133" t="s">
        <v>2417</v>
      </c>
      <c r="G763" s="133" t="s">
        <v>2417</v>
      </c>
      <c r="H763" s="133" t="s">
        <v>2417</v>
      </c>
      <c r="I763" s="134" t="s">
        <v>2418</v>
      </c>
      <c r="J763" s="133" t="s">
        <v>2417</v>
      </c>
      <c r="K763" s="133" t="s">
        <v>2417</v>
      </c>
      <c r="L763" s="133" t="s">
        <v>2417</v>
      </c>
      <c r="M763" s="133" t="s">
        <v>2417</v>
      </c>
      <c r="N763" s="133" t="s">
        <v>2417</v>
      </c>
      <c r="O763" s="133" t="s">
        <v>2417</v>
      </c>
      <c r="P763" s="133" t="s">
        <v>2417</v>
      </c>
      <c r="Q763" s="133" t="s">
        <v>2417</v>
      </c>
      <c r="R763" s="133" t="s">
        <v>2417</v>
      </c>
      <c r="S763" s="133" t="s">
        <v>2417</v>
      </c>
      <c r="T763" s="133" t="s">
        <v>2417</v>
      </c>
      <c r="U763" s="133" t="s">
        <v>2417</v>
      </c>
      <c r="V763" s="133" t="s">
        <v>2417</v>
      </c>
      <c r="W763" s="59" t="s">
        <v>2595</v>
      </c>
      <c r="X763" s="133" t="s">
        <v>2417</v>
      </c>
      <c r="Y763" s="133" t="s">
        <v>2417</v>
      </c>
      <c r="Z763" s="133" t="s">
        <v>2417</v>
      </c>
      <c r="AA763" s="133" t="s">
        <v>2417</v>
      </c>
      <c r="AB763" s="133" t="s">
        <v>2417</v>
      </c>
      <c r="AC763" s="133" t="s">
        <v>2417</v>
      </c>
      <c r="AD763" s="133" t="s">
        <v>2417</v>
      </c>
      <c r="AE763" s="57"/>
    </row>
    <row r="764" spans="1:31" ht="20.399999999999999" hidden="1" outlineLevel="2">
      <c r="A764" s="68" t="s">
        <v>2776</v>
      </c>
      <c r="B764" s="63" t="s">
        <v>1568</v>
      </c>
      <c r="C764" s="387" t="s">
        <v>2777</v>
      </c>
      <c r="D764" s="351"/>
      <c r="E764" s="133" t="s">
        <v>2565</v>
      </c>
      <c r="F764" s="133" t="s">
        <v>2417</v>
      </c>
      <c r="G764" s="133" t="s">
        <v>2417</v>
      </c>
      <c r="H764" s="133" t="s">
        <v>2417</v>
      </c>
      <c r="I764" s="134" t="s">
        <v>2418</v>
      </c>
      <c r="J764" s="133" t="s">
        <v>2417</v>
      </c>
      <c r="K764" s="133" t="s">
        <v>2417</v>
      </c>
      <c r="L764" s="133" t="s">
        <v>2417</v>
      </c>
      <c r="M764" s="133" t="s">
        <v>2417</v>
      </c>
      <c r="N764" s="133" t="s">
        <v>2417</v>
      </c>
      <c r="O764" s="133" t="s">
        <v>2417</v>
      </c>
      <c r="P764" s="133" t="s">
        <v>2417</v>
      </c>
      <c r="Q764" s="133" t="s">
        <v>2417</v>
      </c>
      <c r="R764" s="133" t="s">
        <v>2417</v>
      </c>
      <c r="S764" s="133" t="s">
        <v>2417</v>
      </c>
      <c r="T764" s="133" t="s">
        <v>2417</v>
      </c>
      <c r="U764" s="133" t="s">
        <v>2417</v>
      </c>
      <c r="V764" s="133" t="s">
        <v>2417</v>
      </c>
      <c r="W764" s="59" t="s">
        <v>2596</v>
      </c>
      <c r="X764" s="133" t="s">
        <v>2417</v>
      </c>
      <c r="Y764" s="133" t="s">
        <v>2417</v>
      </c>
      <c r="Z764" s="133" t="s">
        <v>2417</v>
      </c>
      <c r="AA764" s="133" t="s">
        <v>2417</v>
      </c>
      <c r="AB764" s="133" t="s">
        <v>2417</v>
      </c>
      <c r="AC764" s="133" t="s">
        <v>2417</v>
      </c>
      <c r="AD764" s="133" t="s">
        <v>2417</v>
      </c>
      <c r="AE764" s="57"/>
    </row>
    <row r="765" spans="1:31" ht="20.399999999999999" hidden="1" outlineLevel="2">
      <c r="A765" s="68" t="s">
        <v>2778</v>
      </c>
      <c r="B765" s="79" t="s">
        <v>1571</v>
      </c>
      <c r="C765" s="387" t="s">
        <v>1639</v>
      </c>
      <c r="D765" s="351"/>
      <c r="E765" s="133" t="s">
        <v>2565</v>
      </c>
      <c r="F765" s="133" t="s">
        <v>2417</v>
      </c>
      <c r="G765" s="133" t="s">
        <v>2417</v>
      </c>
      <c r="H765" s="133" t="s">
        <v>2417</v>
      </c>
      <c r="I765" s="134" t="s">
        <v>2418</v>
      </c>
      <c r="J765" s="133" t="s">
        <v>2417</v>
      </c>
      <c r="K765" s="133" t="s">
        <v>2417</v>
      </c>
      <c r="L765" s="133" t="s">
        <v>2417</v>
      </c>
      <c r="M765" s="133" t="s">
        <v>2417</v>
      </c>
      <c r="N765" s="133" t="s">
        <v>2417</v>
      </c>
      <c r="O765" s="133" t="s">
        <v>2417</v>
      </c>
      <c r="P765" s="133" t="s">
        <v>2417</v>
      </c>
      <c r="Q765" s="133" t="s">
        <v>2417</v>
      </c>
      <c r="R765" s="133" t="s">
        <v>2417</v>
      </c>
      <c r="S765" s="133" t="s">
        <v>2417</v>
      </c>
      <c r="T765" s="133" t="s">
        <v>2417</v>
      </c>
      <c r="U765" s="133" t="s">
        <v>2417</v>
      </c>
      <c r="V765" s="133" t="s">
        <v>2417</v>
      </c>
      <c r="W765" s="59" t="s">
        <v>2596</v>
      </c>
      <c r="X765" s="133" t="s">
        <v>2417</v>
      </c>
      <c r="Y765" s="133" t="s">
        <v>2417</v>
      </c>
      <c r="Z765" s="133" t="s">
        <v>2417</v>
      </c>
      <c r="AA765" s="133" t="s">
        <v>2417</v>
      </c>
      <c r="AB765" s="133" t="s">
        <v>2417</v>
      </c>
      <c r="AC765" s="133" t="s">
        <v>2417</v>
      </c>
      <c r="AD765" s="133" t="s">
        <v>2417</v>
      </c>
      <c r="AE765" s="151"/>
    </row>
    <row r="766" spans="1:31" ht="20.399999999999999" hidden="1" outlineLevel="2">
      <c r="A766" s="68" t="s">
        <v>2779</v>
      </c>
      <c r="B766" s="79" t="s">
        <v>1577</v>
      </c>
      <c r="C766" s="387" t="s">
        <v>1578</v>
      </c>
      <c r="D766" s="351"/>
      <c r="E766" s="133" t="s">
        <v>2565</v>
      </c>
      <c r="F766" s="133" t="s">
        <v>2417</v>
      </c>
      <c r="G766" s="133" t="s">
        <v>2417</v>
      </c>
      <c r="H766" s="133" t="s">
        <v>2417</v>
      </c>
      <c r="I766" s="134" t="s">
        <v>2418</v>
      </c>
      <c r="J766" s="133" t="s">
        <v>2417</v>
      </c>
      <c r="K766" s="133" t="s">
        <v>2417</v>
      </c>
      <c r="L766" s="133" t="s">
        <v>2417</v>
      </c>
      <c r="M766" s="133" t="s">
        <v>2417</v>
      </c>
      <c r="N766" s="133" t="s">
        <v>2417</v>
      </c>
      <c r="O766" s="133" t="s">
        <v>2417</v>
      </c>
      <c r="P766" s="133" t="s">
        <v>2417</v>
      </c>
      <c r="Q766" s="133" t="s">
        <v>2417</v>
      </c>
      <c r="R766" s="133" t="s">
        <v>2417</v>
      </c>
      <c r="S766" s="133" t="s">
        <v>2417</v>
      </c>
      <c r="T766" s="133" t="s">
        <v>2417</v>
      </c>
      <c r="U766" s="133" t="s">
        <v>2417</v>
      </c>
      <c r="V766" s="133" t="s">
        <v>2417</v>
      </c>
      <c r="W766" s="59" t="s">
        <v>2596</v>
      </c>
      <c r="X766" s="133" t="s">
        <v>2417</v>
      </c>
      <c r="Y766" s="133" t="s">
        <v>2417</v>
      </c>
      <c r="Z766" s="133" t="s">
        <v>2417</v>
      </c>
      <c r="AA766" s="133" t="s">
        <v>2417</v>
      </c>
      <c r="AB766" s="133" t="s">
        <v>2417</v>
      </c>
      <c r="AC766" s="133" t="s">
        <v>2417</v>
      </c>
      <c r="AD766" s="133" t="s">
        <v>2417</v>
      </c>
      <c r="AE766" s="151"/>
    </row>
    <row r="767" spans="1:31" ht="20.399999999999999" hidden="1" outlineLevel="2">
      <c r="A767" s="68" t="s">
        <v>2780</v>
      </c>
      <c r="B767" s="62" t="s">
        <v>1580</v>
      </c>
      <c r="C767" s="355" t="s">
        <v>2640</v>
      </c>
      <c r="D767" s="351"/>
      <c r="E767" s="133" t="s">
        <v>2565</v>
      </c>
      <c r="F767" s="133" t="s">
        <v>2417</v>
      </c>
      <c r="G767" s="133" t="s">
        <v>2417</v>
      </c>
      <c r="H767" s="133" t="s">
        <v>2417</v>
      </c>
      <c r="I767" s="134" t="s">
        <v>2418</v>
      </c>
      <c r="J767" s="133" t="s">
        <v>2417</v>
      </c>
      <c r="K767" s="133" t="s">
        <v>2417</v>
      </c>
      <c r="L767" s="133" t="s">
        <v>2417</v>
      </c>
      <c r="M767" s="133" t="s">
        <v>2417</v>
      </c>
      <c r="N767" s="133" t="s">
        <v>2417</v>
      </c>
      <c r="O767" s="133" t="s">
        <v>2417</v>
      </c>
      <c r="P767" s="133" t="s">
        <v>2417</v>
      </c>
      <c r="Q767" s="133" t="s">
        <v>2417</v>
      </c>
      <c r="R767" s="133" t="s">
        <v>2417</v>
      </c>
      <c r="S767" s="133" t="s">
        <v>2417</v>
      </c>
      <c r="T767" s="133" t="s">
        <v>2417</v>
      </c>
      <c r="U767" s="133" t="s">
        <v>2417</v>
      </c>
      <c r="V767" s="133" t="s">
        <v>2417</v>
      </c>
      <c r="W767" s="133" t="s">
        <v>2417</v>
      </c>
      <c r="X767" s="59" t="s">
        <v>2595</v>
      </c>
      <c r="Y767" s="133" t="s">
        <v>2417</v>
      </c>
      <c r="Z767" s="133" t="s">
        <v>2417</v>
      </c>
      <c r="AA767" s="133" t="s">
        <v>2417</v>
      </c>
      <c r="AB767" s="133" t="s">
        <v>2417</v>
      </c>
      <c r="AC767" s="133" t="s">
        <v>2417</v>
      </c>
      <c r="AD767" s="133" t="s">
        <v>2417</v>
      </c>
      <c r="AE767" s="57"/>
    </row>
    <row r="768" spans="1:31" ht="20.399999999999999" hidden="1" outlineLevel="2">
      <c r="A768" s="68" t="s">
        <v>2780</v>
      </c>
      <c r="B768" s="62" t="s">
        <v>1580</v>
      </c>
      <c r="C768" s="387" t="s">
        <v>2781</v>
      </c>
      <c r="D768" s="351"/>
      <c r="E768" s="133" t="s">
        <v>2565</v>
      </c>
      <c r="F768" s="133" t="s">
        <v>2417</v>
      </c>
      <c r="G768" s="133" t="s">
        <v>2417</v>
      </c>
      <c r="H768" s="133" t="s">
        <v>2417</v>
      </c>
      <c r="I768" s="134" t="s">
        <v>2418</v>
      </c>
      <c r="J768" s="133" t="s">
        <v>2417</v>
      </c>
      <c r="K768" s="133" t="s">
        <v>2417</v>
      </c>
      <c r="L768" s="133" t="s">
        <v>2417</v>
      </c>
      <c r="M768" s="133" t="s">
        <v>2417</v>
      </c>
      <c r="N768" s="133" t="s">
        <v>2417</v>
      </c>
      <c r="O768" s="133" t="s">
        <v>2417</v>
      </c>
      <c r="P768" s="133" t="s">
        <v>2417</v>
      </c>
      <c r="Q768" s="133" t="s">
        <v>2417</v>
      </c>
      <c r="R768" s="133" t="s">
        <v>2417</v>
      </c>
      <c r="S768" s="133" t="s">
        <v>2417</v>
      </c>
      <c r="T768" s="133" t="s">
        <v>2417</v>
      </c>
      <c r="U768" s="133" t="s">
        <v>2417</v>
      </c>
      <c r="V768" s="133" t="s">
        <v>2417</v>
      </c>
      <c r="W768" s="133" t="s">
        <v>2417</v>
      </c>
      <c r="X768" s="59" t="s">
        <v>2596</v>
      </c>
      <c r="Y768" s="133" t="s">
        <v>2417</v>
      </c>
      <c r="Z768" s="133" t="s">
        <v>2417</v>
      </c>
      <c r="AA768" s="133" t="s">
        <v>2417</v>
      </c>
      <c r="AB768" s="133" t="s">
        <v>2417</v>
      </c>
      <c r="AC768" s="133" t="s">
        <v>2417</v>
      </c>
      <c r="AD768" s="133" t="s">
        <v>2417</v>
      </c>
      <c r="AE768" s="57"/>
    </row>
    <row r="769" spans="1:31" ht="20.399999999999999" hidden="1" outlineLevel="2">
      <c r="A769" s="68" t="s">
        <v>2782</v>
      </c>
      <c r="B769" s="79" t="s">
        <v>1583</v>
      </c>
      <c r="C769" s="387" t="s">
        <v>1584</v>
      </c>
      <c r="D769" s="351"/>
      <c r="E769" s="133" t="s">
        <v>2565</v>
      </c>
      <c r="F769" s="133" t="s">
        <v>2417</v>
      </c>
      <c r="G769" s="133" t="s">
        <v>2417</v>
      </c>
      <c r="H769" s="133" t="s">
        <v>2417</v>
      </c>
      <c r="I769" s="134" t="s">
        <v>2418</v>
      </c>
      <c r="J769" s="133" t="s">
        <v>2417</v>
      </c>
      <c r="K769" s="133" t="s">
        <v>2417</v>
      </c>
      <c r="L769" s="133" t="s">
        <v>2417</v>
      </c>
      <c r="M769" s="133" t="s">
        <v>2417</v>
      </c>
      <c r="N769" s="133" t="s">
        <v>2417</v>
      </c>
      <c r="O769" s="133" t="s">
        <v>2417</v>
      </c>
      <c r="P769" s="133" t="s">
        <v>2417</v>
      </c>
      <c r="Q769" s="133" t="s">
        <v>2417</v>
      </c>
      <c r="R769" s="133" t="s">
        <v>2417</v>
      </c>
      <c r="S769" s="133" t="s">
        <v>2417</v>
      </c>
      <c r="T769" s="133" t="s">
        <v>2417</v>
      </c>
      <c r="U769" s="133" t="s">
        <v>2417</v>
      </c>
      <c r="V769" s="133" t="s">
        <v>2417</v>
      </c>
      <c r="W769" s="133" t="s">
        <v>2417</v>
      </c>
      <c r="X769" s="59" t="s">
        <v>2596</v>
      </c>
      <c r="Y769" s="133" t="s">
        <v>2417</v>
      </c>
      <c r="Z769" s="133" t="s">
        <v>2417</v>
      </c>
      <c r="AA769" s="133" t="s">
        <v>2417</v>
      </c>
      <c r="AB769" s="133" t="s">
        <v>2417</v>
      </c>
      <c r="AC769" s="133" t="s">
        <v>2417</v>
      </c>
      <c r="AD769" s="133" t="s">
        <v>2417</v>
      </c>
      <c r="AE769" s="151"/>
    </row>
    <row r="770" spans="1:31" ht="13.2" hidden="1" outlineLevel="2">
      <c r="A770" s="68" t="s">
        <v>2783</v>
      </c>
      <c r="B770" s="63" t="s">
        <v>1586</v>
      </c>
      <c r="C770" s="387" t="s">
        <v>1587</v>
      </c>
      <c r="D770" s="351"/>
      <c r="E770" s="133" t="s">
        <v>2565</v>
      </c>
      <c r="F770" s="133" t="s">
        <v>2417</v>
      </c>
      <c r="G770" s="133" t="s">
        <v>2417</v>
      </c>
      <c r="H770" s="133" t="s">
        <v>2417</v>
      </c>
      <c r="I770" s="134" t="s">
        <v>2418</v>
      </c>
      <c r="J770" s="133" t="s">
        <v>2417</v>
      </c>
      <c r="K770" s="133" t="s">
        <v>2417</v>
      </c>
      <c r="L770" s="133" t="s">
        <v>2417</v>
      </c>
      <c r="M770" s="133" t="s">
        <v>2417</v>
      </c>
      <c r="N770" s="133" t="s">
        <v>2417</v>
      </c>
      <c r="O770" s="133" t="s">
        <v>2417</v>
      </c>
      <c r="P770" s="133" t="s">
        <v>2417</v>
      </c>
      <c r="Q770" s="133" t="s">
        <v>2417</v>
      </c>
      <c r="R770" s="133" t="s">
        <v>2417</v>
      </c>
      <c r="S770" s="133" t="s">
        <v>2417</v>
      </c>
      <c r="T770" s="133" t="s">
        <v>2417</v>
      </c>
      <c r="U770" s="133" t="s">
        <v>2417</v>
      </c>
      <c r="V770" s="133" t="s">
        <v>2417</v>
      </c>
      <c r="W770" s="133" t="s">
        <v>2417</v>
      </c>
      <c r="X770" s="133" t="s">
        <v>2417</v>
      </c>
      <c r="Y770" s="133" t="s">
        <v>2417</v>
      </c>
      <c r="Z770" s="133" t="s">
        <v>2417</v>
      </c>
      <c r="AA770" s="133" t="s">
        <v>2417</v>
      </c>
      <c r="AB770" s="133" t="s">
        <v>2417</v>
      </c>
      <c r="AC770" s="133" t="s">
        <v>2417</v>
      </c>
      <c r="AD770" s="133" t="s">
        <v>2417</v>
      </c>
      <c r="AE770" s="59"/>
    </row>
    <row r="771" spans="1:31" ht="13.2" hidden="1" outlineLevel="2">
      <c r="A771" s="68" t="s">
        <v>2784</v>
      </c>
      <c r="B771" s="62" t="s">
        <v>1589</v>
      </c>
      <c r="C771" s="387" t="s">
        <v>2785</v>
      </c>
      <c r="D771" s="351"/>
      <c r="E771" s="133" t="s">
        <v>2565</v>
      </c>
      <c r="F771" s="133" t="s">
        <v>2417</v>
      </c>
      <c r="G771" s="133" t="s">
        <v>2417</v>
      </c>
      <c r="H771" s="133" t="s">
        <v>2417</v>
      </c>
      <c r="I771" s="134" t="s">
        <v>2418</v>
      </c>
      <c r="J771" s="133" t="s">
        <v>2417</v>
      </c>
      <c r="K771" s="133" t="s">
        <v>2417</v>
      </c>
      <c r="L771" s="133" t="s">
        <v>2417</v>
      </c>
      <c r="M771" s="133" t="s">
        <v>2417</v>
      </c>
      <c r="N771" s="133" t="s">
        <v>2417</v>
      </c>
      <c r="O771" s="133" t="s">
        <v>2417</v>
      </c>
      <c r="P771" s="133" t="s">
        <v>2417</v>
      </c>
      <c r="Q771" s="133" t="s">
        <v>2417</v>
      </c>
      <c r="R771" s="133" t="s">
        <v>2417</v>
      </c>
      <c r="S771" s="133" t="s">
        <v>2417</v>
      </c>
      <c r="T771" s="133" t="s">
        <v>2417</v>
      </c>
      <c r="U771" s="133" t="s">
        <v>2417</v>
      </c>
      <c r="V771" s="133" t="s">
        <v>2417</v>
      </c>
      <c r="W771" s="133" t="s">
        <v>2417</v>
      </c>
      <c r="X771" s="133" t="s">
        <v>2417</v>
      </c>
      <c r="Y771" s="133" t="s">
        <v>2417</v>
      </c>
      <c r="Z771" s="133" t="s">
        <v>2417</v>
      </c>
      <c r="AA771" s="133" t="s">
        <v>2417</v>
      </c>
      <c r="AB771" s="133" t="s">
        <v>2417</v>
      </c>
      <c r="AC771" s="133" t="s">
        <v>2417</v>
      </c>
      <c r="AD771" s="133" t="s">
        <v>2417</v>
      </c>
      <c r="AE771" s="59"/>
    </row>
    <row r="772" spans="1:31" ht="13.2" hidden="1" outlineLevel="2">
      <c r="A772" s="68" t="s">
        <v>2786</v>
      </c>
      <c r="B772" s="91" t="s">
        <v>1592</v>
      </c>
      <c r="C772" s="396" t="s">
        <v>2787</v>
      </c>
      <c r="D772" s="351"/>
      <c r="E772" s="133" t="s">
        <v>2565</v>
      </c>
      <c r="F772" s="133" t="s">
        <v>2417</v>
      </c>
      <c r="G772" s="133" t="s">
        <v>2417</v>
      </c>
      <c r="H772" s="133" t="s">
        <v>2417</v>
      </c>
      <c r="I772" s="134" t="s">
        <v>2418</v>
      </c>
      <c r="J772" s="133" t="s">
        <v>2417</v>
      </c>
      <c r="K772" s="133" t="s">
        <v>2417</v>
      </c>
      <c r="L772" s="133" t="s">
        <v>2417</v>
      </c>
      <c r="M772" s="133" t="s">
        <v>2417</v>
      </c>
      <c r="N772" s="133" t="s">
        <v>2417</v>
      </c>
      <c r="O772" s="133" t="s">
        <v>2417</v>
      </c>
      <c r="P772" s="133" t="s">
        <v>2417</v>
      </c>
      <c r="Q772" s="133" t="s">
        <v>2417</v>
      </c>
      <c r="R772" s="133" t="s">
        <v>2417</v>
      </c>
      <c r="S772" s="133" t="s">
        <v>2417</v>
      </c>
      <c r="T772" s="133" t="s">
        <v>2417</v>
      </c>
      <c r="U772" s="133" t="s">
        <v>2417</v>
      </c>
      <c r="V772" s="167" t="s">
        <v>2596</v>
      </c>
      <c r="W772" s="133" t="s">
        <v>2417</v>
      </c>
      <c r="X772" s="133" t="s">
        <v>2417</v>
      </c>
      <c r="Y772" s="133" t="s">
        <v>2417</v>
      </c>
      <c r="Z772" s="133" t="s">
        <v>2417</v>
      </c>
      <c r="AA772" s="133" t="s">
        <v>2417</v>
      </c>
      <c r="AB772" s="133" t="s">
        <v>2417</v>
      </c>
      <c r="AC772" s="133" t="s">
        <v>2417</v>
      </c>
      <c r="AD772" s="133" t="s">
        <v>2417</v>
      </c>
      <c r="AE772" s="167"/>
    </row>
    <row r="773" spans="1:31" ht="13.2" hidden="1" outlineLevel="2">
      <c r="A773" s="68" t="s">
        <v>2788</v>
      </c>
      <c r="B773" s="91" t="s">
        <v>2644</v>
      </c>
      <c r="C773" s="387" t="s">
        <v>2645</v>
      </c>
      <c r="D773" s="351"/>
      <c r="E773" s="133" t="s">
        <v>2565</v>
      </c>
      <c r="F773" s="133" t="s">
        <v>2417</v>
      </c>
      <c r="G773" s="133" t="s">
        <v>2417</v>
      </c>
      <c r="H773" s="133" t="s">
        <v>2417</v>
      </c>
      <c r="I773" s="134" t="s">
        <v>2418</v>
      </c>
      <c r="J773" s="133" t="s">
        <v>2500</v>
      </c>
      <c r="K773" s="133" t="s">
        <v>2417</v>
      </c>
      <c r="L773" s="133" t="s">
        <v>2417</v>
      </c>
      <c r="M773" s="133" t="s">
        <v>2417</v>
      </c>
      <c r="N773" s="133" t="s">
        <v>2417</v>
      </c>
      <c r="O773" s="133" t="s">
        <v>2417</v>
      </c>
      <c r="P773" s="133" t="s">
        <v>2417</v>
      </c>
      <c r="Q773" s="133" t="s">
        <v>2417</v>
      </c>
      <c r="R773" s="133" t="s">
        <v>2417</v>
      </c>
      <c r="S773" s="133" t="s">
        <v>2417</v>
      </c>
      <c r="T773" s="133" t="s">
        <v>2417</v>
      </c>
      <c r="U773" s="133" t="s">
        <v>2417</v>
      </c>
      <c r="V773" s="135" t="s">
        <v>2595</v>
      </c>
      <c r="W773" s="133" t="s">
        <v>2417</v>
      </c>
      <c r="X773" s="133" t="s">
        <v>2417</v>
      </c>
      <c r="Y773" s="133" t="s">
        <v>2417</v>
      </c>
      <c r="Z773" s="133" t="s">
        <v>2417</v>
      </c>
      <c r="AA773" s="133" t="s">
        <v>2417</v>
      </c>
      <c r="AB773" s="133" t="s">
        <v>2417</v>
      </c>
      <c r="AC773" s="133" t="s">
        <v>2417</v>
      </c>
      <c r="AD773" s="133" t="s">
        <v>2417</v>
      </c>
      <c r="AE773" s="167"/>
    </row>
    <row r="774" spans="1:31" ht="13.2" outlineLevel="1">
      <c r="A774" s="384" t="s">
        <v>1701</v>
      </c>
      <c r="B774" s="350"/>
      <c r="C774" s="350"/>
      <c r="D774" s="351"/>
      <c r="E774" s="133" t="s">
        <v>2789</v>
      </c>
      <c r="F774" s="133" t="s">
        <v>2417</v>
      </c>
      <c r="G774" s="133" t="s">
        <v>2417</v>
      </c>
      <c r="H774" s="133" t="s">
        <v>2417</v>
      </c>
      <c r="I774" s="134" t="s">
        <v>2418</v>
      </c>
      <c r="J774" s="133" t="s">
        <v>2417</v>
      </c>
      <c r="K774" s="133" t="s">
        <v>2417</v>
      </c>
      <c r="L774" s="133" t="s">
        <v>2417</v>
      </c>
      <c r="M774" s="133" t="s">
        <v>2417</v>
      </c>
      <c r="N774" s="133" t="s">
        <v>2417</v>
      </c>
      <c r="O774" s="133" t="s">
        <v>2417</v>
      </c>
      <c r="P774" s="133" t="s">
        <v>2417</v>
      </c>
      <c r="Q774" s="133" t="s">
        <v>2417</v>
      </c>
      <c r="R774" s="133" t="s">
        <v>2417</v>
      </c>
      <c r="S774" s="133" t="s">
        <v>2417</v>
      </c>
      <c r="T774" s="133" t="s">
        <v>2417</v>
      </c>
      <c r="U774" s="133" t="s">
        <v>2417</v>
      </c>
      <c r="V774" s="133" t="s">
        <v>2417</v>
      </c>
      <c r="W774" s="133" t="s">
        <v>2417</v>
      </c>
      <c r="X774" s="133" t="s">
        <v>2417</v>
      </c>
      <c r="Y774" s="133" t="s">
        <v>2417</v>
      </c>
      <c r="Z774" s="133" t="s">
        <v>2417</v>
      </c>
      <c r="AA774" s="133" t="s">
        <v>2417</v>
      </c>
      <c r="AB774" s="133" t="s">
        <v>2417</v>
      </c>
      <c r="AC774" s="133" t="s">
        <v>2417</v>
      </c>
      <c r="AD774" s="133" t="s">
        <v>2417</v>
      </c>
      <c r="AE774" s="168"/>
    </row>
    <row r="775" spans="1:31" ht="13.2" outlineLevel="2">
      <c r="A775" s="68" t="s">
        <v>1702</v>
      </c>
      <c r="B775" s="92"/>
      <c r="C775" s="360" t="s">
        <v>2790</v>
      </c>
      <c r="D775" s="351"/>
      <c r="E775" s="133" t="s">
        <v>2789</v>
      </c>
      <c r="F775" s="133" t="s">
        <v>2417</v>
      </c>
      <c r="G775" s="133" t="s">
        <v>2417</v>
      </c>
      <c r="H775" s="133" t="s">
        <v>2417</v>
      </c>
      <c r="I775" s="134" t="s">
        <v>2418</v>
      </c>
      <c r="J775" s="133" t="s">
        <v>2417</v>
      </c>
      <c r="K775" s="133" t="s">
        <v>2417</v>
      </c>
      <c r="L775" s="133" t="s">
        <v>2417</v>
      </c>
      <c r="M775" s="133" t="s">
        <v>2417</v>
      </c>
      <c r="N775" s="133" t="s">
        <v>2417</v>
      </c>
      <c r="O775" s="133" t="s">
        <v>2417</v>
      </c>
      <c r="P775" s="133" t="s">
        <v>2417</v>
      </c>
      <c r="Q775" s="133" t="s">
        <v>2417</v>
      </c>
      <c r="R775" s="133" t="s">
        <v>2417</v>
      </c>
      <c r="S775" s="133" t="s">
        <v>2417</v>
      </c>
      <c r="T775" s="133" t="s">
        <v>2417</v>
      </c>
      <c r="U775" s="133" t="s">
        <v>2417</v>
      </c>
      <c r="V775" s="133" t="s">
        <v>2417</v>
      </c>
      <c r="W775" s="133" t="s">
        <v>2417</v>
      </c>
      <c r="X775" s="133" t="s">
        <v>2417</v>
      </c>
      <c r="Y775" s="133" t="s">
        <v>2417</v>
      </c>
      <c r="Z775" s="133" t="s">
        <v>2417</v>
      </c>
      <c r="AA775" s="133" t="s">
        <v>2417</v>
      </c>
      <c r="AB775" s="133" t="s">
        <v>2417</v>
      </c>
      <c r="AC775" s="133" t="s">
        <v>2417</v>
      </c>
      <c r="AD775" s="133" t="s">
        <v>2417</v>
      </c>
      <c r="AE775" s="123"/>
    </row>
    <row r="776" spans="1:31" ht="13.2" outlineLevel="2">
      <c r="A776" s="68" t="s">
        <v>1704</v>
      </c>
      <c r="B776" s="62" t="s">
        <v>1504</v>
      </c>
      <c r="C776" s="387" t="s">
        <v>1598</v>
      </c>
      <c r="D776" s="351"/>
      <c r="E776" s="133" t="s">
        <v>2789</v>
      </c>
      <c r="F776" s="133" t="s">
        <v>2417</v>
      </c>
      <c r="G776" s="133" t="s">
        <v>2417</v>
      </c>
      <c r="H776" s="133" t="s">
        <v>2417</v>
      </c>
      <c r="I776" s="134" t="s">
        <v>2418</v>
      </c>
      <c r="J776" s="133" t="s">
        <v>2417</v>
      </c>
      <c r="K776" s="133" t="s">
        <v>2417</v>
      </c>
      <c r="L776" s="133" t="s">
        <v>2417</v>
      </c>
      <c r="M776" s="133" t="s">
        <v>2417</v>
      </c>
      <c r="N776" s="133" t="s">
        <v>2417</v>
      </c>
      <c r="O776" s="133" t="s">
        <v>2417</v>
      </c>
      <c r="P776" s="133" t="s">
        <v>2417</v>
      </c>
      <c r="Q776" s="133" t="s">
        <v>2417</v>
      </c>
      <c r="R776" s="133" t="s">
        <v>2417</v>
      </c>
      <c r="S776" s="133" t="s">
        <v>2417</v>
      </c>
      <c r="T776" s="133" t="s">
        <v>2417</v>
      </c>
      <c r="U776" s="133" t="s">
        <v>2417</v>
      </c>
      <c r="V776" s="133" t="s">
        <v>2417</v>
      </c>
      <c r="W776" s="133" t="s">
        <v>2417</v>
      </c>
      <c r="X776" s="133" t="s">
        <v>2417</v>
      </c>
      <c r="Y776" s="133" t="s">
        <v>2417</v>
      </c>
      <c r="Z776" s="133" t="s">
        <v>2417</v>
      </c>
      <c r="AA776" s="133" t="s">
        <v>2417</v>
      </c>
      <c r="AB776" s="133" t="s">
        <v>2417</v>
      </c>
      <c r="AC776" s="133" t="s">
        <v>2417</v>
      </c>
      <c r="AD776" s="133" t="s">
        <v>2417</v>
      </c>
      <c r="AE776" s="59"/>
    </row>
    <row r="777" spans="1:31" ht="13.2" outlineLevel="2">
      <c r="A777" s="68" t="s">
        <v>1705</v>
      </c>
      <c r="B777" s="62" t="s">
        <v>1507</v>
      </c>
      <c r="C777" s="387" t="s">
        <v>1508</v>
      </c>
      <c r="D777" s="351"/>
      <c r="E777" s="133" t="s">
        <v>2789</v>
      </c>
      <c r="F777" s="133" t="s">
        <v>2417</v>
      </c>
      <c r="G777" s="133" t="s">
        <v>2417</v>
      </c>
      <c r="H777" s="133" t="s">
        <v>2417</v>
      </c>
      <c r="I777" s="134" t="s">
        <v>2418</v>
      </c>
      <c r="J777" s="133" t="s">
        <v>2417</v>
      </c>
      <c r="K777" s="133" t="s">
        <v>2417</v>
      </c>
      <c r="L777" s="133" t="s">
        <v>2417</v>
      </c>
      <c r="M777" s="133" t="s">
        <v>2417</v>
      </c>
      <c r="N777" s="133" t="s">
        <v>2417</v>
      </c>
      <c r="O777" s="133" t="s">
        <v>2417</v>
      </c>
      <c r="P777" s="133" t="s">
        <v>2417</v>
      </c>
      <c r="Q777" s="133" t="s">
        <v>2417</v>
      </c>
      <c r="R777" s="133" t="s">
        <v>2417</v>
      </c>
      <c r="S777" s="133" t="s">
        <v>2417</v>
      </c>
      <c r="T777" s="133" t="s">
        <v>2417</v>
      </c>
      <c r="U777" s="133" t="s">
        <v>2417</v>
      </c>
      <c r="V777" s="133" t="s">
        <v>2417</v>
      </c>
      <c r="W777" s="133" t="s">
        <v>2417</v>
      </c>
      <c r="X777" s="133" t="s">
        <v>2417</v>
      </c>
      <c r="Y777" s="133" t="s">
        <v>2417</v>
      </c>
      <c r="Z777" s="133" t="s">
        <v>2417</v>
      </c>
      <c r="AA777" s="133" t="s">
        <v>2417</v>
      </c>
      <c r="AB777" s="133" t="s">
        <v>2417</v>
      </c>
      <c r="AC777" s="133" t="s">
        <v>2417</v>
      </c>
      <c r="AD777" s="133" t="s">
        <v>2417</v>
      </c>
      <c r="AE777" s="59"/>
    </row>
    <row r="778" spans="1:31" ht="20.399999999999999" outlineLevel="2">
      <c r="A778" s="68" t="s">
        <v>1706</v>
      </c>
      <c r="B778" s="63" t="s">
        <v>1510</v>
      </c>
      <c r="C778" s="387" t="s">
        <v>1511</v>
      </c>
      <c r="D778" s="351"/>
      <c r="E778" s="133" t="s">
        <v>2789</v>
      </c>
      <c r="F778" s="133" t="s">
        <v>2417</v>
      </c>
      <c r="G778" s="133" t="s">
        <v>2417</v>
      </c>
      <c r="H778" s="133" t="s">
        <v>2417</v>
      </c>
      <c r="I778" s="134" t="s">
        <v>2418</v>
      </c>
      <c r="J778" s="133" t="s">
        <v>2417</v>
      </c>
      <c r="K778" s="133" t="s">
        <v>2417</v>
      </c>
      <c r="L778" s="133" t="s">
        <v>2417</v>
      </c>
      <c r="M778" s="133" t="s">
        <v>2417</v>
      </c>
      <c r="N778" s="133" t="s">
        <v>2417</v>
      </c>
      <c r="O778" s="133" t="s">
        <v>2417</v>
      </c>
      <c r="P778" s="133" t="s">
        <v>2417</v>
      </c>
      <c r="Q778" s="133" t="s">
        <v>2417</v>
      </c>
      <c r="R778" s="133" t="s">
        <v>2417</v>
      </c>
      <c r="S778" s="133" t="s">
        <v>2417</v>
      </c>
      <c r="T778" s="133" t="s">
        <v>2417</v>
      </c>
      <c r="U778" s="133" t="s">
        <v>2417</v>
      </c>
      <c r="V778" s="133" t="s">
        <v>2417</v>
      </c>
      <c r="W778" s="133" t="s">
        <v>2417</v>
      </c>
      <c r="X778" s="133" t="s">
        <v>2417</v>
      </c>
      <c r="Y778" s="133" t="s">
        <v>2417</v>
      </c>
      <c r="Z778" s="133" t="s">
        <v>2417</v>
      </c>
      <c r="AA778" s="133" t="s">
        <v>2417</v>
      </c>
      <c r="AB778" s="133" t="s">
        <v>2417</v>
      </c>
      <c r="AC778" s="133" t="s">
        <v>2417</v>
      </c>
      <c r="AD778" s="133" t="s">
        <v>2417</v>
      </c>
      <c r="AE778" s="57"/>
    </row>
    <row r="779" spans="1:31" ht="13.2" outlineLevel="2">
      <c r="A779" s="68" t="s">
        <v>1707</v>
      </c>
      <c r="B779" s="62" t="s">
        <v>1708</v>
      </c>
      <c r="C779" s="387" t="s">
        <v>1709</v>
      </c>
      <c r="D779" s="351"/>
      <c r="E779" s="133" t="s">
        <v>2789</v>
      </c>
      <c r="F779" s="133" t="s">
        <v>2417</v>
      </c>
      <c r="G779" s="133" t="s">
        <v>2417</v>
      </c>
      <c r="H779" s="133" t="s">
        <v>2417</v>
      </c>
      <c r="I779" s="134" t="s">
        <v>2418</v>
      </c>
      <c r="J779" s="133" t="s">
        <v>2417</v>
      </c>
      <c r="K779" s="133" t="s">
        <v>2417</v>
      </c>
      <c r="L779" s="133" t="s">
        <v>2417</v>
      </c>
      <c r="M779" s="133" t="s">
        <v>2417</v>
      </c>
      <c r="N779" s="133" t="s">
        <v>2417</v>
      </c>
      <c r="O779" s="133" t="s">
        <v>2417</v>
      </c>
      <c r="P779" s="133" t="s">
        <v>2417</v>
      </c>
      <c r="Q779" s="133" t="s">
        <v>2417</v>
      </c>
      <c r="R779" s="133" t="s">
        <v>2417</v>
      </c>
      <c r="S779" s="133" t="s">
        <v>2417</v>
      </c>
      <c r="T779" s="133" t="s">
        <v>2417</v>
      </c>
      <c r="U779" s="133" t="s">
        <v>2417</v>
      </c>
      <c r="V779" s="133" t="s">
        <v>2417</v>
      </c>
      <c r="W779" s="133" t="s">
        <v>2417</v>
      </c>
      <c r="X779" s="133" t="s">
        <v>2417</v>
      </c>
      <c r="Y779" s="133" t="s">
        <v>2417</v>
      </c>
      <c r="Z779" s="133" t="s">
        <v>2417</v>
      </c>
      <c r="AA779" s="133" t="s">
        <v>2417</v>
      </c>
      <c r="AB779" s="133" t="s">
        <v>2417</v>
      </c>
      <c r="AC779" s="133" t="s">
        <v>2417</v>
      </c>
      <c r="AD779" s="133" t="s">
        <v>2417</v>
      </c>
      <c r="AE779" s="59"/>
    </row>
    <row r="780" spans="1:31" ht="13.2" outlineLevel="2">
      <c r="A780" s="68" t="s">
        <v>1710</v>
      </c>
      <c r="B780" s="64" t="s">
        <v>1711</v>
      </c>
      <c r="C780" s="387" t="s">
        <v>1712</v>
      </c>
      <c r="D780" s="351"/>
      <c r="E780" s="133" t="s">
        <v>2789</v>
      </c>
      <c r="F780" s="133" t="s">
        <v>2417</v>
      </c>
      <c r="G780" s="133" t="s">
        <v>2417</v>
      </c>
      <c r="H780" s="133" t="s">
        <v>2417</v>
      </c>
      <c r="I780" s="134" t="s">
        <v>2418</v>
      </c>
      <c r="J780" s="133" t="s">
        <v>2417</v>
      </c>
      <c r="K780" s="133" t="s">
        <v>2417</v>
      </c>
      <c r="L780" s="133" t="s">
        <v>2417</v>
      </c>
      <c r="M780" s="133" t="s">
        <v>2417</v>
      </c>
      <c r="N780" s="133" t="s">
        <v>2417</v>
      </c>
      <c r="O780" s="133" t="s">
        <v>2417</v>
      </c>
      <c r="P780" s="133" t="s">
        <v>2417</v>
      </c>
      <c r="Q780" s="133" t="s">
        <v>2417</v>
      </c>
      <c r="R780" s="133" t="s">
        <v>2417</v>
      </c>
      <c r="S780" s="133" t="s">
        <v>2417</v>
      </c>
      <c r="T780" s="133" t="s">
        <v>2417</v>
      </c>
      <c r="U780" s="133" t="s">
        <v>2417</v>
      </c>
      <c r="V780" s="133" t="s">
        <v>2417</v>
      </c>
      <c r="W780" s="133" t="s">
        <v>2417</v>
      </c>
      <c r="X780" s="133" t="s">
        <v>2417</v>
      </c>
      <c r="Y780" s="133" t="s">
        <v>2417</v>
      </c>
      <c r="Z780" s="133" t="s">
        <v>2417</v>
      </c>
      <c r="AA780" s="133" t="s">
        <v>2417</v>
      </c>
      <c r="AB780" s="133" t="s">
        <v>2417</v>
      </c>
      <c r="AC780" s="133" t="s">
        <v>2417</v>
      </c>
      <c r="AD780" s="133" t="s">
        <v>2417</v>
      </c>
      <c r="AE780" s="59"/>
    </row>
    <row r="781" spans="1:31" ht="13.2" outlineLevel="2">
      <c r="A781" s="68" t="s">
        <v>1713</v>
      </c>
      <c r="B781" s="63" t="s">
        <v>1714</v>
      </c>
      <c r="C781" s="387" t="s">
        <v>1715</v>
      </c>
      <c r="D781" s="351"/>
      <c r="E781" s="133" t="s">
        <v>2789</v>
      </c>
      <c r="F781" s="133" t="s">
        <v>2417</v>
      </c>
      <c r="G781" s="133" t="s">
        <v>2417</v>
      </c>
      <c r="H781" s="133" t="s">
        <v>2417</v>
      </c>
      <c r="I781" s="134" t="s">
        <v>2418</v>
      </c>
      <c r="J781" s="133" t="s">
        <v>2417</v>
      </c>
      <c r="K781" s="133" t="s">
        <v>2417</v>
      </c>
      <c r="L781" s="133" t="s">
        <v>2417</v>
      </c>
      <c r="M781" s="133" t="s">
        <v>2417</v>
      </c>
      <c r="N781" s="133" t="s">
        <v>2417</v>
      </c>
      <c r="O781" s="133" t="s">
        <v>2417</v>
      </c>
      <c r="P781" s="133" t="s">
        <v>2417</v>
      </c>
      <c r="Q781" s="133" t="s">
        <v>2417</v>
      </c>
      <c r="R781" s="133" t="s">
        <v>2417</v>
      </c>
      <c r="S781" s="133" t="s">
        <v>2417</v>
      </c>
      <c r="T781" s="133" t="s">
        <v>2417</v>
      </c>
      <c r="U781" s="133" t="s">
        <v>2417</v>
      </c>
      <c r="V781" s="133" t="s">
        <v>2417</v>
      </c>
      <c r="W781" s="133" t="s">
        <v>2417</v>
      </c>
      <c r="X781" s="133" t="s">
        <v>2417</v>
      </c>
      <c r="Y781" s="133" t="s">
        <v>2417</v>
      </c>
      <c r="Z781" s="133" t="s">
        <v>2417</v>
      </c>
      <c r="AA781" s="133" t="s">
        <v>2417</v>
      </c>
      <c r="AB781" s="133" t="s">
        <v>2417</v>
      </c>
      <c r="AC781" s="133" t="s">
        <v>2417</v>
      </c>
      <c r="AD781" s="133" t="s">
        <v>2417</v>
      </c>
      <c r="AE781" s="59"/>
    </row>
    <row r="782" spans="1:31" ht="20.399999999999999" outlineLevel="2">
      <c r="A782" s="68" t="s">
        <v>1716</v>
      </c>
      <c r="B782" s="62" t="s">
        <v>1717</v>
      </c>
      <c r="C782" s="387" t="s">
        <v>1718</v>
      </c>
      <c r="D782" s="351"/>
      <c r="E782" s="133" t="s">
        <v>2789</v>
      </c>
      <c r="F782" s="133" t="s">
        <v>2417</v>
      </c>
      <c r="G782" s="133" t="s">
        <v>2417</v>
      </c>
      <c r="H782" s="133" t="s">
        <v>2417</v>
      </c>
      <c r="I782" s="134" t="s">
        <v>2418</v>
      </c>
      <c r="J782" s="133" t="s">
        <v>2417</v>
      </c>
      <c r="K782" s="133" t="s">
        <v>2417</v>
      </c>
      <c r="L782" s="133" t="s">
        <v>2417</v>
      </c>
      <c r="M782" s="133" t="s">
        <v>2417</v>
      </c>
      <c r="N782" s="133" t="s">
        <v>2417</v>
      </c>
      <c r="O782" s="133" t="s">
        <v>2417</v>
      </c>
      <c r="P782" s="133" t="s">
        <v>2417</v>
      </c>
      <c r="Q782" s="133" t="s">
        <v>2417</v>
      </c>
      <c r="R782" s="133" t="s">
        <v>2417</v>
      </c>
      <c r="S782" s="133" t="s">
        <v>2417</v>
      </c>
      <c r="T782" s="133" t="s">
        <v>2417</v>
      </c>
      <c r="U782" s="133" t="s">
        <v>2417</v>
      </c>
      <c r="V782" s="133" t="s">
        <v>2417</v>
      </c>
      <c r="W782" s="133" t="s">
        <v>2417</v>
      </c>
      <c r="X782" s="133" t="s">
        <v>2417</v>
      </c>
      <c r="Y782" s="133" t="s">
        <v>2417</v>
      </c>
      <c r="Z782" s="133" t="s">
        <v>2417</v>
      </c>
      <c r="AA782" s="133" t="s">
        <v>2417</v>
      </c>
      <c r="AB782" s="133" t="s">
        <v>2417</v>
      </c>
      <c r="AC782" s="133" t="s">
        <v>2417</v>
      </c>
      <c r="AD782" s="133" t="s">
        <v>2417</v>
      </c>
      <c r="AE782" s="59"/>
    </row>
    <row r="783" spans="1:31" ht="21" outlineLevel="2">
      <c r="A783" s="68" t="s">
        <v>1719</v>
      </c>
      <c r="B783" s="79" t="s">
        <v>2791</v>
      </c>
      <c r="C783" s="445" t="s">
        <v>2792</v>
      </c>
      <c r="D783" s="351"/>
      <c r="E783" s="133" t="s">
        <v>2789</v>
      </c>
      <c r="F783" s="133" t="s">
        <v>2417</v>
      </c>
      <c r="G783" s="133" t="s">
        <v>2417</v>
      </c>
      <c r="H783" s="133" t="s">
        <v>2417</v>
      </c>
      <c r="I783" s="134" t="s">
        <v>2418</v>
      </c>
      <c r="J783" s="133" t="s">
        <v>2417</v>
      </c>
      <c r="K783" s="133" t="s">
        <v>2417</v>
      </c>
      <c r="L783" s="133" t="s">
        <v>2417</v>
      </c>
      <c r="M783" s="133" t="s">
        <v>2417</v>
      </c>
      <c r="N783" s="133" t="s">
        <v>2417</v>
      </c>
      <c r="O783" s="133" t="s">
        <v>2417</v>
      </c>
      <c r="P783" s="133" t="s">
        <v>2417</v>
      </c>
      <c r="Q783" s="133" t="s">
        <v>2417</v>
      </c>
      <c r="R783" s="133" t="s">
        <v>2417</v>
      </c>
      <c r="S783" s="133" t="s">
        <v>2417</v>
      </c>
      <c r="T783" s="133" t="s">
        <v>2417</v>
      </c>
      <c r="U783" s="133" t="s">
        <v>2417</v>
      </c>
      <c r="V783" s="133" t="s">
        <v>2417</v>
      </c>
      <c r="W783" s="133" t="s">
        <v>2417</v>
      </c>
      <c r="X783" s="133" t="s">
        <v>2417</v>
      </c>
      <c r="Y783" s="133" t="s">
        <v>2417</v>
      </c>
      <c r="Z783" s="133" t="s">
        <v>2417</v>
      </c>
      <c r="AA783" s="133" t="s">
        <v>2417</v>
      </c>
      <c r="AB783" s="133" t="s">
        <v>2417</v>
      </c>
      <c r="AC783" s="133" t="s">
        <v>2417</v>
      </c>
      <c r="AD783" s="133" t="s">
        <v>2417</v>
      </c>
      <c r="AE783" s="170"/>
    </row>
    <row r="784" spans="1:31" ht="30.6" outlineLevel="2">
      <c r="A784" s="68" t="s">
        <v>1722</v>
      </c>
      <c r="B784" s="64" t="s">
        <v>1723</v>
      </c>
      <c r="C784" s="387" t="s">
        <v>1724</v>
      </c>
      <c r="D784" s="351"/>
      <c r="E784" s="133" t="s">
        <v>2789</v>
      </c>
      <c r="F784" s="133" t="s">
        <v>2417</v>
      </c>
      <c r="G784" s="133" t="s">
        <v>2417</v>
      </c>
      <c r="H784" s="133" t="s">
        <v>2417</v>
      </c>
      <c r="I784" s="134" t="s">
        <v>2418</v>
      </c>
      <c r="J784" s="133" t="s">
        <v>2417</v>
      </c>
      <c r="K784" s="133" t="s">
        <v>2417</v>
      </c>
      <c r="L784" s="133" t="s">
        <v>2417</v>
      </c>
      <c r="M784" s="133" t="s">
        <v>2417</v>
      </c>
      <c r="N784" s="133" t="s">
        <v>2417</v>
      </c>
      <c r="O784" s="133" t="s">
        <v>2417</v>
      </c>
      <c r="P784" s="133" t="s">
        <v>2417</v>
      </c>
      <c r="Q784" s="133" t="s">
        <v>2417</v>
      </c>
      <c r="R784" s="133" t="s">
        <v>2417</v>
      </c>
      <c r="S784" s="133" t="s">
        <v>2417</v>
      </c>
      <c r="T784" s="171" t="s">
        <v>2793</v>
      </c>
      <c r="U784" s="133" t="s">
        <v>2417</v>
      </c>
      <c r="V784" s="133" t="s">
        <v>2417</v>
      </c>
      <c r="W784" s="133" t="s">
        <v>2417</v>
      </c>
      <c r="X784" s="133" t="s">
        <v>2417</v>
      </c>
      <c r="Y784" s="133" t="s">
        <v>2417</v>
      </c>
      <c r="Z784" s="133" t="s">
        <v>2417</v>
      </c>
      <c r="AA784" s="133" t="s">
        <v>2417</v>
      </c>
      <c r="AB784" s="133" t="s">
        <v>2417</v>
      </c>
      <c r="AC784" s="133" t="s">
        <v>2417</v>
      </c>
      <c r="AD784" s="133" t="s">
        <v>2417</v>
      </c>
      <c r="AE784" s="59"/>
    </row>
    <row r="785" spans="1:31" ht="20.399999999999999" outlineLevel="2">
      <c r="A785" s="68" t="s">
        <v>1725</v>
      </c>
      <c r="B785" s="62" t="s">
        <v>1726</v>
      </c>
      <c r="C785" s="360" t="s">
        <v>1727</v>
      </c>
      <c r="D785" s="351"/>
      <c r="E785" s="133" t="s">
        <v>2789</v>
      </c>
      <c r="F785" s="133" t="s">
        <v>2417</v>
      </c>
      <c r="G785" s="133" t="s">
        <v>2417</v>
      </c>
      <c r="H785" s="133" t="s">
        <v>2417</v>
      </c>
      <c r="I785" s="134" t="s">
        <v>2418</v>
      </c>
      <c r="J785" s="133" t="s">
        <v>2417</v>
      </c>
      <c r="K785" s="133" t="s">
        <v>2417</v>
      </c>
      <c r="L785" s="133" t="s">
        <v>2417</v>
      </c>
      <c r="M785" s="133" t="s">
        <v>2417</v>
      </c>
      <c r="N785" s="133" t="s">
        <v>2417</v>
      </c>
      <c r="O785" s="133" t="s">
        <v>2417</v>
      </c>
      <c r="P785" s="133" t="s">
        <v>2417</v>
      </c>
      <c r="Q785" s="133" t="s">
        <v>2417</v>
      </c>
      <c r="R785" s="133" t="s">
        <v>2417</v>
      </c>
      <c r="S785" s="133" t="s">
        <v>2417</v>
      </c>
      <c r="T785" s="135" t="s">
        <v>2417</v>
      </c>
      <c r="U785" s="133" t="s">
        <v>2417</v>
      </c>
      <c r="V785" s="133" t="s">
        <v>2417</v>
      </c>
      <c r="W785" s="133" t="s">
        <v>2417</v>
      </c>
      <c r="X785" s="133" t="s">
        <v>2417</v>
      </c>
      <c r="Y785" s="133" t="s">
        <v>2417</v>
      </c>
      <c r="Z785" s="133" t="s">
        <v>2595</v>
      </c>
      <c r="AA785" s="133" t="s">
        <v>2417</v>
      </c>
      <c r="AB785" s="133" t="s">
        <v>2417</v>
      </c>
      <c r="AC785" s="133" t="s">
        <v>2417</v>
      </c>
      <c r="AD785" s="133" t="s">
        <v>2417</v>
      </c>
      <c r="AE785" s="123"/>
    </row>
    <row r="786" spans="1:31" ht="20.399999999999999" hidden="1" outlineLevel="2">
      <c r="A786" s="68" t="s">
        <v>1725</v>
      </c>
      <c r="B786" s="62" t="s">
        <v>2628</v>
      </c>
      <c r="C786" s="355" t="s">
        <v>2629</v>
      </c>
      <c r="D786" s="351"/>
      <c r="E786" s="133" t="s">
        <v>2789</v>
      </c>
      <c r="F786" s="133" t="s">
        <v>2417</v>
      </c>
      <c r="G786" s="133" t="s">
        <v>2417</v>
      </c>
      <c r="H786" s="133" t="s">
        <v>2417</v>
      </c>
      <c r="I786" s="134" t="s">
        <v>2418</v>
      </c>
      <c r="J786" s="133" t="s">
        <v>2417</v>
      </c>
      <c r="K786" s="133" t="s">
        <v>2417</v>
      </c>
      <c r="L786" s="133" t="s">
        <v>2417</v>
      </c>
      <c r="M786" s="133" t="s">
        <v>2417</v>
      </c>
      <c r="N786" s="133" t="s">
        <v>2417</v>
      </c>
      <c r="O786" s="133" t="s">
        <v>2417</v>
      </c>
      <c r="P786" s="133" t="s">
        <v>2417</v>
      </c>
      <c r="Q786" s="133" t="s">
        <v>2417</v>
      </c>
      <c r="R786" s="133" t="s">
        <v>2417</v>
      </c>
      <c r="S786" s="133" t="s">
        <v>2417</v>
      </c>
      <c r="T786" s="133" t="s">
        <v>2417</v>
      </c>
      <c r="U786" s="133" t="s">
        <v>2417</v>
      </c>
      <c r="V786" s="133" t="s">
        <v>2417</v>
      </c>
      <c r="W786" s="133" t="s">
        <v>2417</v>
      </c>
      <c r="X786" s="133" t="s">
        <v>2417</v>
      </c>
      <c r="Y786" s="133" t="s">
        <v>2417</v>
      </c>
      <c r="Z786" s="59" t="s">
        <v>2596</v>
      </c>
      <c r="AA786" s="133" t="s">
        <v>2417</v>
      </c>
      <c r="AB786" s="133" t="s">
        <v>2417</v>
      </c>
      <c r="AC786" s="133" t="s">
        <v>2417</v>
      </c>
      <c r="AD786" s="133" t="s">
        <v>2417</v>
      </c>
      <c r="AE786" s="59"/>
    </row>
    <row r="787" spans="1:31" ht="30.6" hidden="1" outlineLevel="2">
      <c r="A787" s="68" t="s">
        <v>1728</v>
      </c>
      <c r="B787" s="64" t="s">
        <v>1729</v>
      </c>
      <c r="C787" s="387" t="s">
        <v>1730</v>
      </c>
      <c r="D787" s="351"/>
      <c r="E787" s="133" t="s">
        <v>2789</v>
      </c>
      <c r="F787" s="133" t="s">
        <v>2417</v>
      </c>
      <c r="G787" s="133" t="s">
        <v>2417</v>
      </c>
      <c r="H787" s="133" t="s">
        <v>2417</v>
      </c>
      <c r="I787" s="134" t="s">
        <v>2418</v>
      </c>
      <c r="J787" s="133" t="s">
        <v>2417</v>
      </c>
      <c r="K787" s="135" t="s">
        <v>2424</v>
      </c>
      <c r="L787" s="133" t="s">
        <v>2417</v>
      </c>
      <c r="M787" s="133" t="s">
        <v>2417</v>
      </c>
      <c r="N787" s="133" t="s">
        <v>2417</v>
      </c>
      <c r="O787" s="133" t="s">
        <v>2417</v>
      </c>
      <c r="P787" s="133" t="s">
        <v>2417</v>
      </c>
      <c r="Q787" s="133" t="s">
        <v>2417</v>
      </c>
      <c r="R787" s="133" t="s">
        <v>2417</v>
      </c>
      <c r="S787" s="133" t="s">
        <v>2417</v>
      </c>
      <c r="T787" s="171" t="s">
        <v>2793</v>
      </c>
      <c r="U787" s="133" t="s">
        <v>2417</v>
      </c>
      <c r="V787" s="133" t="s">
        <v>2417</v>
      </c>
      <c r="W787" s="133" t="s">
        <v>2417</v>
      </c>
      <c r="X787" s="133" t="s">
        <v>2417</v>
      </c>
      <c r="Y787" s="133" t="s">
        <v>2417</v>
      </c>
      <c r="Z787" s="133" t="s">
        <v>2417</v>
      </c>
      <c r="AA787" s="133" t="s">
        <v>2417</v>
      </c>
      <c r="AB787" s="133" t="s">
        <v>2417</v>
      </c>
      <c r="AC787" s="133" t="s">
        <v>2417</v>
      </c>
      <c r="AD787" s="133" t="s">
        <v>2417</v>
      </c>
      <c r="AE787" s="59"/>
    </row>
    <row r="788" spans="1:31" ht="13.2" outlineLevel="2">
      <c r="A788" s="68" t="s">
        <v>1731</v>
      </c>
      <c r="B788" s="63" t="s">
        <v>1732</v>
      </c>
      <c r="C788" s="387" t="s">
        <v>1733</v>
      </c>
      <c r="D788" s="351"/>
      <c r="E788" s="133" t="s">
        <v>2789</v>
      </c>
      <c r="F788" s="133" t="s">
        <v>2417</v>
      </c>
      <c r="G788" s="133" t="s">
        <v>2417</v>
      </c>
      <c r="H788" s="133" t="s">
        <v>2417</v>
      </c>
      <c r="I788" s="134" t="s">
        <v>2418</v>
      </c>
      <c r="J788" s="133" t="s">
        <v>2417</v>
      </c>
      <c r="K788" s="133" t="s">
        <v>2417</v>
      </c>
      <c r="L788" s="133" t="s">
        <v>2417</v>
      </c>
      <c r="M788" s="133" t="s">
        <v>2417</v>
      </c>
      <c r="N788" s="133" t="s">
        <v>2417</v>
      </c>
      <c r="O788" s="133" t="s">
        <v>2417</v>
      </c>
      <c r="P788" s="133" t="s">
        <v>2417</v>
      </c>
      <c r="Q788" s="133" t="s">
        <v>2417</v>
      </c>
      <c r="R788" s="133" t="s">
        <v>2417</v>
      </c>
      <c r="S788" s="133" t="s">
        <v>2417</v>
      </c>
      <c r="T788" s="133" t="s">
        <v>2417</v>
      </c>
      <c r="U788" s="133" t="s">
        <v>2417</v>
      </c>
      <c r="V788" s="133" t="s">
        <v>2417</v>
      </c>
      <c r="W788" s="133" t="s">
        <v>2417</v>
      </c>
      <c r="X788" s="133" t="s">
        <v>2417</v>
      </c>
      <c r="Y788" s="133" t="s">
        <v>2417</v>
      </c>
      <c r="Z788" s="133" t="s">
        <v>2417</v>
      </c>
      <c r="AA788" s="133" t="s">
        <v>2417</v>
      </c>
      <c r="AB788" s="133" t="s">
        <v>2417</v>
      </c>
      <c r="AC788" s="133" t="s">
        <v>2417</v>
      </c>
      <c r="AD788" s="133" t="s">
        <v>2417</v>
      </c>
      <c r="AE788" s="59"/>
    </row>
    <row r="789" spans="1:31" ht="30.6" outlineLevel="2">
      <c r="A789" s="68" t="s">
        <v>1734</v>
      </c>
      <c r="B789" s="64" t="s">
        <v>1735</v>
      </c>
      <c r="C789" s="387" t="s">
        <v>2794</v>
      </c>
      <c r="D789" s="351"/>
      <c r="E789" s="133" t="s">
        <v>2789</v>
      </c>
      <c r="F789" s="133" t="s">
        <v>2417</v>
      </c>
      <c r="G789" s="133" t="s">
        <v>2417</v>
      </c>
      <c r="H789" s="133" t="s">
        <v>2417</v>
      </c>
      <c r="I789" s="134" t="s">
        <v>2418</v>
      </c>
      <c r="J789" s="133" t="s">
        <v>2417</v>
      </c>
      <c r="K789" s="133" t="s">
        <v>2417</v>
      </c>
      <c r="L789" s="133" t="s">
        <v>2417</v>
      </c>
      <c r="M789" s="133" t="s">
        <v>2417</v>
      </c>
      <c r="N789" s="133" t="s">
        <v>2417</v>
      </c>
      <c r="O789" s="133" t="s">
        <v>2417</v>
      </c>
      <c r="P789" s="133" t="s">
        <v>2417</v>
      </c>
      <c r="Q789" s="133" t="s">
        <v>2417</v>
      </c>
      <c r="R789" s="133" t="s">
        <v>2417</v>
      </c>
      <c r="S789" s="133" t="s">
        <v>2417</v>
      </c>
      <c r="T789" s="171" t="s">
        <v>2793</v>
      </c>
      <c r="U789" s="133" t="s">
        <v>2417</v>
      </c>
      <c r="V789" s="133" t="s">
        <v>2417</v>
      </c>
      <c r="W789" s="133" t="s">
        <v>2417</v>
      </c>
      <c r="X789" s="133" t="s">
        <v>2417</v>
      </c>
      <c r="Y789" s="133" t="s">
        <v>2417</v>
      </c>
      <c r="Z789" s="133" t="s">
        <v>2417</v>
      </c>
      <c r="AA789" s="133" t="s">
        <v>2417</v>
      </c>
      <c r="AB789" s="133" t="s">
        <v>2417</v>
      </c>
      <c r="AC789" s="133" t="s">
        <v>2417</v>
      </c>
      <c r="AD789" s="133" t="s">
        <v>2417</v>
      </c>
      <c r="AE789" s="59"/>
    </row>
    <row r="790" spans="1:31" ht="30.6" outlineLevel="2">
      <c r="A790" s="68" t="s">
        <v>1737</v>
      </c>
      <c r="B790" s="64" t="s">
        <v>1738</v>
      </c>
      <c r="C790" s="387" t="s">
        <v>2795</v>
      </c>
      <c r="D790" s="351"/>
      <c r="E790" s="133" t="s">
        <v>2789</v>
      </c>
      <c r="F790" s="133" t="s">
        <v>2417</v>
      </c>
      <c r="G790" s="133" t="s">
        <v>2417</v>
      </c>
      <c r="H790" s="133" t="s">
        <v>2417</v>
      </c>
      <c r="I790" s="134" t="s">
        <v>2418</v>
      </c>
      <c r="J790" s="133" t="s">
        <v>2417</v>
      </c>
      <c r="K790" s="133" t="s">
        <v>2417</v>
      </c>
      <c r="L790" s="133" t="s">
        <v>2417</v>
      </c>
      <c r="M790" s="133" t="s">
        <v>2417</v>
      </c>
      <c r="N790" s="133" t="s">
        <v>2417</v>
      </c>
      <c r="O790" s="133" t="s">
        <v>2417</v>
      </c>
      <c r="P790" s="133" t="s">
        <v>2417</v>
      </c>
      <c r="Q790" s="133" t="s">
        <v>2417</v>
      </c>
      <c r="R790" s="133" t="s">
        <v>2417</v>
      </c>
      <c r="S790" s="133" t="s">
        <v>2417</v>
      </c>
      <c r="T790" s="171" t="s">
        <v>2793</v>
      </c>
      <c r="U790" s="133" t="s">
        <v>2417</v>
      </c>
      <c r="V790" s="133" t="s">
        <v>2417</v>
      </c>
      <c r="W790" s="133" t="s">
        <v>2417</v>
      </c>
      <c r="X790" s="133" t="s">
        <v>2417</v>
      </c>
      <c r="Y790" s="133" t="s">
        <v>2417</v>
      </c>
      <c r="Z790" s="133" t="s">
        <v>2417</v>
      </c>
      <c r="AA790" s="133" t="s">
        <v>2417</v>
      </c>
      <c r="AB790" s="133" t="s">
        <v>2417</v>
      </c>
      <c r="AC790" s="133" t="s">
        <v>2417</v>
      </c>
      <c r="AD790" s="133" t="s">
        <v>2417</v>
      </c>
      <c r="AE790" s="59"/>
    </row>
    <row r="791" spans="1:31" ht="13.2" outlineLevel="2">
      <c r="A791" s="68" t="s">
        <v>1740</v>
      </c>
      <c r="B791" s="62" t="s">
        <v>1589</v>
      </c>
      <c r="C791" s="360" t="s">
        <v>1741</v>
      </c>
      <c r="D791" s="351"/>
      <c r="E791" s="133" t="s">
        <v>2789</v>
      </c>
      <c r="F791" s="133" t="s">
        <v>2417</v>
      </c>
      <c r="G791" s="133" t="s">
        <v>2417</v>
      </c>
      <c r="H791" s="133" t="s">
        <v>2417</v>
      </c>
      <c r="I791" s="134" t="s">
        <v>2418</v>
      </c>
      <c r="J791" s="133" t="s">
        <v>2417</v>
      </c>
      <c r="K791" s="133" t="s">
        <v>2417</v>
      </c>
      <c r="L791" s="133" t="s">
        <v>2417</v>
      </c>
      <c r="M791" s="133" t="s">
        <v>2417</v>
      </c>
      <c r="N791" s="133" t="s">
        <v>2417</v>
      </c>
      <c r="O791" s="133" t="s">
        <v>2417</v>
      </c>
      <c r="P791" s="133" t="s">
        <v>2417</v>
      </c>
      <c r="Q791" s="133" t="s">
        <v>2417</v>
      </c>
      <c r="R791" s="133" t="s">
        <v>2417</v>
      </c>
      <c r="S791" s="133" t="s">
        <v>2417</v>
      </c>
      <c r="T791" s="133" t="s">
        <v>2417</v>
      </c>
      <c r="U791" s="133" t="s">
        <v>2417</v>
      </c>
      <c r="V791" s="133" t="s">
        <v>2417</v>
      </c>
      <c r="W791" s="133" t="s">
        <v>2417</v>
      </c>
      <c r="X791" s="133" t="s">
        <v>2417</v>
      </c>
      <c r="Y791" s="133" t="s">
        <v>2417</v>
      </c>
      <c r="Z791" s="133" t="s">
        <v>2417</v>
      </c>
      <c r="AA791" s="133" t="s">
        <v>2417</v>
      </c>
      <c r="AB791" s="133" t="s">
        <v>2417</v>
      </c>
      <c r="AC791" s="133" t="s">
        <v>2417</v>
      </c>
      <c r="AD791" s="133" t="s">
        <v>2417</v>
      </c>
      <c r="AE791" s="123"/>
    </row>
    <row r="792" spans="1:31" ht="13.2">
      <c r="A792" s="434" t="s">
        <v>1742</v>
      </c>
      <c r="B792" s="350"/>
      <c r="C792" s="350"/>
      <c r="D792" s="351"/>
      <c r="E792" s="133" t="s">
        <v>2417</v>
      </c>
      <c r="F792" s="133" t="s">
        <v>2417</v>
      </c>
      <c r="G792" s="133" t="s">
        <v>2417</v>
      </c>
      <c r="H792" s="133" t="s">
        <v>2417</v>
      </c>
      <c r="I792" s="134" t="s">
        <v>2418</v>
      </c>
      <c r="J792" s="133" t="s">
        <v>2417</v>
      </c>
      <c r="K792" s="133" t="s">
        <v>2417</v>
      </c>
      <c r="L792" s="133" t="s">
        <v>2417</v>
      </c>
      <c r="M792" s="133" t="s">
        <v>2417</v>
      </c>
      <c r="N792" s="133" t="s">
        <v>2417</v>
      </c>
      <c r="O792" s="133" t="s">
        <v>2417</v>
      </c>
      <c r="P792" s="133" t="s">
        <v>2417</v>
      </c>
      <c r="Q792" s="133" t="s">
        <v>2417</v>
      </c>
      <c r="R792" s="133" t="s">
        <v>2417</v>
      </c>
      <c r="S792" s="133" t="s">
        <v>2417</v>
      </c>
      <c r="T792" s="133" t="s">
        <v>2417</v>
      </c>
      <c r="U792" s="133" t="s">
        <v>2417</v>
      </c>
      <c r="V792" s="133" t="s">
        <v>2417</v>
      </c>
      <c r="W792" s="133" t="s">
        <v>2417</v>
      </c>
      <c r="X792" s="133" t="s">
        <v>2417</v>
      </c>
      <c r="Y792" s="133" t="s">
        <v>2417</v>
      </c>
      <c r="Z792" s="133" t="s">
        <v>2417</v>
      </c>
      <c r="AA792" s="133" t="s">
        <v>2417</v>
      </c>
      <c r="AB792" s="133" t="s">
        <v>2417</v>
      </c>
      <c r="AC792" s="133" t="s">
        <v>2417</v>
      </c>
      <c r="AD792" s="133" t="s">
        <v>2417</v>
      </c>
      <c r="AE792" s="172"/>
    </row>
    <row r="793" spans="1:31" ht="13.2" outlineLevel="1">
      <c r="A793" s="386" t="s">
        <v>1743</v>
      </c>
      <c r="B793" s="350"/>
      <c r="C793" s="350"/>
      <c r="D793" s="351"/>
      <c r="E793" s="133" t="s">
        <v>2417</v>
      </c>
      <c r="F793" s="133" t="s">
        <v>2417</v>
      </c>
      <c r="G793" s="133" t="s">
        <v>2417</v>
      </c>
      <c r="H793" s="133" t="s">
        <v>2417</v>
      </c>
      <c r="I793" s="133" t="s">
        <v>2417</v>
      </c>
      <c r="J793" s="133" t="s">
        <v>2417</v>
      </c>
      <c r="K793" s="133" t="s">
        <v>2417</v>
      </c>
      <c r="L793" s="133" t="s">
        <v>2417</v>
      </c>
      <c r="M793" s="133" t="s">
        <v>2417</v>
      </c>
      <c r="N793" s="133" t="s">
        <v>2417</v>
      </c>
      <c r="O793" s="133" t="s">
        <v>2417</v>
      </c>
      <c r="P793" s="133" t="s">
        <v>2417</v>
      </c>
      <c r="Q793" s="133" t="s">
        <v>2417</v>
      </c>
      <c r="R793" s="133" t="s">
        <v>2417</v>
      </c>
      <c r="S793" s="133" t="s">
        <v>2417</v>
      </c>
      <c r="T793" s="133" t="s">
        <v>2417</v>
      </c>
      <c r="U793" s="133" t="s">
        <v>2417</v>
      </c>
      <c r="V793" s="133" t="s">
        <v>2417</v>
      </c>
      <c r="W793" s="133" t="s">
        <v>2417</v>
      </c>
      <c r="X793" s="133" t="s">
        <v>2417</v>
      </c>
      <c r="Y793" s="133" t="s">
        <v>2417</v>
      </c>
      <c r="Z793" s="133" t="s">
        <v>2417</v>
      </c>
      <c r="AA793" s="133" t="s">
        <v>2417</v>
      </c>
      <c r="AB793" s="133" t="s">
        <v>2417</v>
      </c>
      <c r="AC793" s="133" t="s">
        <v>2417</v>
      </c>
      <c r="AD793" s="133" t="s">
        <v>2417</v>
      </c>
      <c r="AE793" s="139"/>
    </row>
    <row r="794" spans="1:31" ht="13.2" outlineLevel="2">
      <c r="A794" s="61" t="s">
        <v>325</v>
      </c>
      <c r="B794" s="65" t="s">
        <v>1744</v>
      </c>
      <c r="C794" s="360" t="s">
        <v>1745</v>
      </c>
      <c r="D794" s="351"/>
      <c r="E794" s="133" t="s">
        <v>2417</v>
      </c>
      <c r="F794" s="133" t="s">
        <v>2417</v>
      </c>
      <c r="G794" s="133" t="s">
        <v>2417</v>
      </c>
      <c r="H794" s="133" t="s">
        <v>2417</v>
      </c>
      <c r="I794" s="133" t="s">
        <v>2417</v>
      </c>
      <c r="J794" s="133" t="s">
        <v>2417</v>
      </c>
      <c r="K794" s="133" t="s">
        <v>2417</v>
      </c>
      <c r="L794" s="133" t="s">
        <v>2417</v>
      </c>
      <c r="M794" s="133" t="s">
        <v>2417</v>
      </c>
      <c r="N794" s="133" t="s">
        <v>2417</v>
      </c>
      <c r="O794" s="133" t="s">
        <v>2417</v>
      </c>
      <c r="P794" s="133" t="s">
        <v>2417</v>
      </c>
      <c r="Q794" s="133" t="s">
        <v>2417</v>
      </c>
      <c r="R794" s="133" t="s">
        <v>2417</v>
      </c>
      <c r="S794" s="133" t="s">
        <v>2417</v>
      </c>
      <c r="T794" s="133" t="s">
        <v>2417</v>
      </c>
      <c r="U794" s="133" t="s">
        <v>2417</v>
      </c>
      <c r="V794" s="133" t="s">
        <v>2417</v>
      </c>
      <c r="W794" s="133" t="s">
        <v>2417</v>
      </c>
      <c r="X794" s="133" t="s">
        <v>2417</v>
      </c>
      <c r="Y794" s="133" t="s">
        <v>2417</v>
      </c>
      <c r="Z794" s="133" t="s">
        <v>2417</v>
      </c>
      <c r="AA794" s="133" t="s">
        <v>2417</v>
      </c>
      <c r="AB794" s="133" t="s">
        <v>2417</v>
      </c>
      <c r="AC794" s="133" t="s">
        <v>2417</v>
      </c>
      <c r="AD794" s="133" t="s">
        <v>2417</v>
      </c>
      <c r="AE794" s="123"/>
    </row>
    <row r="795" spans="1:31" ht="13.2" outlineLevel="1">
      <c r="A795" s="384" t="s">
        <v>1746</v>
      </c>
      <c r="B795" s="350"/>
      <c r="C795" s="350"/>
      <c r="D795" s="351"/>
      <c r="E795" s="133" t="s">
        <v>2417</v>
      </c>
      <c r="F795" s="133" t="s">
        <v>2417</v>
      </c>
      <c r="G795" s="133" t="s">
        <v>2417</v>
      </c>
      <c r="H795" s="133" t="s">
        <v>2417</v>
      </c>
      <c r="I795" s="133" t="s">
        <v>2417</v>
      </c>
      <c r="J795" s="133" t="s">
        <v>2417</v>
      </c>
      <c r="K795" s="133" t="s">
        <v>2417</v>
      </c>
      <c r="L795" s="133" t="s">
        <v>2417</v>
      </c>
      <c r="M795" s="133" t="s">
        <v>2417</v>
      </c>
      <c r="N795" s="133" t="s">
        <v>2417</v>
      </c>
      <c r="O795" s="133" t="s">
        <v>2417</v>
      </c>
      <c r="P795" s="133" t="s">
        <v>2417</v>
      </c>
      <c r="Q795" s="133" t="s">
        <v>2417</v>
      </c>
      <c r="R795" s="133" t="s">
        <v>2417</v>
      </c>
      <c r="S795" s="133" t="s">
        <v>2417</v>
      </c>
      <c r="T795" s="133" t="s">
        <v>2417</v>
      </c>
      <c r="U795" s="133" t="s">
        <v>2417</v>
      </c>
      <c r="V795" s="133" t="s">
        <v>2417</v>
      </c>
      <c r="W795" s="133" t="s">
        <v>2417</v>
      </c>
      <c r="X795" s="133" t="s">
        <v>2417</v>
      </c>
      <c r="Y795" s="133" t="s">
        <v>2417</v>
      </c>
      <c r="Z795" s="133" t="s">
        <v>2417</v>
      </c>
      <c r="AA795" s="133" t="s">
        <v>2417</v>
      </c>
      <c r="AB795" s="133" t="s">
        <v>2417</v>
      </c>
      <c r="AC795" s="133" t="s">
        <v>2417</v>
      </c>
      <c r="AD795" s="133" t="s">
        <v>2417</v>
      </c>
      <c r="AE795" s="173"/>
    </row>
    <row r="796" spans="1:31" ht="13.2" outlineLevel="2">
      <c r="A796" s="387" t="s">
        <v>1747</v>
      </c>
      <c r="B796" s="350"/>
      <c r="C796" s="350"/>
      <c r="D796" s="351"/>
      <c r="E796" s="133" t="s">
        <v>2417</v>
      </c>
      <c r="F796" s="133" t="s">
        <v>2417</v>
      </c>
      <c r="G796" s="133" t="s">
        <v>2417</v>
      </c>
      <c r="H796" s="133" t="s">
        <v>2417</v>
      </c>
      <c r="I796" s="133" t="s">
        <v>2417</v>
      </c>
      <c r="J796" s="133" t="s">
        <v>2417</v>
      </c>
      <c r="K796" s="133" t="s">
        <v>2417</v>
      </c>
      <c r="L796" s="133" t="s">
        <v>2417</v>
      </c>
      <c r="M796" s="133" t="s">
        <v>2417</v>
      </c>
      <c r="N796" s="133" t="s">
        <v>2417</v>
      </c>
      <c r="O796" s="133" t="s">
        <v>2417</v>
      </c>
      <c r="P796" s="133" t="s">
        <v>2417</v>
      </c>
      <c r="Q796" s="133" t="s">
        <v>2417</v>
      </c>
      <c r="R796" s="133" t="s">
        <v>2417</v>
      </c>
      <c r="S796" s="133" t="s">
        <v>2417</v>
      </c>
      <c r="T796" s="133" t="s">
        <v>2417</v>
      </c>
      <c r="U796" s="133" t="s">
        <v>2417</v>
      </c>
      <c r="V796" s="133" t="s">
        <v>2417</v>
      </c>
      <c r="W796" s="133" t="s">
        <v>2417</v>
      </c>
      <c r="X796" s="133" t="s">
        <v>2417</v>
      </c>
      <c r="Y796" s="133" t="s">
        <v>2417</v>
      </c>
      <c r="Z796" s="133" t="s">
        <v>2417</v>
      </c>
      <c r="AA796" s="133" t="s">
        <v>2417</v>
      </c>
      <c r="AB796" s="133" t="s">
        <v>2417</v>
      </c>
      <c r="AC796" s="133" t="s">
        <v>2417</v>
      </c>
      <c r="AD796" s="133" t="s">
        <v>2417</v>
      </c>
      <c r="AE796" s="59"/>
    </row>
    <row r="797" spans="1:31" ht="13.2" outlineLevel="2">
      <c r="A797" s="68" t="s">
        <v>1748</v>
      </c>
      <c r="B797" s="65" t="s">
        <v>1749</v>
      </c>
      <c r="C797" s="387" t="s">
        <v>2796</v>
      </c>
      <c r="D797" s="351"/>
      <c r="E797" s="133" t="s">
        <v>2417</v>
      </c>
      <c r="F797" s="133" t="s">
        <v>2417</v>
      </c>
      <c r="G797" s="133" t="s">
        <v>2417</v>
      </c>
      <c r="H797" s="133" t="s">
        <v>2417</v>
      </c>
      <c r="I797" s="133" t="s">
        <v>2417</v>
      </c>
      <c r="J797" s="133" t="s">
        <v>2417</v>
      </c>
      <c r="K797" s="133" t="s">
        <v>2417</v>
      </c>
      <c r="L797" s="133" t="s">
        <v>2417</v>
      </c>
      <c r="M797" s="133" t="s">
        <v>2797</v>
      </c>
      <c r="N797" s="133" t="s">
        <v>2417</v>
      </c>
      <c r="O797" s="133" t="s">
        <v>2417</v>
      </c>
      <c r="P797" s="133" t="s">
        <v>2417</v>
      </c>
      <c r="Q797" s="133" t="s">
        <v>2417</v>
      </c>
      <c r="R797" s="133" t="s">
        <v>2417</v>
      </c>
      <c r="S797" s="133" t="s">
        <v>2417</v>
      </c>
      <c r="T797" s="133" t="s">
        <v>2417</v>
      </c>
      <c r="U797" s="133" t="s">
        <v>2417</v>
      </c>
      <c r="V797" s="133" t="s">
        <v>2417</v>
      </c>
      <c r="W797" s="133" t="s">
        <v>2417</v>
      </c>
      <c r="X797" s="133" t="s">
        <v>2417</v>
      </c>
      <c r="Y797" s="133" t="s">
        <v>2417</v>
      </c>
      <c r="Z797" s="133" t="s">
        <v>2417</v>
      </c>
      <c r="AA797" s="133" t="s">
        <v>2417</v>
      </c>
      <c r="AB797" s="133" t="s">
        <v>2417</v>
      </c>
      <c r="AC797" s="133" t="s">
        <v>2417</v>
      </c>
      <c r="AD797" s="133" t="s">
        <v>2417</v>
      </c>
      <c r="AE797" s="59"/>
    </row>
    <row r="798" spans="1:31" ht="13.2" hidden="1" outlineLevel="2">
      <c r="A798" s="68" t="s">
        <v>361</v>
      </c>
      <c r="B798" s="174"/>
      <c r="C798" s="360" t="s">
        <v>2798</v>
      </c>
      <c r="D798" s="351"/>
      <c r="E798" s="133" t="s">
        <v>2417</v>
      </c>
      <c r="F798" s="133" t="s">
        <v>2417</v>
      </c>
      <c r="G798" s="133" t="s">
        <v>2417</v>
      </c>
      <c r="H798" s="133" t="s">
        <v>2417</v>
      </c>
      <c r="I798" s="133" t="s">
        <v>2417</v>
      </c>
      <c r="J798" s="133" t="s">
        <v>2417</v>
      </c>
      <c r="K798" s="133" t="s">
        <v>2417</v>
      </c>
      <c r="L798" s="133" t="s">
        <v>2417</v>
      </c>
      <c r="M798" s="133" t="s">
        <v>2417</v>
      </c>
      <c r="N798" s="133" t="s">
        <v>2417</v>
      </c>
      <c r="O798" s="133" t="s">
        <v>2417</v>
      </c>
      <c r="P798" s="133" t="s">
        <v>2417</v>
      </c>
      <c r="Q798" s="133" t="s">
        <v>2417</v>
      </c>
      <c r="R798" s="133" t="s">
        <v>2417</v>
      </c>
      <c r="S798" s="133" t="s">
        <v>2417</v>
      </c>
      <c r="T798" s="133" t="s">
        <v>2417</v>
      </c>
      <c r="U798" s="133" t="s">
        <v>2417</v>
      </c>
      <c r="V798" s="133" t="s">
        <v>2417</v>
      </c>
      <c r="W798" s="133" t="s">
        <v>2417</v>
      </c>
      <c r="X798" s="133" t="s">
        <v>2417</v>
      </c>
      <c r="Y798" s="133" t="s">
        <v>2417</v>
      </c>
      <c r="Z798" s="133" t="s">
        <v>2417</v>
      </c>
      <c r="AA798" s="133" t="s">
        <v>2417</v>
      </c>
      <c r="AB798" s="133" t="s">
        <v>2417</v>
      </c>
      <c r="AC798" s="133" t="s">
        <v>2417</v>
      </c>
      <c r="AD798" s="133" t="s">
        <v>2441</v>
      </c>
      <c r="AE798" s="175"/>
    </row>
    <row r="799" spans="1:31" ht="13.2" outlineLevel="1">
      <c r="A799" s="426" t="s">
        <v>1751</v>
      </c>
      <c r="B799" s="350"/>
      <c r="C799" s="350"/>
      <c r="D799" s="351"/>
      <c r="E799" s="133" t="s">
        <v>2417</v>
      </c>
      <c r="F799" s="133" t="s">
        <v>2417</v>
      </c>
      <c r="G799" s="133" t="s">
        <v>2417</v>
      </c>
      <c r="H799" s="133" t="s">
        <v>2417</v>
      </c>
      <c r="I799" s="133" t="s">
        <v>2417</v>
      </c>
      <c r="J799" s="133" t="s">
        <v>2417</v>
      </c>
      <c r="K799" s="133" t="s">
        <v>2417</v>
      </c>
      <c r="L799" s="133" t="s">
        <v>2417</v>
      </c>
      <c r="M799" s="133" t="s">
        <v>2417</v>
      </c>
      <c r="N799" s="133" t="s">
        <v>2417</v>
      </c>
      <c r="O799" s="133" t="s">
        <v>2417</v>
      </c>
      <c r="P799" s="133" t="s">
        <v>2417</v>
      </c>
      <c r="Q799" s="133" t="s">
        <v>2417</v>
      </c>
      <c r="R799" s="133" t="s">
        <v>2417</v>
      </c>
      <c r="S799" s="133" t="s">
        <v>2417</v>
      </c>
      <c r="T799" s="133" t="s">
        <v>2417</v>
      </c>
      <c r="U799" s="133" t="s">
        <v>2417</v>
      </c>
      <c r="V799" s="133" t="s">
        <v>2417</v>
      </c>
      <c r="W799" s="133" t="s">
        <v>2417</v>
      </c>
      <c r="X799" s="133" t="s">
        <v>2417</v>
      </c>
      <c r="Y799" s="133" t="s">
        <v>2417</v>
      </c>
      <c r="Z799" s="133" t="s">
        <v>2417</v>
      </c>
      <c r="AA799" s="133" t="s">
        <v>2417</v>
      </c>
      <c r="AB799" s="133" t="s">
        <v>2417</v>
      </c>
      <c r="AC799" s="133" t="s">
        <v>2417</v>
      </c>
      <c r="AD799" s="133" t="s">
        <v>2417</v>
      </c>
      <c r="AE799" s="175"/>
    </row>
    <row r="800" spans="1:31" ht="13.2" outlineLevel="2">
      <c r="A800" s="68" t="s">
        <v>1752</v>
      </c>
      <c r="B800" s="65" t="s">
        <v>1753</v>
      </c>
      <c r="C800" s="360" t="s">
        <v>1754</v>
      </c>
      <c r="D800" s="351"/>
      <c r="E800" s="133" t="s">
        <v>2417</v>
      </c>
      <c r="F800" s="133" t="s">
        <v>2417</v>
      </c>
      <c r="G800" s="133" t="s">
        <v>2417</v>
      </c>
      <c r="H800" s="133" t="s">
        <v>2417</v>
      </c>
      <c r="I800" s="133" t="s">
        <v>2417</v>
      </c>
      <c r="J800" s="133" t="s">
        <v>2417</v>
      </c>
      <c r="K800" s="133" t="s">
        <v>2417</v>
      </c>
      <c r="L800" s="133" t="s">
        <v>2417</v>
      </c>
      <c r="M800" s="133" t="s">
        <v>2417</v>
      </c>
      <c r="N800" s="133" t="s">
        <v>2417</v>
      </c>
      <c r="O800" s="133" t="s">
        <v>2417</v>
      </c>
      <c r="P800" s="133" t="s">
        <v>2417</v>
      </c>
      <c r="Q800" s="133" t="s">
        <v>2417</v>
      </c>
      <c r="R800" s="133" t="s">
        <v>2417</v>
      </c>
      <c r="S800" s="133" t="s">
        <v>2417</v>
      </c>
      <c r="T800" s="133" t="s">
        <v>2417</v>
      </c>
      <c r="U800" s="133" t="s">
        <v>2417</v>
      </c>
      <c r="V800" s="133" t="s">
        <v>2417</v>
      </c>
      <c r="W800" s="133" t="s">
        <v>2417</v>
      </c>
      <c r="X800" s="133" t="s">
        <v>2417</v>
      </c>
      <c r="Y800" s="133" t="s">
        <v>2417</v>
      </c>
      <c r="Z800" s="133" t="s">
        <v>2417</v>
      </c>
      <c r="AA800" s="133" t="s">
        <v>2417</v>
      </c>
      <c r="AB800" s="133" t="s">
        <v>2417</v>
      </c>
      <c r="AC800" s="133" t="s">
        <v>2417</v>
      </c>
      <c r="AD800" s="133" t="s">
        <v>2417</v>
      </c>
      <c r="AE800" s="123"/>
    </row>
    <row r="801" spans="1:31" ht="20.399999999999999" outlineLevel="2">
      <c r="A801" s="68" t="s">
        <v>1755</v>
      </c>
      <c r="B801" s="65" t="s">
        <v>1756</v>
      </c>
      <c r="C801" s="360" t="s">
        <v>1757</v>
      </c>
      <c r="D801" s="351"/>
      <c r="E801" s="133" t="s">
        <v>2417</v>
      </c>
      <c r="F801" s="133" t="s">
        <v>2417</v>
      </c>
      <c r="G801" s="133" t="s">
        <v>2417</v>
      </c>
      <c r="H801" s="133" t="s">
        <v>2417</v>
      </c>
      <c r="I801" s="133" t="s">
        <v>2417</v>
      </c>
      <c r="J801" s="133" t="s">
        <v>2417</v>
      </c>
      <c r="K801" s="133" t="s">
        <v>2417</v>
      </c>
      <c r="L801" s="133" t="s">
        <v>2417</v>
      </c>
      <c r="M801" s="133" t="s">
        <v>2417</v>
      </c>
      <c r="N801" s="133" t="s">
        <v>2417</v>
      </c>
      <c r="O801" s="133" t="s">
        <v>2417</v>
      </c>
      <c r="P801" s="133" t="s">
        <v>2417</v>
      </c>
      <c r="Q801" s="133" t="s">
        <v>2417</v>
      </c>
      <c r="R801" s="133" t="s">
        <v>2417</v>
      </c>
      <c r="S801" s="133" t="s">
        <v>2417</v>
      </c>
      <c r="T801" s="133" t="s">
        <v>2417</v>
      </c>
      <c r="U801" s="133" t="s">
        <v>2417</v>
      </c>
      <c r="V801" s="133" t="s">
        <v>2417</v>
      </c>
      <c r="W801" s="133" t="s">
        <v>2417</v>
      </c>
      <c r="X801" s="133" t="s">
        <v>2417</v>
      </c>
      <c r="Y801" s="133" t="s">
        <v>2417</v>
      </c>
      <c r="Z801" s="133" t="s">
        <v>2417</v>
      </c>
      <c r="AA801" s="133" t="s">
        <v>2417</v>
      </c>
      <c r="AB801" s="133" t="s">
        <v>2799</v>
      </c>
      <c r="AC801" s="133" t="s">
        <v>2417</v>
      </c>
      <c r="AD801" s="133" t="s">
        <v>2417</v>
      </c>
      <c r="AE801" s="123"/>
    </row>
    <row r="802" spans="1:31" ht="20.399999999999999" hidden="1" outlineLevel="2">
      <c r="A802" s="68" t="s">
        <v>1755</v>
      </c>
      <c r="B802" s="65" t="s">
        <v>2800</v>
      </c>
      <c r="C802" s="360" t="s">
        <v>2801</v>
      </c>
      <c r="D802" s="351"/>
      <c r="E802" s="133" t="s">
        <v>2417</v>
      </c>
      <c r="F802" s="133" t="s">
        <v>2417</v>
      </c>
      <c r="G802" s="133" t="s">
        <v>2417</v>
      </c>
      <c r="H802" s="133" t="s">
        <v>2417</v>
      </c>
      <c r="I802" s="133" t="s">
        <v>2417</v>
      </c>
      <c r="J802" s="133" t="s">
        <v>2417</v>
      </c>
      <c r="K802" s="133" t="s">
        <v>2417</v>
      </c>
      <c r="L802" s="133" t="s">
        <v>2417</v>
      </c>
      <c r="M802" s="133" t="s">
        <v>2417</v>
      </c>
      <c r="N802" s="133" t="s">
        <v>2417</v>
      </c>
      <c r="O802" s="133" t="s">
        <v>2417</v>
      </c>
      <c r="P802" s="133" t="s">
        <v>2417</v>
      </c>
      <c r="Q802" s="133" t="s">
        <v>2417</v>
      </c>
      <c r="R802" s="133" t="s">
        <v>2417</v>
      </c>
      <c r="S802" s="133" t="s">
        <v>2417</v>
      </c>
      <c r="T802" s="133" t="s">
        <v>2417</v>
      </c>
      <c r="U802" s="133" t="s">
        <v>2417</v>
      </c>
      <c r="V802" s="133" t="s">
        <v>2417</v>
      </c>
      <c r="W802" s="133" t="s">
        <v>2417</v>
      </c>
      <c r="X802" s="133" t="s">
        <v>2417</v>
      </c>
      <c r="Y802" s="133" t="s">
        <v>2417</v>
      </c>
      <c r="Z802" s="133" t="s">
        <v>2417</v>
      </c>
      <c r="AA802" s="133" t="s">
        <v>2417</v>
      </c>
      <c r="AB802" s="133" t="s">
        <v>2802</v>
      </c>
      <c r="AC802" s="133" t="s">
        <v>2417</v>
      </c>
      <c r="AD802" s="133" t="s">
        <v>2417</v>
      </c>
      <c r="AE802" s="123"/>
    </row>
    <row r="803" spans="1:31" ht="13.2" outlineLevel="1">
      <c r="A803" s="426" t="s">
        <v>1758</v>
      </c>
      <c r="B803" s="350"/>
      <c r="C803" s="350"/>
      <c r="D803" s="351"/>
      <c r="E803" s="133" t="s">
        <v>2417</v>
      </c>
      <c r="F803" s="133" t="s">
        <v>2421</v>
      </c>
      <c r="G803" s="133" t="s">
        <v>2417</v>
      </c>
      <c r="H803" s="133" t="s">
        <v>2417</v>
      </c>
      <c r="I803" s="133" t="s">
        <v>2417</v>
      </c>
      <c r="J803" s="133" t="s">
        <v>2417</v>
      </c>
      <c r="K803" s="133" t="s">
        <v>2417</v>
      </c>
      <c r="L803" s="133" t="s">
        <v>2417</v>
      </c>
      <c r="M803" s="133" t="s">
        <v>2417</v>
      </c>
      <c r="N803" s="133" t="s">
        <v>2417</v>
      </c>
      <c r="O803" s="133" t="s">
        <v>2417</v>
      </c>
      <c r="P803" s="133" t="s">
        <v>2417</v>
      </c>
      <c r="Q803" s="133" t="s">
        <v>2417</v>
      </c>
      <c r="R803" s="133" t="s">
        <v>2417</v>
      </c>
      <c r="S803" s="133" t="s">
        <v>2417</v>
      </c>
      <c r="T803" s="133" t="s">
        <v>2417</v>
      </c>
      <c r="U803" s="133" t="s">
        <v>2417</v>
      </c>
      <c r="V803" s="133" t="s">
        <v>2417</v>
      </c>
      <c r="W803" s="133" t="s">
        <v>2417</v>
      </c>
      <c r="X803" s="133" t="s">
        <v>2417</v>
      </c>
      <c r="Y803" s="133" t="s">
        <v>2417</v>
      </c>
      <c r="Z803" s="133" t="s">
        <v>2417</v>
      </c>
      <c r="AA803" s="133" t="s">
        <v>2417</v>
      </c>
      <c r="AB803" s="133" t="s">
        <v>2417</v>
      </c>
      <c r="AC803" s="133" t="s">
        <v>2417</v>
      </c>
      <c r="AD803" s="133" t="s">
        <v>2417</v>
      </c>
      <c r="AE803" s="175"/>
    </row>
    <row r="804" spans="1:31" ht="13.2" outlineLevel="2">
      <c r="A804" s="68" t="s">
        <v>361</v>
      </c>
      <c r="B804" s="93" t="s">
        <v>1759</v>
      </c>
      <c r="C804" s="360" t="s">
        <v>1760</v>
      </c>
      <c r="D804" s="351"/>
      <c r="E804" s="133" t="s">
        <v>2417</v>
      </c>
      <c r="F804" s="133" t="s">
        <v>2421</v>
      </c>
      <c r="G804" s="133" t="s">
        <v>2417</v>
      </c>
      <c r="H804" s="133" t="s">
        <v>2417</v>
      </c>
      <c r="I804" s="133" t="s">
        <v>2417</v>
      </c>
      <c r="J804" s="133" t="s">
        <v>2417</v>
      </c>
      <c r="K804" s="133" t="s">
        <v>2417</v>
      </c>
      <c r="L804" s="133" t="s">
        <v>2417</v>
      </c>
      <c r="M804" s="133" t="s">
        <v>2417</v>
      </c>
      <c r="N804" s="133" t="s">
        <v>2417</v>
      </c>
      <c r="O804" s="133" t="s">
        <v>2417</v>
      </c>
      <c r="P804" s="133" t="s">
        <v>2417</v>
      </c>
      <c r="Q804" s="133" t="s">
        <v>2417</v>
      </c>
      <c r="R804" s="133" t="s">
        <v>2417</v>
      </c>
      <c r="S804" s="133" t="s">
        <v>2417</v>
      </c>
      <c r="T804" s="133" t="s">
        <v>2417</v>
      </c>
      <c r="U804" s="133" t="s">
        <v>2417</v>
      </c>
      <c r="V804" s="133" t="s">
        <v>2417</v>
      </c>
      <c r="W804" s="133" t="s">
        <v>2417</v>
      </c>
      <c r="X804" s="133" t="s">
        <v>2417</v>
      </c>
      <c r="Y804" s="133" t="s">
        <v>2417</v>
      </c>
      <c r="Z804" s="133" t="s">
        <v>2417</v>
      </c>
      <c r="AA804" s="133" t="s">
        <v>2417</v>
      </c>
      <c r="AB804" s="135" t="s">
        <v>2417</v>
      </c>
      <c r="AC804" s="133" t="s">
        <v>2417</v>
      </c>
      <c r="AD804" s="133" t="s">
        <v>2417</v>
      </c>
      <c r="AE804" s="123"/>
    </row>
    <row r="805" spans="1:31" ht="13.2" outlineLevel="2">
      <c r="A805" s="68" t="s">
        <v>1761</v>
      </c>
      <c r="B805" s="94" t="s">
        <v>1762</v>
      </c>
      <c r="C805" s="360" t="s">
        <v>1763</v>
      </c>
      <c r="D805" s="351"/>
      <c r="E805" s="133" t="s">
        <v>2417</v>
      </c>
      <c r="F805" s="133" t="s">
        <v>2421</v>
      </c>
      <c r="G805" s="133" t="s">
        <v>2417</v>
      </c>
      <c r="H805" s="133" t="s">
        <v>2417</v>
      </c>
      <c r="I805" s="133" t="s">
        <v>2417</v>
      </c>
      <c r="J805" s="133" t="s">
        <v>2417</v>
      </c>
      <c r="K805" s="133" t="s">
        <v>2417</v>
      </c>
      <c r="L805" s="133" t="s">
        <v>2417</v>
      </c>
      <c r="M805" s="133" t="s">
        <v>2417</v>
      </c>
      <c r="N805" s="133" t="s">
        <v>2417</v>
      </c>
      <c r="O805" s="133" t="s">
        <v>2417</v>
      </c>
      <c r="P805" s="133" t="s">
        <v>2417</v>
      </c>
      <c r="Q805" s="133" t="s">
        <v>2417</v>
      </c>
      <c r="R805" s="133" t="s">
        <v>2417</v>
      </c>
      <c r="S805" s="133" t="s">
        <v>2417</v>
      </c>
      <c r="T805" s="133" t="s">
        <v>2417</v>
      </c>
      <c r="U805" s="133" t="s">
        <v>2417</v>
      </c>
      <c r="V805" s="133" t="s">
        <v>2417</v>
      </c>
      <c r="W805" s="133" t="s">
        <v>2417</v>
      </c>
      <c r="X805" s="133" t="s">
        <v>2417</v>
      </c>
      <c r="Y805" s="133" t="s">
        <v>2417</v>
      </c>
      <c r="Z805" s="133" t="s">
        <v>2417</v>
      </c>
      <c r="AA805" s="133" t="s">
        <v>2417</v>
      </c>
      <c r="AB805" s="133" t="s">
        <v>2417</v>
      </c>
      <c r="AC805" s="133" t="s">
        <v>2417</v>
      </c>
      <c r="AD805" s="133" t="s">
        <v>2417</v>
      </c>
      <c r="AE805" s="123"/>
    </row>
    <row r="806" spans="1:31" ht="13.2" outlineLevel="2">
      <c r="A806" s="68" t="s">
        <v>1764</v>
      </c>
      <c r="B806" s="94" t="s">
        <v>1765</v>
      </c>
      <c r="C806" s="360" t="s">
        <v>1766</v>
      </c>
      <c r="D806" s="351"/>
      <c r="E806" s="133" t="s">
        <v>2417</v>
      </c>
      <c r="F806" s="133" t="s">
        <v>2421</v>
      </c>
      <c r="G806" s="133" t="s">
        <v>2417</v>
      </c>
      <c r="H806" s="133" t="s">
        <v>2417</v>
      </c>
      <c r="I806" s="133" t="s">
        <v>2417</v>
      </c>
      <c r="J806" s="133" t="s">
        <v>2417</v>
      </c>
      <c r="K806" s="133" t="s">
        <v>2417</v>
      </c>
      <c r="L806" s="133" t="s">
        <v>2417</v>
      </c>
      <c r="M806" s="133" t="s">
        <v>2417</v>
      </c>
      <c r="N806" s="133" t="s">
        <v>2417</v>
      </c>
      <c r="O806" s="133" t="s">
        <v>2417</v>
      </c>
      <c r="P806" s="133" t="s">
        <v>2417</v>
      </c>
      <c r="Q806" s="133" t="s">
        <v>2417</v>
      </c>
      <c r="R806" s="133" t="s">
        <v>2417</v>
      </c>
      <c r="S806" s="133" t="s">
        <v>2417</v>
      </c>
      <c r="T806" s="133" t="s">
        <v>2417</v>
      </c>
      <c r="U806" s="133" t="s">
        <v>2417</v>
      </c>
      <c r="V806" s="133" t="s">
        <v>2417</v>
      </c>
      <c r="W806" s="133" t="s">
        <v>2417</v>
      </c>
      <c r="X806" s="133" t="s">
        <v>2417</v>
      </c>
      <c r="Y806" s="133" t="s">
        <v>2417</v>
      </c>
      <c r="Z806" s="133" t="s">
        <v>2417</v>
      </c>
      <c r="AA806" s="133" t="s">
        <v>2417</v>
      </c>
      <c r="AB806" s="133" t="s">
        <v>2417</v>
      </c>
      <c r="AC806" s="133" t="s">
        <v>2417</v>
      </c>
      <c r="AD806" s="133" t="s">
        <v>2417</v>
      </c>
      <c r="AE806" s="123"/>
    </row>
    <row r="807" spans="1:31" ht="13.2" outlineLevel="2">
      <c r="A807" s="68" t="s">
        <v>1767</v>
      </c>
      <c r="B807" s="94" t="s">
        <v>1768</v>
      </c>
      <c r="C807" s="360" t="s">
        <v>1769</v>
      </c>
      <c r="D807" s="351"/>
      <c r="E807" s="133" t="s">
        <v>2417</v>
      </c>
      <c r="F807" s="133" t="s">
        <v>2421</v>
      </c>
      <c r="G807" s="133" t="s">
        <v>2417</v>
      </c>
      <c r="H807" s="133" t="s">
        <v>2417</v>
      </c>
      <c r="I807" s="133" t="s">
        <v>2417</v>
      </c>
      <c r="J807" s="133" t="s">
        <v>2417</v>
      </c>
      <c r="K807" s="133" t="s">
        <v>2417</v>
      </c>
      <c r="L807" s="133" t="s">
        <v>2417</v>
      </c>
      <c r="M807" s="133" t="s">
        <v>2417</v>
      </c>
      <c r="N807" s="133" t="s">
        <v>2417</v>
      </c>
      <c r="O807" s="133" t="s">
        <v>2417</v>
      </c>
      <c r="P807" s="133" t="s">
        <v>2417</v>
      </c>
      <c r="Q807" s="133" t="s">
        <v>2417</v>
      </c>
      <c r="R807" s="133" t="s">
        <v>2417</v>
      </c>
      <c r="S807" s="133" t="s">
        <v>2417</v>
      </c>
      <c r="T807" s="133" t="s">
        <v>2417</v>
      </c>
      <c r="U807" s="133" t="s">
        <v>2417</v>
      </c>
      <c r="V807" s="133" t="s">
        <v>2417</v>
      </c>
      <c r="W807" s="133" t="s">
        <v>2417</v>
      </c>
      <c r="X807" s="133" t="s">
        <v>2417</v>
      </c>
      <c r="Y807" s="133" t="s">
        <v>2417</v>
      </c>
      <c r="Z807" s="133" t="s">
        <v>2417</v>
      </c>
      <c r="AA807" s="133" t="s">
        <v>2417</v>
      </c>
      <c r="AB807" s="133" t="s">
        <v>2417</v>
      </c>
      <c r="AC807" s="133" t="s">
        <v>2417</v>
      </c>
      <c r="AD807" s="133" t="s">
        <v>2417</v>
      </c>
      <c r="AE807" s="123"/>
    </row>
    <row r="808" spans="1:31" ht="20.399999999999999" outlineLevel="2">
      <c r="A808" s="68" t="s">
        <v>1770</v>
      </c>
      <c r="B808" s="93" t="s">
        <v>1771</v>
      </c>
      <c r="C808" s="360" t="s">
        <v>1772</v>
      </c>
      <c r="D808" s="351"/>
      <c r="E808" s="133" t="s">
        <v>2417</v>
      </c>
      <c r="F808" s="133" t="s">
        <v>2421</v>
      </c>
      <c r="G808" s="133" t="s">
        <v>2417</v>
      </c>
      <c r="H808" s="133" t="s">
        <v>2417</v>
      </c>
      <c r="I808" s="133" t="s">
        <v>2417</v>
      </c>
      <c r="J808" s="133" t="s">
        <v>2417</v>
      </c>
      <c r="K808" s="133" t="s">
        <v>2417</v>
      </c>
      <c r="L808" s="133" t="s">
        <v>2417</v>
      </c>
      <c r="M808" s="133" t="s">
        <v>2417</v>
      </c>
      <c r="N808" s="133" t="s">
        <v>2417</v>
      </c>
      <c r="O808" s="133" t="s">
        <v>2417</v>
      </c>
      <c r="P808" s="133" t="s">
        <v>2417</v>
      </c>
      <c r="Q808" s="133" t="s">
        <v>2417</v>
      </c>
      <c r="R808" s="133" t="s">
        <v>2417</v>
      </c>
      <c r="S808" s="133" t="s">
        <v>2417</v>
      </c>
      <c r="T808" s="133" t="s">
        <v>2417</v>
      </c>
      <c r="U808" s="133" t="s">
        <v>2417</v>
      </c>
      <c r="V808" s="133" t="s">
        <v>2417</v>
      </c>
      <c r="W808" s="133" t="s">
        <v>2417</v>
      </c>
      <c r="X808" s="133" t="s">
        <v>2417</v>
      </c>
      <c r="Y808" s="133" t="s">
        <v>2417</v>
      </c>
      <c r="Z808" s="133" t="s">
        <v>2417</v>
      </c>
      <c r="AA808" s="133" t="s">
        <v>2417</v>
      </c>
      <c r="AB808" s="133" t="s">
        <v>2417</v>
      </c>
      <c r="AC808" s="133" t="s">
        <v>2417</v>
      </c>
      <c r="AD808" s="133" t="s">
        <v>2417</v>
      </c>
      <c r="AE808" s="123"/>
    </row>
    <row r="809" spans="1:31" ht="20.399999999999999" outlineLevel="2">
      <c r="A809" s="68" t="s">
        <v>1773</v>
      </c>
      <c r="B809" s="62" t="s">
        <v>1774</v>
      </c>
      <c r="C809" s="387" t="s">
        <v>1775</v>
      </c>
      <c r="D809" s="351"/>
      <c r="E809" s="133" t="s">
        <v>2417</v>
      </c>
      <c r="F809" s="133" t="s">
        <v>2421</v>
      </c>
      <c r="G809" s="133" t="s">
        <v>2417</v>
      </c>
      <c r="H809" s="133" t="s">
        <v>2417</v>
      </c>
      <c r="I809" s="133" t="s">
        <v>2417</v>
      </c>
      <c r="J809" s="133" t="s">
        <v>2417</v>
      </c>
      <c r="K809" s="133" t="s">
        <v>2417</v>
      </c>
      <c r="L809" s="133" t="s">
        <v>2417</v>
      </c>
      <c r="M809" s="133" t="s">
        <v>2417</v>
      </c>
      <c r="N809" s="133" t="s">
        <v>2417</v>
      </c>
      <c r="O809" s="133" t="s">
        <v>2417</v>
      </c>
      <c r="P809" s="133" t="s">
        <v>2417</v>
      </c>
      <c r="Q809" s="133" t="s">
        <v>2417</v>
      </c>
      <c r="R809" s="133" t="s">
        <v>2417</v>
      </c>
      <c r="S809" s="133" t="s">
        <v>2417</v>
      </c>
      <c r="T809" s="133" t="s">
        <v>2417</v>
      </c>
      <c r="U809" s="133" t="s">
        <v>2417</v>
      </c>
      <c r="V809" s="133" t="s">
        <v>2417</v>
      </c>
      <c r="W809" s="133" t="s">
        <v>2417</v>
      </c>
      <c r="X809" s="133" t="s">
        <v>2417</v>
      </c>
      <c r="Y809" s="133" t="s">
        <v>2417</v>
      </c>
      <c r="Z809" s="133" t="s">
        <v>2417</v>
      </c>
      <c r="AA809" s="133" t="s">
        <v>2417</v>
      </c>
      <c r="AB809" s="133" t="s">
        <v>2799</v>
      </c>
      <c r="AC809" s="133" t="s">
        <v>2417</v>
      </c>
      <c r="AD809" s="133" t="s">
        <v>2417</v>
      </c>
      <c r="AE809" s="59"/>
    </row>
    <row r="810" spans="1:31" ht="20.399999999999999" hidden="1" outlineLevel="2">
      <c r="A810" s="68" t="s">
        <v>1773</v>
      </c>
      <c r="B810" s="93" t="s">
        <v>2803</v>
      </c>
      <c r="C810" s="360" t="s">
        <v>2804</v>
      </c>
      <c r="D810" s="351"/>
      <c r="E810" s="133" t="s">
        <v>2417</v>
      </c>
      <c r="F810" s="133" t="s">
        <v>2421</v>
      </c>
      <c r="G810" s="133" t="s">
        <v>2417</v>
      </c>
      <c r="H810" s="133" t="s">
        <v>2417</v>
      </c>
      <c r="I810" s="133" t="s">
        <v>2417</v>
      </c>
      <c r="J810" s="133" t="s">
        <v>2417</v>
      </c>
      <c r="K810" s="133" t="s">
        <v>2417</v>
      </c>
      <c r="L810" s="133" t="s">
        <v>2417</v>
      </c>
      <c r="M810" s="133" t="s">
        <v>2417</v>
      </c>
      <c r="N810" s="133" t="s">
        <v>2417</v>
      </c>
      <c r="O810" s="133" t="s">
        <v>2417</v>
      </c>
      <c r="P810" s="133" t="s">
        <v>2417</v>
      </c>
      <c r="Q810" s="133" t="s">
        <v>2417</v>
      </c>
      <c r="R810" s="133" t="s">
        <v>2417</v>
      </c>
      <c r="S810" s="133" t="s">
        <v>2417</v>
      </c>
      <c r="T810" s="133" t="s">
        <v>2417</v>
      </c>
      <c r="U810" s="133" t="s">
        <v>2417</v>
      </c>
      <c r="V810" s="133" t="s">
        <v>2417</v>
      </c>
      <c r="W810" s="133" t="s">
        <v>2417</v>
      </c>
      <c r="X810" s="133" t="s">
        <v>2417</v>
      </c>
      <c r="Y810" s="133" t="s">
        <v>2417</v>
      </c>
      <c r="Z810" s="133" t="s">
        <v>2417</v>
      </c>
      <c r="AA810" s="133" t="s">
        <v>2417</v>
      </c>
      <c r="AB810" s="133" t="s">
        <v>2802</v>
      </c>
      <c r="AC810" s="133" t="s">
        <v>2417</v>
      </c>
      <c r="AD810" s="133" t="s">
        <v>2417</v>
      </c>
      <c r="AE810" s="123"/>
    </row>
    <row r="811" spans="1:31" ht="20.399999999999999" outlineLevel="2">
      <c r="A811" s="68" t="s">
        <v>1776</v>
      </c>
      <c r="B811" s="93" t="s">
        <v>1777</v>
      </c>
      <c r="C811" s="360" t="s">
        <v>1778</v>
      </c>
      <c r="D811" s="351"/>
      <c r="E811" s="133" t="s">
        <v>2417</v>
      </c>
      <c r="F811" s="133" t="s">
        <v>2421</v>
      </c>
      <c r="G811" s="133" t="s">
        <v>2417</v>
      </c>
      <c r="H811" s="133" t="s">
        <v>2417</v>
      </c>
      <c r="I811" s="133" t="s">
        <v>2417</v>
      </c>
      <c r="J811" s="133" t="s">
        <v>2417</v>
      </c>
      <c r="K811" s="133" t="s">
        <v>2417</v>
      </c>
      <c r="L811" s="133" t="s">
        <v>2417</v>
      </c>
      <c r="M811" s="133" t="s">
        <v>2417</v>
      </c>
      <c r="N811" s="133" t="s">
        <v>2417</v>
      </c>
      <c r="O811" s="133" t="s">
        <v>2417</v>
      </c>
      <c r="P811" s="133" t="s">
        <v>2417</v>
      </c>
      <c r="Q811" s="133" t="s">
        <v>2417</v>
      </c>
      <c r="R811" s="133" t="s">
        <v>2417</v>
      </c>
      <c r="S811" s="133" t="s">
        <v>2417</v>
      </c>
      <c r="T811" s="133" t="s">
        <v>2417</v>
      </c>
      <c r="U811" s="133" t="s">
        <v>2417</v>
      </c>
      <c r="V811" s="133" t="s">
        <v>2417</v>
      </c>
      <c r="W811" s="133" t="s">
        <v>2417</v>
      </c>
      <c r="X811" s="133" t="s">
        <v>2417</v>
      </c>
      <c r="Y811" s="133" t="s">
        <v>2417</v>
      </c>
      <c r="Z811" s="133" t="s">
        <v>2417</v>
      </c>
      <c r="AA811" s="133" t="s">
        <v>2417</v>
      </c>
      <c r="AB811" s="133" t="s">
        <v>2417</v>
      </c>
      <c r="AC811" s="133" t="s">
        <v>2417</v>
      </c>
      <c r="AD811" s="133" t="s">
        <v>2417</v>
      </c>
      <c r="AE811" s="123"/>
    </row>
    <row r="812" spans="1:31" ht="30.6" outlineLevel="2">
      <c r="A812" s="68" t="s">
        <v>1779</v>
      </c>
      <c r="B812" s="93" t="s">
        <v>1780</v>
      </c>
      <c r="C812" s="360" t="s">
        <v>2805</v>
      </c>
      <c r="D812" s="351"/>
      <c r="E812" s="133" t="s">
        <v>2417</v>
      </c>
      <c r="F812" s="133" t="s">
        <v>2421</v>
      </c>
      <c r="G812" s="133" t="s">
        <v>2417</v>
      </c>
      <c r="H812" s="133" t="s">
        <v>2417</v>
      </c>
      <c r="I812" s="133" t="s">
        <v>2417</v>
      </c>
      <c r="J812" s="133" t="s">
        <v>2417</v>
      </c>
      <c r="K812" s="133" t="s">
        <v>2417</v>
      </c>
      <c r="L812" s="133" t="s">
        <v>2417</v>
      </c>
      <c r="M812" s="133" t="s">
        <v>2417</v>
      </c>
      <c r="N812" s="133" t="s">
        <v>2417</v>
      </c>
      <c r="O812" s="133" t="s">
        <v>2417</v>
      </c>
      <c r="P812" s="133" t="s">
        <v>2417</v>
      </c>
      <c r="Q812" s="133" t="s">
        <v>2417</v>
      </c>
      <c r="R812" s="133" t="s">
        <v>2417</v>
      </c>
      <c r="S812" s="133" t="s">
        <v>2417</v>
      </c>
      <c r="T812" s="133" t="s">
        <v>2417</v>
      </c>
      <c r="U812" s="133" t="s">
        <v>2417</v>
      </c>
      <c r="V812" s="133" t="s">
        <v>2417</v>
      </c>
      <c r="W812" s="133" t="s">
        <v>2417</v>
      </c>
      <c r="X812" s="133" t="s">
        <v>2417</v>
      </c>
      <c r="Y812" s="133" t="s">
        <v>2417</v>
      </c>
      <c r="Z812" s="133" t="s">
        <v>2417</v>
      </c>
      <c r="AA812" s="133" t="s">
        <v>2417</v>
      </c>
      <c r="AB812" s="133" t="s">
        <v>2417</v>
      </c>
      <c r="AC812" s="133" t="s">
        <v>2806</v>
      </c>
      <c r="AD812" s="133" t="s">
        <v>2417</v>
      </c>
      <c r="AE812" s="123"/>
    </row>
    <row r="813" spans="1:31" ht="13.2" outlineLevel="1">
      <c r="A813" s="426" t="s">
        <v>1782</v>
      </c>
      <c r="B813" s="350"/>
      <c r="C813" s="350"/>
      <c r="D813" s="351"/>
      <c r="E813" s="133" t="s">
        <v>2417</v>
      </c>
      <c r="F813" s="133" t="s">
        <v>2587</v>
      </c>
      <c r="G813" s="133" t="s">
        <v>2417</v>
      </c>
      <c r="H813" s="133" t="s">
        <v>2417</v>
      </c>
      <c r="I813" s="133" t="s">
        <v>2417</v>
      </c>
      <c r="J813" s="133" t="s">
        <v>2417</v>
      </c>
      <c r="K813" s="133" t="s">
        <v>2417</v>
      </c>
      <c r="L813" s="133" t="s">
        <v>2417</v>
      </c>
      <c r="M813" s="133" t="s">
        <v>2417</v>
      </c>
      <c r="N813" s="133" t="s">
        <v>2417</v>
      </c>
      <c r="O813" s="133" t="s">
        <v>2417</v>
      </c>
      <c r="P813" s="133" t="s">
        <v>2417</v>
      </c>
      <c r="Q813" s="133" t="s">
        <v>2417</v>
      </c>
      <c r="R813" s="133" t="s">
        <v>2417</v>
      </c>
      <c r="S813" s="133" t="s">
        <v>2417</v>
      </c>
      <c r="T813" s="133" t="s">
        <v>2417</v>
      </c>
      <c r="U813" s="133" t="s">
        <v>2417</v>
      </c>
      <c r="V813" s="133" t="s">
        <v>2417</v>
      </c>
      <c r="W813" s="133" t="s">
        <v>2417</v>
      </c>
      <c r="X813" s="133" t="s">
        <v>2417</v>
      </c>
      <c r="Y813" s="133" t="s">
        <v>2417</v>
      </c>
      <c r="Z813" s="133" t="s">
        <v>2417</v>
      </c>
      <c r="AA813" s="133" t="s">
        <v>2417</v>
      </c>
      <c r="AB813" s="133" t="s">
        <v>2417</v>
      </c>
      <c r="AC813" s="133" t="s">
        <v>2417</v>
      </c>
      <c r="AD813" s="133" t="s">
        <v>2417</v>
      </c>
      <c r="AE813" s="175"/>
    </row>
    <row r="814" spans="1:31" ht="13.2" outlineLevel="2">
      <c r="A814" s="68" t="s">
        <v>363</v>
      </c>
      <c r="B814" s="64"/>
      <c r="C814" s="360" t="s">
        <v>1783</v>
      </c>
      <c r="D814" s="351"/>
      <c r="E814" s="133" t="s">
        <v>2417</v>
      </c>
      <c r="F814" s="133" t="s">
        <v>2587</v>
      </c>
      <c r="G814" s="133" t="s">
        <v>2417</v>
      </c>
      <c r="H814" s="133" t="s">
        <v>2417</v>
      </c>
      <c r="I814" s="133" t="s">
        <v>2417</v>
      </c>
      <c r="J814" s="133" t="s">
        <v>2417</v>
      </c>
      <c r="K814" s="133" t="s">
        <v>2417</v>
      </c>
      <c r="L814" s="133" t="s">
        <v>2417</v>
      </c>
      <c r="M814" s="133" t="s">
        <v>2417</v>
      </c>
      <c r="N814" s="133" t="s">
        <v>2417</v>
      </c>
      <c r="O814" s="133" t="s">
        <v>2417</v>
      </c>
      <c r="P814" s="133" t="s">
        <v>2417</v>
      </c>
      <c r="Q814" s="133" t="s">
        <v>2417</v>
      </c>
      <c r="R814" s="133" t="s">
        <v>2417</v>
      </c>
      <c r="S814" s="133" t="s">
        <v>2417</v>
      </c>
      <c r="T814" s="133" t="s">
        <v>2417</v>
      </c>
      <c r="U814" s="133" t="s">
        <v>2417</v>
      </c>
      <c r="V814" s="133" t="s">
        <v>2417</v>
      </c>
      <c r="W814" s="133" t="s">
        <v>2417</v>
      </c>
      <c r="X814" s="133" t="s">
        <v>2417</v>
      </c>
      <c r="Y814" s="133" t="s">
        <v>2417</v>
      </c>
      <c r="Z814" s="133" t="s">
        <v>2417</v>
      </c>
      <c r="AA814" s="133" t="s">
        <v>2417</v>
      </c>
      <c r="AB814" s="133" t="s">
        <v>2417</v>
      </c>
      <c r="AC814" s="133" t="s">
        <v>2417</v>
      </c>
      <c r="AD814" s="133" t="s">
        <v>2417</v>
      </c>
      <c r="AE814" s="123"/>
    </row>
    <row r="815" spans="1:31" ht="20.399999999999999" outlineLevel="2">
      <c r="A815" s="68" t="s">
        <v>1784</v>
      </c>
      <c r="B815" s="64" t="s">
        <v>1785</v>
      </c>
      <c r="C815" s="360" t="s">
        <v>1786</v>
      </c>
      <c r="D815" s="351"/>
      <c r="E815" s="133" t="s">
        <v>2417</v>
      </c>
      <c r="F815" s="133" t="s">
        <v>2587</v>
      </c>
      <c r="G815" s="133" t="s">
        <v>2417</v>
      </c>
      <c r="H815" s="133" t="s">
        <v>2417</v>
      </c>
      <c r="I815" s="133" t="s">
        <v>2417</v>
      </c>
      <c r="J815" s="133" t="s">
        <v>2417</v>
      </c>
      <c r="K815" s="133" t="s">
        <v>2417</v>
      </c>
      <c r="L815" s="133" t="s">
        <v>2417</v>
      </c>
      <c r="M815" s="133" t="s">
        <v>2417</v>
      </c>
      <c r="N815" s="133" t="s">
        <v>2417</v>
      </c>
      <c r="O815" s="133" t="s">
        <v>2417</v>
      </c>
      <c r="P815" s="133" t="s">
        <v>2417</v>
      </c>
      <c r="Q815" s="133" t="s">
        <v>2417</v>
      </c>
      <c r="R815" s="133" t="s">
        <v>2417</v>
      </c>
      <c r="S815" s="133" t="s">
        <v>2417</v>
      </c>
      <c r="T815" s="133" t="s">
        <v>2417</v>
      </c>
      <c r="U815" s="133" t="s">
        <v>2417</v>
      </c>
      <c r="V815" s="133" t="s">
        <v>2417</v>
      </c>
      <c r="W815" s="133" t="s">
        <v>2417</v>
      </c>
      <c r="X815" s="133" t="s">
        <v>2417</v>
      </c>
      <c r="Y815" s="133" t="s">
        <v>2417</v>
      </c>
      <c r="Z815" s="133" t="s">
        <v>2417</v>
      </c>
      <c r="AA815" s="133" t="s">
        <v>2417</v>
      </c>
      <c r="AB815" s="133" t="s">
        <v>2417</v>
      </c>
      <c r="AC815" s="133" t="s">
        <v>2417</v>
      </c>
      <c r="AD815" s="133" t="s">
        <v>2417</v>
      </c>
      <c r="AE815" s="123"/>
    </row>
    <row r="816" spans="1:31" ht="20.399999999999999" outlineLevel="2">
      <c r="A816" s="68" t="s">
        <v>1787</v>
      </c>
      <c r="B816" s="62" t="s">
        <v>1774</v>
      </c>
      <c r="C816" s="360" t="s">
        <v>1775</v>
      </c>
      <c r="D816" s="351"/>
      <c r="E816" s="133" t="s">
        <v>2417</v>
      </c>
      <c r="F816" s="133" t="s">
        <v>2587</v>
      </c>
      <c r="G816" s="133" t="s">
        <v>2417</v>
      </c>
      <c r="H816" s="133" t="s">
        <v>2417</v>
      </c>
      <c r="I816" s="133" t="s">
        <v>2417</v>
      </c>
      <c r="J816" s="133" t="s">
        <v>2417</v>
      </c>
      <c r="K816" s="133" t="s">
        <v>2417</v>
      </c>
      <c r="L816" s="133" t="s">
        <v>2417</v>
      </c>
      <c r="M816" s="133" t="s">
        <v>2417</v>
      </c>
      <c r="N816" s="133" t="s">
        <v>2417</v>
      </c>
      <c r="O816" s="133" t="s">
        <v>2417</v>
      </c>
      <c r="P816" s="133" t="s">
        <v>2417</v>
      </c>
      <c r="Q816" s="133" t="s">
        <v>2417</v>
      </c>
      <c r="R816" s="133" t="s">
        <v>2417</v>
      </c>
      <c r="S816" s="133" t="s">
        <v>2417</v>
      </c>
      <c r="T816" s="133" t="s">
        <v>2417</v>
      </c>
      <c r="U816" s="133" t="s">
        <v>2417</v>
      </c>
      <c r="V816" s="133" t="s">
        <v>2417</v>
      </c>
      <c r="W816" s="133" t="s">
        <v>2417</v>
      </c>
      <c r="X816" s="133" t="s">
        <v>2417</v>
      </c>
      <c r="Y816" s="133" t="s">
        <v>2417</v>
      </c>
      <c r="Z816" s="133" t="s">
        <v>2417</v>
      </c>
      <c r="AA816" s="133" t="s">
        <v>2417</v>
      </c>
      <c r="AB816" s="133" t="s">
        <v>2799</v>
      </c>
      <c r="AC816" s="133" t="s">
        <v>2417</v>
      </c>
      <c r="AD816" s="133" t="s">
        <v>2417</v>
      </c>
      <c r="AE816" s="123"/>
    </row>
    <row r="817" spans="1:31" ht="20.399999999999999" hidden="1" outlineLevel="2">
      <c r="A817" s="68" t="s">
        <v>1787</v>
      </c>
      <c r="B817" s="93" t="s">
        <v>2807</v>
      </c>
      <c r="C817" s="360" t="s">
        <v>2804</v>
      </c>
      <c r="D817" s="351"/>
      <c r="E817" s="133" t="s">
        <v>2417</v>
      </c>
      <c r="F817" s="133" t="s">
        <v>2587</v>
      </c>
      <c r="G817" s="133" t="s">
        <v>2417</v>
      </c>
      <c r="H817" s="133" t="s">
        <v>2417</v>
      </c>
      <c r="I817" s="133" t="s">
        <v>2417</v>
      </c>
      <c r="J817" s="133" t="s">
        <v>2417</v>
      </c>
      <c r="K817" s="133" t="s">
        <v>2417</v>
      </c>
      <c r="L817" s="133" t="s">
        <v>2417</v>
      </c>
      <c r="M817" s="133" t="s">
        <v>2417</v>
      </c>
      <c r="N817" s="133" t="s">
        <v>2417</v>
      </c>
      <c r="O817" s="133" t="s">
        <v>2417</v>
      </c>
      <c r="P817" s="133" t="s">
        <v>2417</v>
      </c>
      <c r="Q817" s="133" t="s">
        <v>2417</v>
      </c>
      <c r="R817" s="133" t="s">
        <v>2417</v>
      </c>
      <c r="S817" s="133" t="s">
        <v>2417</v>
      </c>
      <c r="T817" s="133" t="s">
        <v>2417</v>
      </c>
      <c r="U817" s="133" t="s">
        <v>2417</v>
      </c>
      <c r="V817" s="133" t="s">
        <v>2417</v>
      </c>
      <c r="W817" s="133" t="s">
        <v>2417</v>
      </c>
      <c r="X817" s="133" t="s">
        <v>2417</v>
      </c>
      <c r="Y817" s="133" t="s">
        <v>2417</v>
      </c>
      <c r="Z817" s="133" t="s">
        <v>2417</v>
      </c>
      <c r="AA817" s="133" t="s">
        <v>2417</v>
      </c>
      <c r="AB817" s="133" t="s">
        <v>2802</v>
      </c>
      <c r="AC817" s="133" t="s">
        <v>2417</v>
      </c>
      <c r="AD817" s="133" t="s">
        <v>2417</v>
      </c>
      <c r="AE817" s="123"/>
    </row>
    <row r="818" spans="1:31" ht="13.2" outlineLevel="2">
      <c r="A818" s="68" t="s">
        <v>1788</v>
      </c>
      <c r="B818" s="62" t="s">
        <v>1789</v>
      </c>
      <c r="C818" s="360" t="s">
        <v>1790</v>
      </c>
      <c r="D818" s="351"/>
      <c r="E818" s="133" t="s">
        <v>2417</v>
      </c>
      <c r="F818" s="133" t="s">
        <v>2587</v>
      </c>
      <c r="G818" s="133" t="s">
        <v>2417</v>
      </c>
      <c r="H818" s="133" t="s">
        <v>2417</v>
      </c>
      <c r="I818" s="133" t="s">
        <v>2417</v>
      </c>
      <c r="J818" s="133" t="s">
        <v>2417</v>
      </c>
      <c r="K818" s="133" t="s">
        <v>2417</v>
      </c>
      <c r="L818" s="133" t="s">
        <v>2417</v>
      </c>
      <c r="M818" s="133" t="s">
        <v>2417</v>
      </c>
      <c r="N818" s="133" t="s">
        <v>2417</v>
      </c>
      <c r="O818" s="133" t="s">
        <v>2417</v>
      </c>
      <c r="P818" s="133" t="s">
        <v>2417</v>
      </c>
      <c r="Q818" s="133" t="s">
        <v>2417</v>
      </c>
      <c r="R818" s="133" t="s">
        <v>2417</v>
      </c>
      <c r="S818" s="133" t="s">
        <v>2417</v>
      </c>
      <c r="T818" s="133" t="s">
        <v>2417</v>
      </c>
      <c r="U818" s="133" t="s">
        <v>2417</v>
      </c>
      <c r="V818" s="133" t="s">
        <v>2417</v>
      </c>
      <c r="W818" s="133" t="s">
        <v>2417</v>
      </c>
      <c r="X818" s="133" t="s">
        <v>2417</v>
      </c>
      <c r="Y818" s="133" t="s">
        <v>2417</v>
      </c>
      <c r="Z818" s="133" t="s">
        <v>2417</v>
      </c>
      <c r="AA818" s="133" t="s">
        <v>2417</v>
      </c>
      <c r="AB818" s="133" t="s">
        <v>2417</v>
      </c>
      <c r="AC818" s="133" t="s">
        <v>2417</v>
      </c>
      <c r="AD818" s="133" t="s">
        <v>2417</v>
      </c>
      <c r="AE818" s="123"/>
    </row>
    <row r="819" spans="1:31" ht="30.6" outlineLevel="2">
      <c r="A819" s="68" t="s">
        <v>1791</v>
      </c>
      <c r="B819" s="64" t="s">
        <v>1792</v>
      </c>
      <c r="C819" s="360" t="s">
        <v>2808</v>
      </c>
      <c r="D819" s="351"/>
      <c r="E819" s="133" t="s">
        <v>2417</v>
      </c>
      <c r="F819" s="133" t="s">
        <v>2587</v>
      </c>
      <c r="G819" s="133" t="s">
        <v>2417</v>
      </c>
      <c r="H819" s="133" t="s">
        <v>2417</v>
      </c>
      <c r="I819" s="133" t="s">
        <v>2417</v>
      </c>
      <c r="J819" s="133" t="s">
        <v>2417</v>
      </c>
      <c r="K819" s="133" t="s">
        <v>2417</v>
      </c>
      <c r="L819" s="133" t="s">
        <v>2417</v>
      </c>
      <c r="M819" s="133" t="s">
        <v>2417</v>
      </c>
      <c r="N819" s="133" t="s">
        <v>2417</v>
      </c>
      <c r="O819" s="133" t="s">
        <v>2417</v>
      </c>
      <c r="P819" s="133" t="s">
        <v>2417</v>
      </c>
      <c r="Q819" s="133" t="s">
        <v>2417</v>
      </c>
      <c r="R819" s="133" t="s">
        <v>2417</v>
      </c>
      <c r="S819" s="133" t="s">
        <v>2417</v>
      </c>
      <c r="T819" s="133" t="s">
        <v>2417</v>
      </c>
      <c r="U819" s="133" t="s">
        <v>2417</v>
      </c>
      <c r="V819" s="133" t="s">
        <v>2417</v>
      </c>
      <c r="W819" s="133" t="s">
        <v>2417</v>
      </c>
      <c r="X819" s="133" t="s">
        <v>2417</v>
      </c>
      <c r="Y819" s="133" t="s">
        <v>2417</v>
      </c>
      <c r="Z819" s="133" t="s">
        <v>2417</v>
      </c>
      <c r="AA819" s="133" t="s">
        <v>2417</v>
      </c>
      <c r="AB819" s="133" t="s">
        <v>2417</v>
      </c>
      <c r="AC819" s="133" t="s">
        <v>2806</v>
      </c>
      <c r="AD819" s="133" t="s">
        <v>2417</v>
      </c>
      <c r="AE819" s="123"/>
    </row>
    <row r="820" spans="1:31" ht="20.399999999999999" outlineLevel="1">
      <c r="A820" s="426" t="s">
        <v>1794</v>
      </c>
      <c r="B820" s="350"/>
      <c r="C820" s="350"/>
      <c r="D820" s="351"/>
      <c r="E820" s="133" t="s">
        <v>2417</v>
      </c>
      <c r="F820" s="133" t="s">
        <v>592</v>
      </c>
      <c r="G820" s="133" t="s">
        <v>2417</v>
      </c>
      <c r="H820" s="133" t="s">
        <v>2417</v>
      </c>
      <c r="I820" s="133" t="s">
        <v>2417</v>
      </c>
      <c r="J820" s="133" t="s">
        <v>2417</v>
      </c>
      <c r="K820" s="133" t="s">
        <v>2417</v>
      </c>
      <c r="L820" s="133" t="s">
        <v>2417</v>
      </c>
      <c r="M820" s="133" t="s">
        <v>2417</v>
      </c>
      <c r="N820" s="133" t="s">
        <v>2417</v>
      </c>
      <c r="O820" s="133" t="s">
        <v>2417</v>
      </c>
      <c r="P820" s="133" t="s">
        <v>2417</v>
      </c>
      <c r="Q820" s="133" t="s">
        <v>2417</v>
      </c>
      <c r="R820" s="133" t="s">
        <v>2417</v>
      </c>
      <c r="S820" s="133" t="s">
        <v>2417</v>
      </c>
      <c r="T820" s="133" t="s">
        <v>2417</v>
      </c>
      <c r="U820" s="133" t="s">
        <v>2417</v>
      </c>
      <c r="V820" s="133" t="s">
        <v>2417</v>
      </c>
      <c r="W820" s="133" t="s">
        <v>2417</v>
      </c>
      <c r="X820" s="133" t="s">
        <v>2417</v>
      </c>
      <c r="Y820" s="133" t="s">
        <v>2417</v>
      </c>
      <c r="Z820" s="133" t="s">
        <v>2417</v>
      </c>
      <c r="AA820" s="133" t="s">
        <v>2417</v>
      </c>
      <c r="AB820" s="133" t="s">
        <v>2417</v>
      </c>
      <c r="AC820" s="133" t="s">
        <v>2417</v>
      </c>
      <c r="AD820" s="133" t="s">
        <v>2417</v>
      </c>
      <c r="AE820" s="175"/>
    </row>
    <row r="821" spans="1:31" ht="20.399999999999999" outlineLevel="2">
      <c r="A821" s="68" t="s">
        <v>365</v>
      </c>
      <c r="B821" s="64"/>
      <c r="C821" s="360" t="s">
        <v>1795</v>
      </c>
      <c r="D821" s="351"/>
      <c r="E821" s="133" t="s">
        <v>2417</v>
      </c>
      <c r="F821" s="133" t="s">
        <v>592</v>
      </c>
      <c r="G821" s="133" t="s">
        <v>2417</v>
      </c>
      <c r="H821" s="133" t="s">
        <v>2417</v>
      </c>
      <c r="I821" s="133" t="s">
        <v>2417</v>
      </c>
      <c r="J821" s="133" t="s">
        <v>2417</v>
      </c>
      <c r="K821" s="133" t="s">
        <v>2417</v>
      </c>
      <c r="L821" s="133" t="s">
        <v>2417</v>
      </c>
      <c r="M821" s="133" t="s">
        <v>2417</v>
      </c>
      <c r="N821" s="133" t="s">
        <v>2417</v>
      </c>
      <c r="O821" s="133" t="s">
        <v>2417</v>
      </c>
      <c r="P821" s="133" t="s">
        <v>2417</v>
      </c>
      <c r="Q821" s="133" t="s">
        <v>2417</v>
      </c>
      <c r="R821" s="133" t="s">
        <v>2417</v>
      </c>
      <c r="S821" s="133" t="s">
        <v>2417</v>
      </c>
      <c r="T821" s="133" t="s">
        <v>2417</v>
      </c>
      <c r="U821" s="133" t="s">
        <v>2417</v>
      </c>
      <c r="V821" s="133" t="s">
        <v>2417</v>
      </c>
      <c r="W821" s="133" t="s">
        <v>2417</v>
      </c>
      <c r="X821" s="133" t="s">
        <v>2417</v>
      </c>
      <c r="Y821" s="133" t="s">
        <v>2417</v>
      </c>
      <c r="Z821" s="133" t="s">
        <v>2417</v>
      </c>
      <c r="AA821" s="133" t="s">
        <v>2417</v>
      </c>
      <c r="AB821" s="133" t="s">
        <v>2417</v>
      </c>
      <c r="AC821" s="133" t="s">
        <v>2417</v>
      </c>
      <c r="AD821" s="133" t="s">
        <v>2417</v>
      </c>
      <c r="AE821" s="123"/>
    </row>
    <row r="822" spans="1:31" ht="20.399999999999999" outlineLevel="2">
      <c r="A822" s="68" t="s">
        <v>1796</v>
      </c>
      <c r="B822" s="65" t="s">
        <v>1797</v>
      </c>
      <c r="C822" s="360" t="s">
        <v>1798</v>
      </c>
      <c r="D822" s="351"/>
      <c r="E822" s="133" t="s">
        <v>2417</v>
      </c>
      <c r="F822" s="133" t="s">
        <v>592</v>
      </c>
      <c r="G822" s="133" t="s">
        <v>2417</v>
      </c>
      <c r="H822" s="133" t="s">
        <v>2417</v>
      </c>
      <c r="I822" s="133" t="s">
        <v>2417</v>
      </c>
      <c r="J822" s="133" t="s">
        <v>2417</v>
      </c>
      <c r="K822" s="133" t="s">
        <v>2417</v>
      </c>
      <c r="L822" s="133" t="s">
        <v>2417</v>
      </c>
      <c r="M822" s="133" t="s">
        <v>2417</v>
      </c>
      <c r="N822" s="133" t="s">
        <v>2417</v>
      </c>
      <c r="O822" s="133" t="s">
        <v>2417</v>
      </c>
      <c r="P822" s="133" t="s">
        <v>2417</v>
      </c>
      <c r="Q822" s="133" t="s">
        <v>2417</v>
      </c>
      <c r="R822" s="133" t="s">
        <v>2417</v>
      </c>
      <c r="S822" s="133" t="s">
        <v>2417</v>
      </c>
      <c r="T822" s="133" t="s">
        <v>2417</v>
      </c>
      <c r="U822" s="133" t="s">
        <v>2417</v>
      </c>
      <c r="V822" s="133" t="s">
        <v>2417</v>
      </c>
      <c r="W822" s="133" t="s">
        <v>2417</v>
      </c>
      <c r="X822" s="133" t="s">
        <v>2417</v>
      </c>
      <c r="Y822" s="133" t="s">
        <v>2417</v>
      </c>
      <c r="Z822" s="133" t="s">
        <v>2417</v>
      </c>
      <c r="AA822" s="133" t="s">
        <v>2417</v>
      </c>
      <c r="AB822" s="133" t="s">
        <v>2417</v>
      </c>
      <c r="AC822" s="133" t="s">
        <v>2417</v>
      </c>
      <c r="AD822" s="133" t="s">
        <v>2417</v>
      </c>
      <c r="AE822" s="123"/>
    </row>
    <row r="823" spans="1:31" ht="20.399999999999999" outlineLevel="2">
      <c r="A823" s="68" t="s">
        <v>1799</v>
      </c>
      <c r="B823" s="62" t="s">
        <v>1774</v>
      </c>
      <c r="C823" s="360" t="s">
        <v>1800</v>
      </c>
      <c r="D823" s="351"/>
      <c r="E823" s="133" t="s">
        <v>2417</v>
      </c>
      <c r="F823" s="133" t="s">
        <v>592</v>
      </c>
      <c r="G823" s="133" t="s">
        <v>2417</v>
      </c>
      <c r="H823" s="133" t="s">
        <v>2417</v>
      </c>
      <c r="I823" s="133" t="s">
        <v>2417</v>
      </c>
      <c r="J823" s="133" t="s">
        <v>2417</v>
      </c>
      <c r="K823" s="133" t="s">
        <v>2417</v>
      </c>
      <c r="L823" s="133" t="s">
        <v>2417</v>
      </c>
      <c r="M823" s="133" t="s">
        <v>2417</v>
      </c>
      <c r="N823" s="133" t="s">
        <v>2417</v>
      </c>
      <c r="O823" s="133" t="s">
        <v>2417</v>
      </c>
      <c r="P823" s="133" t="s">
        <v>2417</v>
      </c>
      <c r="Q823" s="133" t="s">
        <v>2417</v>
      </c>
      <c r="R823" s="133" t="s">
        <v>2417</v>
      </c>
      <c r="S823" s="133" t="s">
        <v>2417</v>
      </c>
      <c r="T823" s="133" t="s">
        <v>2417</v>
      </c>
      <c r="U823" s="133" t="s">
        <v>2417</v>
      </c>
      <c r="V823" s="133" t="s">
        <v>2417</v>
      </c>
      <c r="W823" s="133" t="s">
        <v>2417</v>
      </c>
      <c r="X823" s="133" t="s">
        <v>2417</v>
      </c>
      <c r="Y823" s="133" t="s">
        <v>2417</v>
      </c>
      <c r="Z823" s="133" t="s">
        <v>2417</v>
      </c>
      <c r="AA823" s="133" t="s">
        <v>2417</v>
      </c>
      <c r="AB823" s="133" t="s">
        <v>2799</v>
      </c>
      <c r="AC823" s="133" t="s">
        <v>2417</v>
      </c>
      <c r="AD823" s="133" t="s">
        <v>2417</v>
      </c>
      <c r="AE823" s="123"/>
    </row>
    <row r="824" spans="1:31" ht="20.399999999999999" hidden="1" outlineLevel="2">
      <c r="A824" s="68" t="s">
        <v>1799</v>
      </c>
      <c r="B824" s="93" t="s">
        <v>2809</v>
      </c>
      <c r="C824" s="360" t="s">
        <v>2804</v>
      </c>
      <c r="D824" s="351"/>
      <c r="E824" s="133" t="s">
        <v>2417</v>
      </c>
      <c r="F824" s="133" t="s">
        <v>592</v>
      </c>
      <c r="G824" s="133" t="s">
        <v>2417</v>
      </c>
      <c r="H824" s="133" t="s">
        <v>2417</v>
      </c>
      <c r="I824" s="133" t="s">
        <v>2417</v>
      </c>
      <c r="J824" s="133" t="s">
        <v>2417</v>
      </c>
      <c r="K824" s="133" t="s">
        <v>2417</v>
      </c>
      <c r="L824" s="133" t="s">
        <v>2417</v>
      </c>
      <c r="M824" s="133" t="s">
        <v>2417</v>
      </c>
      <c r="N824" s="133" t="s">
        <v>2417</v>
      </c>
      <c r="O824" s="133" t="s">
        <v>2417</v>
      </c>
      <c r="P824" s="133" t="s">
        <v>2417</v>
      </c>
      <c r="Q824" s="133" t="s">
        <v>2417</v>
      </c>
      <c r="R824" s="133" t="s">
        <v>2417</v>
      </c>
      <c r="S824" s="133" t="s">
        <v>2417</v>
      </c>
      <c r="T824" s="133" t="s">
        <v>2417</v>
      </c>
      <c r="U824" s="133" t="s">
        <v>2417</v>
      </c>
      <c r="V824" s="133" t="s">
        <v>2417</v>
      </c>
      <c r="W824" s="133" t="s">
        <v>2417</v>
      </c>
      <c r="X824" s="133" t="s">
        <v>2417</v>
      </c>
      <c r="Y824" s="133" t="s">
        <v>2417</v>
      </c>
      <c r="Z824" s="133" t="s">
        <v>2417</v>
      </c>
      <c r="AA824" s="133" t="s">
        <v>2417</v>
      </c>
      <c r="AB824" s="133" t="s">
        <v>2802</v>
      </c>
      <c r="AC824" s="133" t="s">
        <v>2417</v>
      </c>
      <c r="AD824" s="133" t="s">
        <v>2417</v>
      </c>
      <c r="AE824" s="123"/>
    </row>
    <row r="825" spans="1:31" ht="20.399999999999999" outlineLevel="2">
      <c r="A825" s="68" t="s">
        <v>1801</v>
      </c>
      <c r="B825" s="62" t="s">
        <v>1789</v>
      </c>
      <c r="C825" s="360" t="s">
        <v>1802</v>
      </c>
      <c r="D825" s="351"/>
      <c r="E825" s="133" t="s">
        <v>2417</v>
      </c>
      <c r="F825" s="133" t="s">
        <v>592</v>
      </c>
      <c r="G825" s="133" t="s">
        <v>2417</v>
      </c>
      <c r="H825" s="133" t="s">
        <v>2417</v>
      </c>
      <c r="I825" s="133" t="s">
        <v>2417</v>
      </c>
      <c r="J825" s="133" t="s">
        <v>2417</v>
      </c>
      <c r="K825" s="133" t="s">
        <v>2417</v>
      </c>
      <c r="L825" s="133" t="s">
        <v>2417</v>
      </c>
      <c r="M825" s="133" t="s">
        <v>2417</v>
      </c>
      <c r="N825" s="133" t="s">
        <v>2417</v>
      </c>
      <c r="O825" s="133" t="s">
        <v>2417</v>
      </c>
      <c r="P825" s="133" t="s">
        <v>2417</v>
      </c>
      <c r="Q825" s="133" t="s">
        <v>2417</v>
      </c>
      <c r="R825" s="133" t="s">
        <v>2417</v>
      </c>
      <c r="S825" s="133" t="s">
        <v>2417</v>
      </c>
      <c r="T825" s="133" t="s">
        <v>2417</v>
      </c>
      <c r="U825" s="133" t="s">
        <v>2417</v>
      </c>
      <c r="V825" s="133" t="s">
        <v>2417</v>
      </c>
      <c r="W825" s="133" t="s">
        <v>2417</v>
      </c>
      <c r="X825" s="133" t="s">
        <v>2417</v>
      </c>
      <c r="Y825" s="133" t="s">
        <v>2417</v>
      </c>
      <c r="Z825" s="133" t="s">
        <v>2417</v>
      </c>
      <c r="AA825" s="133" t="s">
        <v>2417</v>
      </c>
      <c r="AB825" s="133" t="s">
        <v>2417</v>
      </c>
      <c r="AC825" s="133" t="s">
        <v>2417</v>
      </c>
      <c r="AD825" s="133" t="s">
        <v>2417</v>
      </c>
      <c r="AE825" s="123"/>
    </row>
    <row r="826" spans="1:31" ht="13.2" outlineLevel="1">
      <c r="A826" s="426" t="s">
        <v>1803</v>
      </c>
      <c r="B826" s="350"/>
      <c r="C826" s="350"/>
      <c r="D826" s="351"/>
      <c r="E826" s="133" t="s">
        <v>2417</v>
      </c>
      <c r="F826" s="133" t="s">
        <v>2396</v>
      </c>
      <c r="G826" s="133" t="s">
        <v>2417</v>
      </c>
      <c r="H826" s="133" t="s">
        <v>2417</v>
      </c>
      <c r="I826" s="133" t="s">
        <v>2417</v>
      </c>
      <c r="J826" s="133" t="s">
        <v>2417</v>
      </c>
      <c r="K826" s="133" t="s">
        <v>2417</v>
      </c>
      <c r="L826" s="133" t="s">
        <v>2417</v>
      </c>
      <c r="M826" s="133" t="s">
        <v>2417</v>
      </c>
      <c r="N826" s="133" t="s">
        <v>2417</v>
      </c>
      <c r="O826" s="133" t="s">
        <v>2417</v>
      </c>
      <c r="P826" s="133" t="s">
        <v>2417</v>
      </c>
      <c r="Q826" s="133" t="s">
        <v>2417</v>
      </c>
      <c r="R826" s="133" t="s">
        <v>2417</v>
      </c>
      <c r="S826" s="133" t="s">
        <v>2417</v>
      </c>
      <c r="T826" s="133" t="s">
        <v>2417</v>
      </c>
      <c r="U826" s="133" t="s">
        <v>2417</v>
      </c>
      <c r="V826" s="133" t="s">
        <v>2417</v>
      </c>
      <c r="W826" s="133" t="s">
        <v>2417</v>
      </c>
      <c r="X826" s="133" t="s">
        <v>2417</v>
      </c>
      <c r="Y826" s="133" t="s">
        <v>2417</v>
      </c>
      <c r="Z826" s="133" t="s">
        <v>2417</v>
      </c>
      <c r="AA826" s="133" t="s">
        <v>2417</v>
      </c>
      <c r="AB826" s="133" t="s">
        <v>2417</v>
      </c>
      <c r="AC826" s="133" t="s">
        <v>2417</v>
      </c>
      <c r="AD826" s="133" t="s">
        <v>2417</v>
      </c>
      <c r="AE826" s="175"/>
    </row>
    <row r="827" spans="1:31" ht="13.2" outlineLevel="2">
      <c r="A827" s="68" t="s">
        <v>367</v>
      </c>
      <c r="B827" s="64"/>
      <c r="C827" s="360" t="s">
        <v>2810</v>
      </c>
      <c r="D827" s="351"/>
      <c r="E827" s="133" t="s">
        <v>2417</v>
      </c>
      <c r="F827" s="133" t="s">
        <v>2396</v>
      </c>
      <c r="G827" s="133" t="s">
        <v>2417</v>
      </c>
      <c r="H827" s="133" t="s">
        <v>2417</v>
      </c>
      <c r="I827" s="133" t="s">
        <v>2417</v>
      </c>
      <c r="J827" s="133" t="s">
        <v>2417</v>
      </c>
      <c r="K827" s="133" t="s">
        <v>2417</v>
      </c>
      <c r="L827" s="133" t="s">
        <v>2417</v>
      </c>
      <c r="M827" s="133" t="s">
        <v>2417</v>
      </c>
      <c r="N827" s="133" t="s">
        <v>2417</v>
      </c>
      <c r="O827" s="133" t="s">
        <v>2417</v>
      </c>
      <c r="P827" s="133" t="s">
        <v>2417</v>
      </c>
      <c r="Q827" s="133" t="s">
        <v>2417</v>
      </c>
      <c r="R827" s="133" t="s">
        <v>2417</v>
      </c>
      <c r="S827" s="133" t="s">
        <v>2417</v>
      </c>
      <c r="T827" s="133" t="s">
        <v>2417</v>
      </c>
      <c r="U827" s="133" t="s">
        <v>2417</v>
      </c>
      <c r="V827" s="133" t="s">
        <v>2417</v>
      </c>
      <c r="W827" s="133" t="s">
        <v>2417</v>
      </c>
      <c r="X827" s="133" t="s">
        <v>2417</v>
      </c>
      <c r="Y827" s="133" t="s">
        <v>2417</v>
      </c>
      <c r="Z827" s="133" t="s">
        <v>2417</v>
      </c>
      <c r="AA827" s="133" t="s">
        <v>2417</v>
      </c>
      <c r="AB827" s="133" t="s">
        <v>2417</v>
      </c>
      <c r="AC827" s="133" t="s">
        <v>2417</v>
      </c>
      <c r="AD827" s="133" t="s">
        <v>2417</v>
      </c>
      <c r="AE827" s="123"/>
    </row>
    <row r="828" spans="1:31" ht="13.2" outlineLevel="2">
      <c r="A828" s="68" t="s">
        <v>1805</v>
      </c>
      <c r="B828" s="65" t="s">
        <v>1806</v>
      </c>
      <c r="C828" s="360" t="s">
        <v>1807</v>
      </c>
      <c r="D828" s="351"/>
      <c r="E828" s="133" t="s">
        <v>2417</v>
      </c>
      <c r="F828" s="133" t="s">
        <v>2396</v>
      </c>
      <c r="G828" s="133" t="s">
        <v>2417</v>
      </c>
      <c r="H828" s="133" t="s">
        <v>2417</v>
      </c>
      <c r="I828" s="133" t="s">
        <v>2417</v>
      </c>
      <c r="J828" s="133" t="s">
        <v>2417</v>
      </c>
      <c r="K828" s="133" t="s">
        <v>2417</v>
      </c>
      <c r="L828" s="133" t="s">
        <v>2417</v>
      </c>
      <c r="M828" s="133" t="s">
        <v>2417</v>
      </c>
      <c r="N828" s="133" t="s">
        <v>2417</v>
      </c>
      <c r="O828" s="133" t="s">
        <v>2417</v>
      </c>
      <c r="P828" s="133" t="s">
        <v>2417</v>
      </c>
      <c r="Q828" s="133" t="s">
        <v>2417</v>
      </c>
      <c r="R828" s="133" t="s">
        <v>2417</v>
      </c>
      <c r="S828" s="133" t="s">
        <v>2417</v>
      </c>
      <c r="T828" s="133" t="s">
        <v>2417</v>
      </c>
      <c r="U828" s="133" t="s">
        <v>2417</v>
      </c>
      <c r="V828" s="133" t="s">
        <v>2417</v>
      </c>
      <c r="W828" s="133" t="s">
        <v>2417</v>
      </c>
      <c r="X828" s="133" t="s">
        <v>2417</v>
      </c>
      <c r="Y828" s="133" t="s">
        <v>2417</v>
      </c>
      <c r="Z828" s="133" t="s">
        <v>2417</v>
      </c>
      <c r="AA828" s="133" t="s">
        <v>2417</v>
      </c>
      <c r="AB828" s="133" t="s">
        <v>2417</v>
      </c>
      <c r="AC828" s="133" t="s">
        <v>2417</v>
      </c>
      <c r="AD828" s="133" t="s">
        <v>2417</v>
      </c>
      <c r="AE828" s="123"/>
    </row>
    <row r="829" spans="1:31" ht="20.399999999999999" outlineLevel="2">
      <c r="A829" s="68" t="s">
        <v>1808</v>
      </c>
      <c r="B829" s="64" t="s">
        <v>1809</v>
      </c>
      <c r="C829" s="360" t="s">
        <v>1810</v>
      </c>
      <c r="D829" s="351"/>
      <c r="E829" s="133" t="s">
        <v>2417</v>
      </c>
      <c r="F829" s="133" t="s">
        <v>2396</v>
      </c>
      <c r="G829" s="133" t="s">
        <v>2417</v>
      </c>
      <c r="H829" s="133" t="s">
        <v>2417</v>
      </c>
      <c r="I829" s="133" t="s">
        <v>2417</v>
      </c>
      <c r="J829" s="133" t="s">
        <v>2417</v>
      </c>
      <c r="K829" s="133" t="s">
        <v>2417</v>
      </c>
      <c r="L829" s="133" t="s">
        <v>2417</v>
      </c>
      <c r="M829" s="133" t="s">
        <v>2417</v>
      </c>
      <c r="N829" s="133" t="s">
        <v>2417</v>
      </c>
      <c r="O829" s="133" t="s">
        <v>2417</v>
      </c>
      <c r="P829" s="133" t="s">
        <v>2417</v>
      </c>
      <c r="Q829" s="133" t="s">
        <v>2417</v>
      </c>
      <c r="R829" s="133" t="s">
        <v>2417</v>
      </c>
      <c r="S829" s="133" t="s">
        <v>2417</v>
      </c>
      <c r="T829" s="133" t="s">
        <v>2417</v>
      </c>
      <c r="U829" s="133" t="s">
        <v>2417</v>
      </c>
      <c r="V829" s="133" t="s">
        <v>2417</v>
      </c>
      <c r="W829" s="133" t="s">
        <v>2417</v>
      </c>
      <c r="X829" s="133" t="s">
        <v>2417</v>
      </c>
      <c r="Y829" s="133" t="s">
        <v>2417</v>
      </c>
      <c r="Z829" s="133" t="s">
        <v>2417</v>
      </c>
      <c r="AA829" s="133" t="s">
        <v>2417</v>
      </c>
      <c r="AB829" s="133" t="s">
        <v>2417</v>
      </c>
      <c r="AC829" s="133" t="s">
        <v>2417</v>
      </c>
      <c r="AD829" s="133" t="s">
        <v>2417</v>
      </c>
      <c r="AE829" s="123"/>
    </row>
    <row r="830" spans="1:31" ht="13.2" outlineLevel="2">
      <c r="A830" s="68" t="s">
        <v>1811</v>
      </c>
      <c r="B830" s="64" t="s">
        <v>1812</v>
      </c>
      <c r="C830" s="360" t="s">
        <v>1813</v>
      </c>
      <c r="D830" s="351"/>
      <c r="E830" s="133" t="s">
        <v>2417</v>
      </c>
      <c r="F830" s="133" t="s">
        <v>2396</v>
      </c>
      <c r="G830" s="133" t="s">
        <v>2417</v>
      </c>
      <c r="H830" s="133" t="s">
        <v>2417</v>
      </c>
      <c r="I830" s="133" t="s">
        <v>2417</v>
      </c>
      <c r="J830" s="133" t="s">
        <v>2417</v>
      </c>
      <c r="K830" s="133" t="s">
        <v>2417</v>
      </c>
      <c r="L830" s="133" t="s">
        <v>2417</v>
      </c>
      <c r="M830" s="133" t="s">
        <v>2417</v>
      </c>
      <c r="N830" s="133" t="s">
        <v>2417</v>
      </c>
      <c r="O830" s="133" t="s">
        <v>2417</v>
      </c>
      <c r="P830" s="133" t="s">
        <v>2417</v>
      </c>
      <c r="Q830" s="133" t="s">
        <v>2417</v>
      </c>
      <c r="R830" s="133" t="s">
        <v>2417</v>
      </c>
      <c r="S830" s="133" t="s">
        <v>2417</v>
      </c>
      <c r="T830" s="133" t="s">
        <v>2417</v>
      </c>
      <c r="U830" s="133" t="s">
        <v>2417</v>
      </c>
      <c r="V830" s="133" t="s">
        <v>2417</v>
      </c>
      <c r="W830" s="133" t="s">
        <v>2417</v>
      </c>
      <c r="X830" s="133" t="s">
        <v>2417</v>
      </c>
      <c r="Y830" s="133" t="s">
        <v>2417</v>
      </c>
      <c r="Z830" s="133" t="s">
        <v>2417</v>
      </c>
      <c r="AA830" s="133" t="s">
        <v>2417</v>
      </c>
      <c r="AB830" s="133" t="s">
        <v>2417</v>
      </c>
      <c r="AC830" s="133" t="s">
        <v>2417</v>
      </c>
      <c r="AD830" s="133" t="s">
        <v>2417</v>
      </c>
      <c r="AE830" s="123"/>
    </row>
    <row r="831" spans="1:31" ht="13.2" outlineLevel="1">
      <c r="A831" s="426" t="s">
        <v>1814</v>
      </c>
      <c r="B831" s="350"/>
      <c r="C831" s="350"/>
      <c r="D831" s="351"/>
      <c r="E831" s="133" t="s">
        <v>2417</v>
      </c>
      <c r="F831" s="133" t="s">
        <v>2426</v>
      </c>
      <c r="G831" s="133" t="s">
        <v>2417</v>
      </c>
      <c r="H831" s="133" t="s">
        <v>2417</v>
      </c>
      <c r="I831" s="133" t="s">
        <v>2417</v>
      </c>
      <c r="J831" s="133" t="s">
        <v>2417</v>
      </c>
      <c r="K831" s="133" t="s">
        <v>2417</v>
      </c>
      <c r="L831" s="133" t="s">
        <v>2417</v>
      </c>
      <c r="M831" s="133" t="s">
        <v>2417</v>
      </c>
      <c r="N831" s="133" t="s">
        <v>2417</v>
      </c>
      <c r="O831" s="133" t="s">
        <v>2417</v>
      </c>
      <c r="P831" s="133" t="s">
        <v>2417</v>
      </c>
      <c r="Q831" s="133" t="s">
        <v>2417</v>
      </c>
      <c r="R831" s="133" t="s">
        <v>2417</v>
      </c>
      <c r="S831" s="133" t="s">
        <v>2417</v>
      </c>
      <c r="T831" s="133" t="s">
        <v>2417</v>
      </c>
      <c r="U831" s="133" t="s">
        <v>2417</v>
      </c>
      <c r="V831" s="133" t="s">
        <v>2417</v>
      </c>
      <c r="W831" s="133" t="s">
        <v>2417</v>
      </c>
      <c r="X831" s="133" t="s">
        <v>2417</v>
      </c>
      <c r="Y831" s="133" t="s">
        <v>2417</v>
      </c>
      <c r="Z831" s="133" t="s">
        <v>2417</v>
      </c>
      <c r="AA831" s="133" t="s">
        <v>2417</v>
      </c>
      <c r="AB831" s="133" t="s">
        <v>2417</v>
      </c>
      <c r="AC831" s="133" t="s">
        <v>2417</v>
      </c>
      <c r="AD831" s="133" t="s">
        <v>2417</v>
      </c>
      <c r="AE831" s="175"/>
    </row>
    <row r="832" spans="1:31" ht="13.2" outlineLevel="2">
      <c r="A832" s="68" t="s">
        <v>369</v>
      </c>
      <c r="B832" s="64"/>
      <c r="C832" s="387" t="s">
        <v>2811</v>
      </c>
      <c r="D832" s="351"/>
      <c r="E832" s="133" t="s">
        <v>2417</v>
      </c>
      <c r="F832" s="133" t="s">
        <v>2426</v>
      </c>
      <c r="G832" s="133" t="s">
        <v>2417</v>
      </c>
      <c r="H832" s="133" t="s">
        <v>2417</v>
      </c>
      <c r="I832" s="133" t="s">
        <v>2417</v>
      </c>
      <c r="J832" s="133" t="s">
        <v>2417</v>
      </c>
      <c r="K832" s="133" t="s">
        <v>2417</v>
      </c>
      <c r="L832" s="133" t="s">
        <v>2417</v>
      </c>
      <c r="M832" s="133" t="s">
        <v>2417</v>
      </c>
      <c r="N832" s="133" t="s">
        <v>2417</v>
      </c>
      <c r="O832" s="133" t="s">
        <v>2417</v>
      </c>
      <c r="P832" s="133" t="s">
        <v>2417</v>
      </c>
      <c r="Q832" s="133" t="s">
        <v>2417</v>
      </c>
      <c r="R832" s="133" t="s">
        <v>2417</v>
      </c>
      <c r="S832" s="133" t="s">
        <v>2417</v>
      </c>
      <c r="T832" s="133" t="s">
        <v>2417</v>
      </c>
      <c r="U832" s="133" t="s">
        <v>2417</v>
      </c>
      <c r="V832" s="133" t="s">
        <v>2417</v>
      </c>
      <c r="W832" s="133" t="s">
        <v>2417</v>
      </c>
      <c r="X832" s="133" t="s">
        <v>2417</v>
      </c>
      <c r="Y832" s="133" t="s">
        <v>2417</v>
      </c>
      <c r="Z832" s="133" t="s">
        <v>2417</v>
      </c>
      <c r="AA832" s="133" t="s">
        <v>2417</v>
      </c>
      <c r="AB832" s="133" t="s">
        <v>2417</v>
      </c>
      <c r="AC832" s="133" t="s">
        <v>2417</v>
      </c>
      <c r="AD832" s="133" t="s">
        <v>2417</v>
      </c>
      <c r="AE832" s="59"/>
    </row>
    <row r="833" spans="1:31" ht="13.2" outlineLevel="2">
      <c r="A833" s="68" t="s">
        <v>1816</v>
      </c>
      <c r="B833" s="64" t="s">
        <v>1817</v>
      </c>
      <c r="C833" s="387" t="s">
        <v>1818</v>
      </c>
      <c r="D833" s="351"/>
      <c r="E833" s="133" t="s">
        <v>2417</v>
      </c>
      <c r="F833" s="133" t="s">
        <v>2426</v>
      </c>
      <c r="G833" s="133" t="s">
        <v>2417</v>
      </c>
      <c r="H833" s="133" t="s">
        <v>2417</v>
      </c>
      <c r="I833" s="133" t="s">
        <v>2417</v>
      </c>
      <c r="J833" s="133" t="s">
        <v>2417</v>
      </c>
      <c r="K833" s="133" t="s">
        <v>2417</v>
      </c>
      <c r="L833" s="133" t="s">
        <v>2417</v>
      </c>
      <c r="M833" s="133" t="s">
        <v>2417</v>
      </c>
      <c r="N833" s="133" t="s">
        <v>2417</v>
      </c>
      <c r="O833" s="133" t="s">
        <v>2417</v>
      </c>
      <c r="P833" s="133" t="s">
        <v>2417</v>
      </c>
      <c r="Q833" s="133" t="s">
        <v>2417</v>
      </c>
      <c r="R833" s="133" t="s">
        <v>2417</v>
      </c>
      <c r="S833" s="133" t="s">
        <v>2417</v>
      </c>
      <c r="T833" s="133" t="s">
        <v>2417</v>
      </c>
      <c r="U833" s="133" t="s">
        <v>2417</v>
      </c>
      <c r="V833" s="133" t="s">
        <v>2417</v>
      </c>
      <c r="W833" s="133" t="s">
        <v>2417</v>
      </c>
      <c r="X833" s="133" t="s">
        <v>2417</v>
      </c>
      <c r="Y833" s="133" t="s">
        <v>2417</v>
      </c>
      <c r="Z833" s="133" t="s">
        <v>2417</v>
      </c>
      <c r="AA833" s="133" t="s">
        <v>2417</v>
      </c>
      <c r="AB833" s="133" t="s">
        <v>2417</v>
      </c>
      <c r="AC833" s="133" t="s">
        <v>2417</v>
      </c>
      <c r="AD833" s="133" t="s">
        <v>2417</v>
      </c>
      <c r="AE833" s="59"/>
    </row>
    <row r="834" spans="1:31" ht="30.6" outlineLevel="2">
      <c r="A834" s="68" t="s">
        <v>1819</v>
      </c>
      <c r="B834" s="64" t="s">
        <v>1820</v>
      </c>
      <c r="C834" s="387" t="s">
        <v>1821</v>
      </c>
      <c r="D834" s="351"/>
      <c r="E834" s="133" t="s">
        <v>2417</v>
      </c>
      <c r="F834" s="133" t="s">
        <v>2426</v>
      </c>
      <c r="G834" s="133" t="s">
        <v>2417</v>
      </c>
      <c r="H834" s="133" t="s">
        <v>2417</v>
      </c>
      <c r="I834" s="133" t="s">
        <v>2417</v>
      </c>
      <c r="J834" s="133" t="s">
        <v>2417</v>
      </c>
      <c r="K834" s="133" t="s">
        <v>2417</v>
      </c>
      <c r="L834" s="133" t="s">
        <v>2417</v>
      </c>
      <c r="M834" s="133" t="s">
        <v>2417</v>
      </c>
      <c r="N834" s="133" t="s">
        <v>2417</v>
      </c>
      <c r="O834" s="133" t="s">
        <v>2417</v>
      </c>
      <c r="P834" s="133" t="s">
        <v>2417</v>
      </c>
      <c r="Q834" s="133" t="s">
        <v>2417</v>
      </c>
      <c r="R834" s="133" t="s">
        <v>2417</v>
      </c>
      <c r="S834" s="133" t="s">
        <v>2417</v>
      </c>
      <c r="T834" s="133" t="s">
        <v>2417</v>
      </c>
      <c r="U834" s="133" t="s">
        <v>2417</v>
      </c>
      <c r="V834" s="133" t="s">
        <v>2417</v>
      </c>
      <c r="W834" s="133" t="s">
        <v>2417</v>
      </c>
      <c r="X834" s="133" t="s">
        <v>2417</v>
      </c>
      <c r="Y834" s="133" t="s">
        <v>2417</v>
      </c>
      <c r="Z834" s="133" t="s">
        <v>2417</v>
      </c>
      <c r="AA834" s="133" t="s">
        <v>2417</v>
      </c>
      <c r="AB834" s="133" t="s">
        <v>2417</v>
      </c>
      <c r="AC834" s="133" t="s">
        <v>2417</v>
      </c>
      <c r="AD834" s="133" t="s">
        <v>2417</v>
      </c>
      <c r="AE834" s="59"/>
    </row>
    <row r="835" spans="1:31" ht="13.2" outlineLevel="2">
      <c r="A835" s="68" t="s">
        <v>1822</v>
      </c>
      <c r="B835" s="62" t="s">
        <v>1823</v>
      </c>
      <c r="C835" s="360" t="s">
        <v>2812</v>
      </c>
      <c r="D835" s="351"/>
      <c r="E835" s="133" t="s">
        <v>2417</v>
      </c>
      <c r="F835" s="133" t="s">
        <v>2426</v>
      </c>
      <c r="G835" s="133" t="s">
        <v>2417</v>
      </c>
      <c r="H835" s="133" t="s">
        <v>2417</v>
      </c>
      <c r="I835" s="133" t="s">
        <v>2417</v>
      </c>
      <c r="J835" s="133" t="s">
        <v>2417</v>
      </c>
      <c r="K835" s="133" t="s">
        <v>2417</v>
      </c>
      <c r="L835" s="133" t="s">
        <v>2417</v>
      </c>
      <c r="M835" s="133" t="s">
        <v>2417</v>
      </c>
      <c r="N835" s="133" t="s">
        <v>2417</v>
      </c>
      <c r="O835" s="133" t="s">
        <v>2417</v>
      </c>
      <c r="P835" s="133" t="s">
        <v>2417</v>
      </c>
      <c r="Q835" s="133" t="s">
        <v>2417</v>
      </c>
      <c r="R835" s="133" t="s">
        <v>2417</v>
      </c>
      <c r="S835" s="133" t="s">
        <v>2417</v>
      </c>
      <c r="T835" s="133" t="s">
        <v>2417</v>
      </c>
      <c r="U835" s="133" t="s">
        <v>2417</v>
      </c>
      <c r="V835" s="133" t="s">
        <v>2417</v>
      </c>
      <c r="W835" s="133" t="s">
        <v>2417</v>
      </c>
      <c r="X835" s="133" t="s">
        <v>2417</v>
      </c>
      <c r="Y835" s="133" t="s">
        <v>2417</v>
      </c>
      <c r="Z835" s="133" t="s">
        <v>2417</v>
      </c>
      <c r="AA835" s="133" t="s">
        <v>2417</v>
      </c>
      <c r="AB835" s="133" t="s">
        <v>2417</v>
      </c>
      <c r="AC835" s="133" t="s">
        <v>2417</v>
      </c>
      <c r="AD835" s="133" t="s">
        <v>2417</v>
      </c>
      <c r="AE835" s="123"/>
    </row>
    <row r="836" spans="1:31" ht="20.399999999999999" outlineLevel="2">
      <c r="A836" s="68" t="s">
        <v>1825</v>
      </c>
      <c r="B836" s="62" t="s">
        <v>1774</v>
      </c>
      <c r="C836" s="360" t="s">
        <v>1826</v>
      </c>
      <c r="D836" s="351"/>
      <c r="E836" s="133" t="s">
        <v>2417</v>
      </c>
      <c r="F836" s="133" t="s">
        <v>2426</v>
      </c>
      <c r="G836" s="133" t="s">
        <v>2417</v>
      </c>
      <c r="H836" s="133" t="s">
        <v>2417</v>
      </c>
      <c r="I836" s="133" t="s">
        <v>2417</v>
      </c>
      <c r="J836" s="133" t="s">
        <v>2417</v>
      </c>
      <c r="K836" s="133" t="s">
        <v>2417</v>
      </c>
      <c r="L836" s="133" t="s">
        <v>2417</v>
      </c>
      <c r="M836" s="133" t="s">
        <v>2417</v>
      </c>
      <c r="N836" s="133" t="s">
        <v>2417</v>
      </c>
      <c r="O836" s="133" t="s">
        <v>2417</v>
      </c>
      <c r="P836" s="133" t="s">
        <v>2417</v>
      </c>
      <c r="Q836" s="133" t="s">
        <v>2417</v>
      </c>
      <c r="R836" s="133" t="s">
        <v>2417</v>
      </c>
      <c r="S836" s="133" t="s">
        <v>2417</v>
      </c>
      <c r="T836" s="133" t="s">
        <v>2417</v>
      </c>
      <c r="U836" s="133" t="s">
        <v>2417</v>
      </c>
      <c r="V836" s="133" t="s">
        <v>2417</v>
      </c>
      <c r="W836" s="133" t="s">
        <v>2417</v>
      </c>
      <c r="X836" s="133" t="s">
        <v>2417</v>
      </c>
      <c r="Y836" s="133" t="s">
        <v>2417</v>
      </c>
      <c r="Z836" s="133" t="s">
        <v>2417</v>
      </c>
      <c r="AA836" s="133" t="s">
        <v>2417</v>
      </c>
      <c r="AB836" s="133" t="s">
        <v>2799</v>
      </c>
      <c r="AC836" s="133" t="s">
        <v>2417</v>
      </c>
      <c r="AD836" s="133" t="s">
        <v>2417</v>
      </c>
      <c r="AE836" s="123"/>
    </row>
    <row r="837" spans="1:31" ht="20.399999999999999" hidden="1" outlineLevel="2">
      <c r="A837" s="68" t="s">
        <v>1825</v>
      </c>
      <c r="B837" s="93" t="s">
        <v>2813</v>
      </c>
      <c r="C837" s="360" t="s">
        <v>2804</v>
      </c>
      <c r="D837" s="351"/>
      <c r="E837" s="133" t="s">
        <v>2417</v>
      </c>
      <c r="F837" s="133" t="s">
        <v>2426</v>
      </c>
      <c r="G837" s="133" t="s">
        <v>2417</v>
      </c>
      <c r="H837" s="133" t="s">
        <v>2417</v>
      </c>
      <c r="I837" s="133" t="s">
        <v>2417</v>
      </c>
      <c r="J837" s="133" t="s">
        <v>2417</v>
      </c>
      <c r="K837" s="133" t="s">
        <v>2417</v>
      </c>
      <c r="L837" s="133" t="s">
        <v>2417</v>
      </c>
      <c r="M837" s="133" t="s">
        <v>2417</v>
      </c>
      <c r="N837" s="133" t="s">
        <v>2417</v>
      </c>
      <c r="O837" s="133" t="s">
        <v>2417</v>
      </c>
      <c r="P837" s="133" t="s">
        <v>2417</v>
      </c>
      <c r="Q837" s="133" t="s">
        <v>2417</v>
      </c>
      <c r="R837" s="133" t="s">
        <v>2417</v>
      </c>
      <c r="S837" s="133" t="s">
        <v>2417</v>
      </c>
      <c r="T837" s="133" t="s">
        <v>2417</v>
      </c>
      <c r="U837" s="133" t="s">
        <v>2417</v>
      </c>
      <c r="V837" s="133" t="s">
        <v>2417</v>
      </c>
      <c r="W837" s="133" t="s">
        <v>2417</v>
      </c>
      <c r="X837" s="133" t="s">
        <v>2417</v>
      </c>
      <c r="Y837" s="133" t="s">
        <v>2417</v>
      </c>
      <c r="Z837" s="133" t="s">
        <v>2417</v>
      </c>
      <c r="AA837" s="133" t="s">
        <v>2417</v>
      </c>
      <c r="AB837" s="133" t="s">
        <v>2802</v>
      </c>
      <c r="AC837" s="133" t="s">
        <v>2417</v>
      </c>
      <c r="AD837" s="133" t="s">
        <v>2417</v>
      </c>
      <c r="AE837" s="123"/>
    </row>
    <row r="838" spans="1:31" ht="13.2" outlineLevel="2">
      <c r="A838" s="68" t="s">
        <v>1827</v>
      </c>
      <c r="B838" s="62" t="s">
        <v>1789</v>
      </c>
      <c r="C838" s="360" t="s">
        <v>1828</v>
      </c>
      <c r="D838" s="351"/>
      <c r="E838" s="133" t="s">
        <v>2417</v>
      </c>
      <c r="F838" s="133" t="s">
        <v>2426</v>
      </c>
      <c r="G838" s="133" t="s">
        <v>2417</v>
      </c>
      <c r="H838" s="133" t="s">
        <v>2417</v>
      </c>
      <c r="I838" s="133" t="s">
        <v>2417</v>
      </c>
      <c r="J838" s="133" t="s">
        <v>2417</v>
      </c>
      <c r="K838" s="133" t="s">
        <v>2417</v>
      </c>
      <c r="L838" s="133" t="s">
        <v>2417</v>
      </c>
      <c r="M838" s="133" t="s">
        <v>2417</v>
      </c>
      <c r="N838" s="133" t="s">
        <v>2417</v>
      </c>
      <c r="O838" s="133" t="s">
        <v>2417</v>
      </c>
      <c r="P838" s="133" t="s">
        <v>2417</v>
      </c>
      <c r="Q838" s="133" t="s">
        <v>2417</v>
      </c>
      <c r="R838" s="133" t="s">
        <v>2417</v>
      </c>
      <c r="S838" s="133" t="s">
        <v>2417</v>
      </c>
      <c r="T838" s="133" t="s">
        <v>2417</v>
      </c>
      <c r="U838" s="133" t="s">
        <v>2417</v>
      </c>
      <c r="V838" s="133" t="s">
        <v>2417</v>
      </c>
      <c r="W838" s="133" t="s">
        <v>2417</v>
      </c>
      <c r="X838" s="133" t="s">
        <v>2417</v>
      </c>
      <c r="Y838" s="133" t="s">
        <v>2417</v>
      </c>
      <c r="Z838" s="133" t="s">
        <v>2417</v>
      </c>
      <c r="AA838" s="133" t="s">
        <v>2417</v>
      </c>
      <c r="AB838" s="133" t="s">
        <v>2417</v>
      </c>
      <c r="AC838" s="133" t="s">
        <v>2417</v>
      </c>
      <c r="AD838" s="133" t="s">
        <v>2417</v>
      </c>
      <c r="AE838" s="123"/>
    </row>
    <row r="839" spans="1:31" ht="13.2" outlineLevel="1">
      <c r="A839" s="390" t="s">
        <v>1829</v>
      </c>
      <c r="B839" s="350"/>
      <c r="C839" s="350"/>
      <c r="D839" s="351"/>
      <c r="E839" s="133" t="s">
        <v>2417</v>
      </c>
      <c r="F839" s="133" t="s">
        <v>2417</v>
      </c>
      <c r="G839" s="133" t="s">
        <v>2417</v>
      </c>
      <c r="H839" s="135" t="s">
        <v>2814</v>
      </c>
      <c r="I839" s="133" t="s">
        <v>2417</v>
      </c>
      <c r="J839" s="133" t="s">
        <v>2417</v>
      </c>
      <c r="K839" s="133" t="s">
        <v>2417</v>
      </c>
      <c r="L839" s="133" t="s">
        <v>2417</v>
      </c>
      <c r="M839" s="133" t="s">
        <v>2417</v>
      </c>
      <c r="N839" s="133" t="s">
        <v>2417</v>
      </c>
      <c r="O839" s="133" t="s">
        <v>2417</v>
      </c>
      <c r="P839" s="133" t="s">
        <v>2417</v>
      </c>
      <c r="Q839" s="133" t="s">
        <v>2417</v>
      </c>
      <c r="R839" s="133" t="s">
        <v>2417</v>
      </c>
      <c r="S839" s="133" t="s">
        <v>2417</v>
      </c>
      <c r="T839" s="133" t="s">
        <v>2417</v>
      </c>
      <c r="U839" s="133" t="s">
        <v>2417</v>
      </c>
      <c r="V839" s="133" t="s">
        <v>2417</v>
      </c>
      <c r="W839" s="133" t="s">
        <v>2417</v>
      </c>
      <c r="X839" s="133" t="s">
        <v>2417</v>
      </c>
      <c r="Y839" s="133" t="s">
        <v>2417</v>
      </c>
      <c r="Z839" s="133" t="s">
        <v>2417</v>
      </c>
      <c r="AA839" s="133" t="s">
        <v>2417</v>
      </c>
      <c r="AB839" s="133" t="s">
        <v>2417</v>
      </c>
      <c r="AC839" s="133" t="s">
        <v>2417</v>
      </c>
      <c r="AD839" s="133" t="s">
        <v>2417</v>
      </c>
      <c r="AE839" s="176"/>
    </row>
    <row r="840" spans="1:31" ht="13.2" outlineLevel="2">
      <c r="A840" s="68" t="s">
        <v>371</v>
      </c>
      <c r="B840" s="64" t="s">
        <v>1830</v>
      </c>
      <c r="C840" s="387" t="s">
        <v>1831</v>
      </c>
      <c r="D840" s="351"/>
      <c r="E840" s="133" t="s">
        <v>2417</v>
      </c>
      <c r="F840" s="133" t="s">
        <v>2417</v>
      </c>
      <c r="G840" s="133" t="s">
        <v>2417</v>
      </c>
      <c r="H840" s="135" t="s">
        <v>2814</v>
      </c>
      <c r="I840" s="133" t="s">
        <v>2417</v>
      </c>
      <c r="J840" s="133" t="s">
        <v>2417</v>
      </c>
      <c r="K840" s="133" t="s">
        <v>2417</v>
      </c>
      <c r="L840" s="133" t="s">
        <v>2417</v>
      </c>
      <c r="M840" s="133" t="s">
        <v>2417</v>
      </c>
      <c r="N840" s="133" t="s">
        <v>2417</v>
      </c>
      <c r="O840" s="133" t="s">
        <v>2417</v>
      </c>
      <c r="P840" s="133" t="s">
        <v>2417</v>
      </c>
      <c r="Q840" s="133" t="s">
        <v>2417</v>
      </c>
      <c r="R840" s="133" t="s">
        <v>2417</v>
      </c>
      <c r="S840" s="133" t="s">
        <v>2417</v>
      </c>
      <c r="T840" s="133" t="s">
        <v>2417</v>
      </c>
      <c r="U840" s="133" t="s">
        <v>2417</v>
      </c>
      <c r="V840" s="133" t="s">
        <v>2417</v>
      </c>
      <c r="W840" s="133" t="s">
        <v>2417</v>
      </c>
      <c r="X840" s="133" t="s">
        <v>2417</v>
      </c>
      <c r="Y840" s="133" t="s">
        <v>2417</v>
      </c>
      <c r="Z840" s="133" t="s">
        <v>2417</v>
      </c>
      <c r="AA840" s="133" t="s">
        <v>2417</v>
      </c>
      <c r="AB840" s="133" t="s">
        <v>2417</v>
      </c>
      <c r="AC840" s="133" t="s">
        <v>2417</v>
      </c>
      <c r="AD840" s="133" t="s">
        <v>2417</v>
      </c>
      <c r="AE840" s="59"/>
    </row>
    <row r="841" spans="1:31" ht="13.2" outlineLevel="2">
      <c r="A841" s="68" t="s">
        <v>379</v>
      </c>
      <c r="B841" s="95" t="s">
        <v>1832</v>
      </c>
      <c r="C841" s="360" t="s">
        <v>1833</v>
      </c>
      <c r="D841" s="351"/>
      <c r="E841" s="133" t="s">
        <v>2417</v>
      </c>
      <c r="F841" s="133" t="s">
        <v>2587</v>
      </c>
      <c r="G841" s="133" t="s">
        <v>2417</v>
      </c>
      <c r="H841" s="135" t="s">
        <v>2814</v>
      </c>
      <c r="I841" s="133" t="s">
        <v>2417</v>
      </c>
      <c r="J841" s="133" t="s">
        <v>2417</v>
      </c>
      <c r="K841" s="133" t="s">
        <v>2417</v>
      </c>
      <c r="L841" s="133" t="s">
        <v>2417</v>
      </c>
      <c r="M841" s="133" t="s">
        <v>2417</v>
      </c>
      <c r="N841" s="133" t="s">
        <v>2417</v>
      </c>
      <c r="O841" s="133" t="s">
        <v>2417</v>
      </c>
      <c r="P841" s="133" t="s">
        <v>2417</v>
      </c>
      <c r="Q841" s="133" t="s">
        <v>2417</v>
      </c>
      <c r="R841" s="133" t="s">
        <v>2417</v>
      </c>
      <c r="S841" s="133" t="s">
        <v>2417</v>
      </c>
      <c r="T841" s="133" t="s">
        <v>2417</v>
      </c>
      <c r="U841" s="133" t="s">
        <v>2417</v>
      </c>
      <c r="V841" s="133" t="s">
        <v>2417</v>
      </c>
      <c r="W841" s="133" t="s">
        <v>2417</v>
      </c>
      <c r="X841" s="133" t="s">
        <v>2417</v>
      </c>
      <c r="Y841" s="133" t="s">
        <v>2417</v>
      </c>
      <c r="Z841" s="133" t="s">
        <v>2417</v>
      </c>
      <c r="AA841" s="133" t="s">
        <v>2417</v>
      </c>
      <c r="AB841" s="133" t="s">
        <v>2417</v>
      </c>
      <c r="AC841" s="133" t="s">
        <v>2417</v>
      </c>
      <c r="AD841" s="133" t="s">
        <v>2417</v>
      </c>
      <c r="AE841" s="123"/>
    </row>
    <row r="842" spans="1:31" ht="20.399999999999999" outlineLevel="2">
      <c r="A842" s="68" t="s">
        <v>381</v>
      </c>
      <c r="B842" s="65" t="s">
        <v>1834</v>
      </c>
      <c r="C842" s="360" t="s">
        <v>1835</v>
      </c>
      <c r="D842" s="351"/>
      <c r="E842" s="133" t="s">
        <v>2417</v>
      </c>
      <c r="F842" s="133" t="s">
        <v>2587</v>
      </c>
      <c r="G842" s="133" t="s">
        <v>2417</v>
      </c>
      <c r="H842" s="135" t="s">
        <v>2814</v>
      </c>
      <c r="I842" s="133" t="s">
        <v>2417</v>
      </c>
      <c r="J842" s="133" t="s">
        <v>2417</v>
      </c>
      <c r="K842" s="133" t="s">
        <v>2417</v>
      </c>
      <c r="L842" s="133" t="s">
        <v>2417</v>
      </c>
      <c r="M842" s="133" t="s">
        <v>2417</v>
      </c>
      <c r="N842" s="133" t="s">
        <v>2417</v>
      </c>
      <c r="O842" s="133" t="s">
        <v>2417</v>
      </c>
      <c r="P842" s="133" t="s">
        <v>2417</v>
      </c>
      <c r="Q842" s="133" t="s">
        <v>2417</v>
      </c>
      <c r="R842" s="133" t="s">
        <v>2417</v>
      </c>
      <c r="S842" s="133" t="s">
        <v>2417</v>
      </c>
      <c r="T842" s="133" t="s">
        <v>2417</v>
      </c>
      <c r="U842" s="133" t="s">
        <v>2417</v>
      </c>
      <c r="V842" s="133" t="s">
        <v>2417</v>
      </c>
      <c r="W842" s="133" t="s">
        <v>2417</v>
      </c>
      <c r="X842" s="133" t="s">
        <v>2417</v>
      </c>
      <c r="Y842" s="133" t="s">
        <v>2417</v>
      </c>
      <c r="Z842" s="133" t="s">
        <v>2417</v>
      </c>
      <c r="AA842" s="133" t="s">
        <v>2417</v>
      </c>
      <c r="AB842" s="133" t="s">
        <v>2417</v>
      </c>
      <c r="AC842" s="133" t="s">
        <v>2417</v>
      </c>
      <c r="AD842" s="133" t="s">
        <v>2417</v>
      </c>
      <c r="AE842" s="123"/>
    </row>
    <row r="843" spans="1:31" ht="51" outlineLevel="2">
      <c r="A843" s="68" t="s">
        <v>383</v>
      </c>
      <c r="B843" s="64" t="s">
        <v>1836</v>
      </c>
      <c r="C843" s="360" t="s">
        <v>1837</v>
      </c>
      <c r="D843" s="351"/>
      <c r="E843" s="133" t="s">
        <v>2417</v>
      </c>
      <c r="F843" s="133" t="s">
        <v>2587</v>
      </c>
      <c r="G843" s="133" t="s">
        <v>2417</v>
      </c>
      <c r="H843" s="135" t="s">
        <v>2814</v>
      </c>
      <c r="I843" s="133" t="s">
        <v>2417</v>
      </c>
      <c r="J843" s="133" t="s">
        <v>2417</v>
      </c>
      <c r="K843" s="133" t="s">
        <v>2417</v>
      </c>
      <c r="L843" s="133" t="s">
        <v>2417</v>
      </c>
      <c r="M843" s="133" t="s">
        <v>2417</v>
      </c>
      <c r="N843" s="133" t="s">
        <v>2417</v>
      </c>
      <c r="O843" s="133" t="s">
        <v>2417</v>
      </c>
      <c r="P843" s="133" t="s">
        <v>2417</v>
      </c>
      <c r="Q843" s="133" t="s">
        <v>2417</v>
      </c>
      <c r="R843" s="133" t="s">
        <v>2417</v>
      </c>
      <c r="S843" s="133" t="s">
        <v>2417</v>
      </c>
      <c r="T843" s="133" t="s">
        <v>2417</v>
      </c>
      <c r="U843" s="133" t="s">
        <v>2417</v>
      </c>
      <c r="V843" s="133" t="s">
        <v>2417</v>
      </c>
      <c r="W843" s="133" t="s">
        <v>2417</v>
      </c>
      <c r="X843" s="133" t="s">
        <v>2417</v>
      </c>
      <c r="Y843" s="133" t="s">
        <v>2417</v>
      </c>
      <c r="Z843" s="133" t="s">
        <v>2417</v>
      </c>
      <c r="AA843" s="133" t="s">
        <v>2417</v>
      </c>
      <c r="AB843" s="133" t="s">
        <v>2417</v>
      </c>
      <c r="AC843" s="133" t="s">
        <v>2417</v>
      </c>
      <c r="AD843" s="133" t="s">
        <v>2417</v>
      </c>
      <c r="AE843" s="123"/>
    </row>
    <row r="844" spans="1:31" ht="20.399999999999999" outlineLevel="2">
      <c r="A844" s="68" t="s">
        <v>385</v>
      </c>
      <c r="B844" s="64" t="s">
        <v>1838</v>
      </c>
      <c r="C844" s="360" t="s">
        <v>1839</v>
      </c>
      <c r="D844" s="351"/>
      <c r="E844" s="133" t="s">
        <v>2417</v>
      </c>
      <c r="F844" s="133" t="s">
        <v>2396</v>
      </c>
      <c r="G844" s="133" t="s">
        <v>2417</v>
      </c>
      <c r="H844" s="135" t="s">
        <v>2814</v>
      </c>
      <c r="I844" s="133" t="s">
        <v>2417</v>
      </c>
      <c r="J844" s="133" t="s">
        <v>2417</v>
      </c>
      <c r="K844" s="133" t="s">
        <v>2417</v>
      </c>
      <c r="L844" s="133" t="s">
        <v>2417</v>
      </c>
      <c r="M844" s="133" t="s">
        <v>2417</v>
      </c>
      <c r="N844" s="133" t="s">
        <v>2417</v>
      </c>
      <c r="O844" s="133" t="s">
        <v>2417</v>
      </c>
      <c r="P844" s="133" t="s">
        <v>2417</v>
      </c>
      <c r="Q844" s="133" t="s">
        <v>2417</v>
      </c>
      <c r="R844" s="133" t="s">
        <v>2417</v>
      </c>
      <c r="S844" s="133" t="s">
        <v>2417</v>
      </c>
      <c r="T844" s="133" t="s">
        <v>2417</v>
      </c>
      <c r="U844" s="133" t="s">
        <v>2417</v>
      </c>
      <c r="V844" s="133" t="s">
        <v>2417</v>
      </c>
      <c r="W844" s="133" t="s">
        <v>2417</v>
      </c>
      <c r="X844" s="133" t="s">
        <v>2417</v>
      </c>
      <c r="Y844" s="133" t="s">
        <v>2417</v>
      </c>
      <c r="Z844" s="133" t="s">
        <v>2417</v>
      </c>
      <c r="AA844" s="133" t="s">
        <v>2417</v>
      </c>
      <c r="AB844" s="133" t="s">
        <v>2417</v>
      </c>
      <c r="AC844" s="133" t="s">
        <v>2417</v>
      </c>
      <c r="AD844" s="133" t="s">
        <v>2417</v>
      </c>
      <c r="AE844" s="123"/>
    </row>
    <row r="845" spans="1:31" ht="40.799999999999997" outlineLevel="2">
      <c r="A845" s="68" t="s">
        <v>387</v>
      </c>
      <c r="B845" s="64" t="s">
        <v>1840</v>
      </c>
      <c r="C845" s="360" t="s">
        <v>1841</v>
      </c>
      <c r="D845" s="351"/>
      <c r="E845" s="133" t="s">
        <v>2417</v>
      </c>
      <c r="F845" s="133" t="s">
        <v>2587</v>
      </c>
      <c r="G845" s="133" t="s">
        <v>2417</v>
      </c>
      <c r="H845" s="135" t="s">
        <v>2814</v>
      </c>
      <c r="I845" s="133" t="s">
        <v>2417</v>
      </c>
      <c r="J845" s="133" t="s">
        <v>2417</v>
      </c>
      <c r="K845" s="133" t="s">
        <v>2417</v>
      </c>
      <c r="L845" s="133" t="s">
        <v>2417</v>
      </c>
      <c r="M845" s="133" t="s">
        <v>2417</v>
      </c>
      <c r="N845" s="133" t="s">
        <v>2417</v>
      </c>
      <c r="O845" s="133" t="s">
        <v>2417</v>
      </c>
      <c r="P845" s="133" t="s">
        <v>2417</v>
      </c>
      <c r="Q845" s="133" t="s">
        <v>2417</v>
      </c>
      <c r="R845" s="133" t="s">
        <v>2417</v>
      </c>
      <c r="S845" s="133" t="s">
        <v>2417</v>
      </c>
      <c r="T845" s="133" t="s">
        <v>2417</v>
      </c>
      <c r="U845" s="133" t="s">
        <v>2417</v>
      </c>
      <c r="V845" s="133" t="s">
        <v>2417</v>
      </c>
      <c r="W845" s="133" t="s">
        <v>2417</v>
      </c>
      <c r="X845" s="133" t="s">
        <v>2417</v>
      </c>
      <c r="Y845" s="133" t="s">
        <v>2417</v>
      </c>
      <c r="Z845" s="133" t="s">
        <v>2417</v>
      </c>
      <c r="AA845" s="133" t="s">
        <v>2417</v>
      </c>
      <c r="AB845" s="133" t="s">
        <v>2417</v>
      </c>
      <c r="AC845" s="133" t="s">
        <v>2417</v>
      </c>
      <c r="AD845" s="133" t="s">
        <v>2417</v>
      </c>
      <c r="AE845" s="123"/>
    </row>
    <row r="846" spans="1:31" ht="30.6" outlineLevel="2">
      <c r="A846" s="68" t="s">
        <v>389</v>
      </c>
      <c r="B846" s="64" t="s">
        <v>1842</v>
      </c>
      <c r="C846" s="360" t="s">
        <v>1843</v>
      </c>
      <c r="D846" s="351"/>
      <c r="E846" s="133" t="s">
        <v>2417</v>
      </c>
      <c r="F846" s="133" t="s">
        <v>2426</v>
      </c>
      <c r="G846" s="133" t="s">
        <v>2417</v>
      </c>
      <c r="H846" s="135" t="s">
        <v>2814</v>
      </c>
      <c r="I846" s="133" t="s">
        <v>2417</v>
      </c>
      <c r="J846" s="133" t="s">
        <v>2417</v>
      </c>
      <c r="K846" s="133" t="s">
        <v>2417</v>
      </c>
      <c r="L846" s="133" t="s">
        <v>2417</v>
      </c>
      <c r="M846" s="133" t="s">
        <v>2417</v>
      </c>
      <c r="N846" s="133" t="s">
        <v>2417</v>
      </c>
      <c r="O846" s="133" t="s">
        <v>2417</v>
      </c>
      <c r="P846" s="133" t="s">
        <v>2417</v>
      </c>
      <c r="Q846" s="133" t="s">
        <v>2417</v>
      </c>
      <c r="R846" s="133" t="s">
        <v>2417</v>
      </c>
      <c r="S846" s="133" t="s">
        <v>2417</v>
      </c>
      <c r="T846" s="133" t="s">
        <v>2417</v>
      </c>
      <c r="U846" s="133" t="s">
        <v>2417</v>
      </c>
      <c r="V846" s="133" t="s">
        <v>2417</v>
      </c>
      <c r="W846" s="133" t="s">
        <v>2417</v>
      </c>
      <c r="X846" s="133" t="s">
        <v>2417</v>
      </c>
      <c r="Y846" s="133" t="s">
        <v>2417</v>
      </c>
      <c r="Z846" s="133" t="s">
        <v>2417</v>
      </c>
      <c r="AA846" s="133" t="s">
        <v>2417</v>
      </c>
      <c r="AB846" s="133" t="s">
        <v>2417</v>
      </c>
      <c r="AC846" s="133" t="s">
        <v>2417</v>
      </c>
      <c r="AD846" s="133" t="s">
        <v>2417</v>
      </c>
      <c r="AE846" s="123"/>
    </row>
    <row r="847" spans="1:31" ht="20.399999999999999" outlineLevel="2">
      <c r="A847" s="68" t="s">
        <v>391</v>
      </c>
      <c r="B847" s="64" t="s">
        <v>1844</v>
      </c>
      <c r="C847" s="360" t="s">
        <v>1845</v>
      </c>
      <c r="D847" s="351"/>
      <c r="E847" s="133" t="s">
        <v>2417</v>
      </c>
      <c r="F847" s="133" t="s">
        <v>592</v>
      </c>
      <c r="G847" s="133" t="s">
        <v>2417</v>
      </c>
      <c r="H847" s="135" t="s">
        <v>2814</v>
      </c>
      <c r="I847" s="133" t="s">
        <v>2417</v>
      </c>
      <c r="J847" s="133" t="s">
        <v>2417</v>
      </c>
      <c r="K847" s="133" t="s">
        <v>2417</v>
      </c>
      <c r="L847" s="133" t="s">
        <v>2417</v>
      </c>
      <c r="M847" s="133" t="s">
        <v>2417</v>
      </c>
      <c r="N847" s="133" t="s">
        <v>2417</v>
      </c>
      <c r="O847" s="133" t="s">
        <v>2417</v>
      </c>
      <c r="P847" s="133" t="s">
        <v>2417</v>
      </c>
      <c r="Q847" s="133" t="s">
        <v>2417</v>
      </c>
      <c r="R847" s="133" t="s">
        <v>2417</v>
      </c>
      <c r="S847" s="133" t="s">
        <v>2417</v>
      </c>
      <c r="T847" s="133" t="s">
        <v>2417</v>
      </c>
      <c r="U847" s="133" t="s">
        <v>2417</v>
      </c>
      <c r="V847" s="133" t="s">
        <v>2417</v>
      </c>
      <c r="W847" s="133" t="s">
        <v>2417</v>
      </c>
      <c r="X847" s="133" t="s">
        <v>2417</v>
      </c>
      <c r="Y847" s="133" t="s">
        <v>2417</v>
      </c>
      <c r="Z847" s="133" t="s">
        <v>2417</v>
      </c>
      <c r="AA847" s="133" t="s">
        <v>2417</v>
      </c>
      <c r="AB847" s="133" t="s">
        <v>2417</v>
      </c>
      <c r="AC847" s="133" t="s">
        <v>2417</v>
      </c>
      <c r="AD847" s="133" t="s">
        <v>2417</v>
      </c>
      <c r="AE847" s="123"/>
    </row>
    <row r="848" spans="1:31" ht="40.799999999999997" outlineLevel="2">
      <c r="A848" s="68" t="s">
        <v>395</v>
      </c>
      <c r="B848" s="64" t="s">
        <v>1846</v>
      </c>
      <c r="C848" s="360" t="s">
        <v>2815</v>
      </c>
      <c r="D848" s="351"/>
      <c r="E848" s="133" t="s">
        <v>2417</v>
      </c>
      <c r="F848" s="133" t="s">
        <v>2417</v>
      </c>
      <c r="G848" s="133" t="s">
        <v>2417</v>
      </c>
      <c r="H848" s="135" t="s">
        <v>2814</v>
      </c>
      <c r="I848" s="133" t="s">
        <v>2417</v>
      </c>
      <c r="J848" s="133" t="s">
        <v>2417</v>
      </c>
      <c r="K848" s="133" t="s">
        <v>2417</v>
      </c>
      <c r="L848" s="133" t="s">
        <v>2417</v>
      </c>
      <c r="M848" s="133" t="s">
        <v>2417</v>
      </c>
      <c r="N848" s="133" t="s">
        <v>2417</v>
      </c>
      <c r="O848" s="133" t="s">
        <v>2417</v>
      </c>
      <c r="P848" s="133" t="s">
        <v>2417</v>
      </c>
      <c r="Q848" s="133" t="s">
        <v>2417</v>
      </c>
      <c r="R848" s="133" t="s">
        <v>2417</v>
      </c>
      <c r="S848" s="133" t="s">
        <v>2417</v>
      </c>
      <c r="T848" s="133" t="s">
        <v>2417</v>
      </c>
      <c r="U848" s="133" t="s">
        <v>2417</v>
      </c>
      <c r="V848" s="133" t="s">
        <v>2417</v>
      </c>
      <c r="W848" s="133" t="s">
        <v>2417</v>
      </c>
      <c r="X848" s="133" t="s">
        <v>2417</v>
      </c>
      <c r="Y848" s="133" t="s">
        <v>2417</v>
      </c>
      <c r="Z848" s="133" t="s">
        <v>2417</v>
      </c>
      <c r="AA848" s="133" t="s">
        <v>2417</v>
      </c>
      <c r="AB848" s="133" t="s">
        <v>2417</v>
      </c>
      <c r="AC848" s="133" t="s">
        <v>2417</v>
      </c>
      <c r="AD848" s="133" t="s">
        <v>2417</v>
      </c>
      <c r="AE848" s="123"/>
    </row>
    <row r="849" spans="1:31" ht="13.2" outlineLevel="1">
      <c r="A849" s="384" t="s">
        <v>1848</v>
      </c>
      <c r="B849" s="350"/>
      <c r="C849" s="350"/>
      <c r="D849" s="351"/>
      <c r="E849" s="133" t="s">
        <v>2417</v>
      </c>
      <c r="F849" s="133" t="s">
        <v>2417</v>
      </c>
      <c r="G849" s="133" t="s">
        <v>2417</v>
      </c>
      <c r="H849" s="135" t="s">
        <v>2814</v>
      </c>
      <c r="I849" s="133" t="s">
        <v>2417</v>
      </c>
      <c r="J849" s="133" t="s">
        <v>2417</v>
      </c>
      <c r="K849" s="133" t="s">
        <v>2417</v>
      </c>
      <c r="L849" s="133" t="s">
        <v>2417</v>
      </c>
      <c r="M849" s="133" t="s">
        <v>2417</v>
      </c>
      <c r="N849" s="133" t="s">
        <v>2417</v>
      </c>
      <c r="O849" s="133" t="s">
        <v>2417</v>
      </c>
      <c r="P849" s="133" t="s">
        <v>2417</v>
      </c>
      <c r="Q849" s="133" t="s">
        <v>2417</v>
      </c>
      <c r="R849" s="133" t="s">
        <v>2417</v>
      </c>
      <c r="S849" s="133" t="s">
        <v>2417</v>
      </c>
      <c r="T849" s="133" t="s">
        <v>2417</v>
      </c>
      <c r="U849" s="133" t="s">
        <v>2417</v>
      </c>
      <c r="V849" s="133" t="s">
        <v>2417</v>
      </c>
      <c r="W849" s="133" t="s">
        <v>2417</v>
      </c>
      <c r="X849" s="133" t="s">
        <v>2417</v>
      </c>
      <c r="Y849" s="133" t="s">
        <v>2417</v>
      </c>
      <c r="Z849" s="133" t="s">
        <v>2417</v>
      </c>
      <c r="AA849" s="133" t="s">
        <v>2417</v>
      </c>
      <c r="AB849" s="133" t="s">
        <v>2417</v>
      </c>
      <c r="AC849" s="133" t="s">
        <v>2417</v>
      </c>
      <c r="AD849" s="133" t="s">
        <v>2417</v>
      </c>
      <c r="AE849" s="173"/>
    </row>
    <row r="850" spans="1:31" ht="13.2" outlineLevel="2">
      <c r="A850" s="68" t="s">
        <v>1849</v>
      </c>
      <c r="B850" s="64"/>
      <c r="C850" s="360" t="s">
        <v>2816</v>
      </c>
      <c r="D850" s="351"/>
      <c r="E850" s="133" t="s">
        <v>2417</v>
      </c>
      <c r="F850" s="133" t="s">
        <v>2417</v>
      </c>
      <c r="G850" s="133" t="s">
        <v>2417</v>
      </c>
      <c r="H850" s="135" t="s">
        <v>2814</v>
      </c>
      <c r="I850" s="133" t="s">
        <v>2417</v>
      </c>
      <c r="J850" s="133" t="s">
        <v>2417</v>
      </c>
      <c r="K850" s="133" t="s">
        <v>2417</v>
      </c>
      <c r="L850" s="133" t="s">
        <v>2417</v>
      </c>
      <c r="M850" s="133" t="s">
        <v>2417</v>
      </c>
      <c r="N850" s="133" t="s">
        <v>2417</v>
      </c>
      <c r="O850" s="133" t="s">
        <v>2417</v>
      </c>
      <c r="P850" s="133" t="s">
        <v>2417</v>
      </c>
      <c r="Q850" s="133" t="s">
        <v>2417</v>
      </c>
      <c r="R850" s="133" t="s">
        <v>2417</v>
      </c>
      <c r="S850" s="133" t="s">
        <v>2417</v>
      </c>
      <c r="T850" s="133" t="s">
        <v>2417</v>
      </c>
      <c r="U850" s="133" t="s">
        <v>2417</v>
      </c>
      <c r="V850" s="133" t="s">
        <v>2417</v>
      </c>
      <c r="W850" s="133" t="s">
        <v>2417</v>
      </c>
      <c r="X850" s="133" t="s">
        <v>2417</v>
      </c>
      <c r="Y850" s="133" t="s">
        <v>2417</v>
      </c>
      <c r="Z850" s="133" t="s">
        <v>2417</v>
      </c>
      <c r="AA850" s="133" t="s">
        <v>2417</v>
      </c>
      <c r="AB850" s="133" t="s">
        <v>2417</v>
      </c>
      <c r="AC850" s="133" t="s">
        <v>2417</v>
      </c>
      <c r="AD850" s="133" t="s">
        <v>2417</v>
      </c>
      <c r="AE850" s="123"/>
    </row>
    <row r="851" spans="1:31" ht="13.2" outlineLevel="2">
      <c r="A851" s="68" t="s">
        <v>1851</v>
      </c>
      <c r="B851" s="65"/>
      <c r="C851" s="360" t="s">
        <v>2817</v>
      </c>
      <c r="D851" s="351"/>
      <c r="E851" s="133" t="s">
        <v>2417</v>
      </c>
      <c r="F851" s="133" t="s">
        <v>2417</v>
      </c>
      <c r="G851" s="133" t="s">
        <v>2417</v>
      </c>
      <c r="H851" s="135" t="s">
        <v>2814</v>
      </c>
      <c r="I851" s="133" t="s">
        <v>2417</v>
      </c>
      <c r="J851" s="133" t="s">
        <v>2417</v>
      </c>
      <c r="K851" s="133" t="s">
        <v>2417</v>
      </c>
      <c r="L851" s="133" t="s">
        <v>2417</v>
      </c>
      <c r="M851" s="133" t="s">
        <v>2417</v>
      </c>
      <c r="N851" s="133" t="s">
        <v>2417</v>
      </c>
      <c r="O851" s="133" t="s">
        <v>2417</v>
      </c>
      <c r="P851" s="133" t="s">
        <v>2417</v>
      </c>
      <c r="Q851" s="133" t="s">
        <v>2417</v>
      </c>
      <c r="R851" s="133" t="s">
        <v>2417</v>
      </c>
      <c r="S851" s="133" t="s">
        <v>2417</v>
      </c>
      <c r="T851" s="133" t="s">
        <v>2417</v>
      </c>
      <c r="U851" s="133" t="s">
        <v>2417</v>
      </c>
      <c r="V851" s="133" t="s">
        <v>2417</v>
      </c>
      <c r="W851" s="133" t="s">
        <v>2417</v>
      </c>
      <c r="X851" s="133" t="s">
        <v>2417</v>
      </c>
      <c r="Y851" s="133" t="s">
        <v>2417</v>
      </c>
      <c r="Z851" s="133" t="s">
        <v>2417</v>
      </c>
      <c r="AA851" s="133" t="s">
        <v>2417</v>
      </c>
      <c r="AB851" s="133" t="s">
        <v>2417</v>
      </c>
      <c r="AC851" s="133" t="s">
        <v>2417</v>
      </c>
      <c r="AD851" s="133" t="s">
        <v>2417</v>
      </c>
      <c r="AE851" s="123"/>
    </row>
    <row r="852" spans="1:31" ht="13.2" outlineLevel="2">
      <c r="A852" s="68" t="s">
        <v>1853</v>
      </c>
      <c r="B852" s="64" t="s">
        <v>1854</v>
      </c>
      <c r="C852" s="360" t="s">
        <v>1855</v>
      </c>
      <c r="D852" s="351"/>
      <c r="E852" s="133" t="s">
        <v>2417</v>
      </c>
      <c r="F852" s="133" t="s">
        <v>2417</v>
      </c>
      <c r="G852" s="133" t="s">
        <v>2417</v>
      </c>
      <c r="H852" s="135" t="s">
        <v>2814</v>
      </c>
      <c r="I852" s="133" t="s">
        <v>2417</v>
      </c>
      <c r="J852" s="133" t="s">
        <v>2417</v>
      </c>
      <c r="K852" s="133" t="s">
        <v>2417</v>
      </c>
      <c r="L852" s="133" t="s">
        <v>2417</v>
      </c>
      <c r="M852" s="133" t="s">
        <v>2417</v>
      </c>
      <c r="N852" s="133" t="s">
        <v>2417</v>
      </c>
      <c r="O852" s="133" t="s">
        <v>2417</v>
      </c>
      <c r="P852" s="133" t="s">
        <v>2417</v>
      </c>
      <c r="Q852" s="133" t="s">
        <v>2417</v>
      </c>
      <c r="R852" s="133" t="s">
        <v>2417</v>
      </c>
      <c r="S852" s="133" t="s">
        <v>2417</v>
      </c>
      <c r="T852" s="133" t="s">
        <v>2417</v>
      </c>
      <c r="U852" s="133" t="s">
        <v>2417</v>
      </c>
      <c r="V852" s="133" t="s">
        <v>2417</v>
      </c>
      <c r="W852" s="133" t="s">
        <v>2417</v>
      </c>
      <c r="X852" s="133" t="s">
        <v>2417</v>
      </c>
      <c r="Y852" s="133" t="s">
        <v>2417</v>
      </c>
      <c r="Z852" s="133" t="s">
        <v>2417</v>
      </c>
      <c r="AA852" s="133" t="s">
        <v>2417</v>
      </c>
      <c r="AB852" s="133" t="s">
        <v>2417</v>
      </c>
      <c r="AC852" s="133" t="s">
        <v>2417</v>
      </c>
      <c r="AD852" s="133" t="s">
        <v>2417</v>
      </c>
      <c r="AE852" s="123"/>
    </row>
    <row r="853" spans="1:31" ht="13.2">
      <c r="A853" s="393" t="s">
        <v>1856</v>
      </c>
      <c r="B853" s="350"/>
      <c r="C853" s="350"/>
      <c r="D853" s="351"/>
      <c r="E853" s="133" t="s">
        <v>2417</v>
      </c>
      <c r="F853" s="133" t="s">
        <v>2417</v>
      </c>
      <c r="G853" s="133" t="s">
        <v>2417</v>
      </c>
      <c r="H853" s="133" t="s">
        <v>2417</v>
      </c>
      <c r="I853" s="134" t="s">
        <v>2418</v>
      </c>
      <c r="J853" s="133" t="s">
        <v>2417</v>
      </c>
      <c r="K853" s="133" t="s">
        <v>2417</v>
      </c>
      <c r="L853" s="133" t="s">
        <v>2417</v>
      </c>
      <c r="M853" s="133" t="s">
        <v>2417</v>
      </c>
      <c r="N853" s="133" t="s">
        <v>2417</v>
      </c>
      <c r="O853" s="133" t="s">
        <v>2417</v>
      </c>
      <c r="P853" s="133" t="s">
        <v>2417</v>
      </c>
      <c r="Q853" s="133" t="s">
        <v>2417</v>
      </c>
      <c r="R853" s="133" t="s">
        <v>2417</v>
      </c>
      <c r="S853" s="133" t="s">
        <v>2417</v>
      </c>
      <c r="T853" s="133" t="s">
        <v>2417</v>
      </c>
      <c r="U853" s="133" t="s">
        <v>2417</v>
      </c>
      <c r="V853" s="133" t="s">
        <v>2417</v>
      </c>
      <c r="W853" s="133" t="s">
        <v>2417</v>
      </c>
      <c r="X853" s="133" t="s">
        <v>2417</v>
      </c>
      <c r="Y853" s="133" t="s">
        <v>2417</v>
      </c>
      <c r="Z853" s="133" t="s">
        <v>2417</v>
      </c>
      <c r="AA853" s="133" t="s">
        <v>2417</v>
      </c>
      <c r="AB853" s="133" t="s">
        <v>2417</v>
      </c>
      <c r="AC853" s="133" t="s">
        <v>2417</v>
      </c>
      <c r="AD853" s="133" t="s">
        <v>2417</v>
      </c>
      <c r="AE853" s="177"/>
    </row>
    <row r="854" spans="1:31" ht="13.2" outlineLevel="1">
      <c r="A854" s="386" t="s">
        <v>1857</v>
      </c>
      <c r="B854" s="350"/>
      <c r="C854" s="350"/>
      <c r="D854" s="351"/>
      <c r="E854" s="133" t="s">
        <v>2417</v>
      </c>
      <c r="F854" s="133" t="s">
        <v>2417</v>
      </c>
      <c r="G854" s="133" t="s">
        <v>2417</v>
      </c>
      <c r="H854" s="133" t="s">
        <v>2417</v>
      </c>
      <c r="I854" s="134" t="s">
        <v>2418</v>
      </c>
      <c r="J854" s="133" t="s">
        <v>2417</v>
      </c>
      <c r="K854" s="133" t="s">
        <v>2417</v>
      </c>
      <c r="L854" s="133" t="s">
        <v>2417</v>
      </c>
      <c r="M854" s="133" t="s">
        <v>2417</v>
      </c>
      <c r="N854" s="133" t="s">
        <v>2417</v>
      </c>
      <c r="O854" s="133" t="s">
        <v>2417</v>
      </c>
      <c r="P854" s="133" t="s">
        <v>2417</v>
      </c>
      <c r="Q854" s="133" t="s">
        <v>2417</v>
      </c>
      <c r="R854" s="133" t="s">
        <v>2417</v>
      </c>
      <c r="S854" s="133" t="s">
        <v>2417</v>
      </c>
      <c r="T854" s="133" t="s">
        <v>2417</v>
      </c>
      <c r="U854" s="133" t="s">
        <v>2417</v>
      </c>
      <c r="V854" s="133" t="s">
        <v>2417</v>
      </c>
      <c r="W854" s="133" t="s">
        <v>2417</v>
      </c>
      <c r="X854" s="133" t="s">
        <v>2417</v>
      </c>
      <c r="Y854" s="133" t="s">
        <v>2417</v>
      </c>
      <c r="Z854" s="133" t="s">
        <v>2417</v>
      </c>
      <c r="AA854" s="133" t="s">
        <v>2417</v>
      </c>
      <c r="AB854" s="133" t="s">
        <v>2417</v>
      </c>
      <c r="AC854" s="133" t="s">
        <v>2417</v>
      </c>
      <c r="AD854" s="133" t="s">
        <v>2417</v>
      </c>
      <c r="AE854" s="139"/>
    </row>
    <row r="855" spans="1:31" ht="20.399999999999999" outlineLevel="2">
      <c r="A855" s="68" t="s">
        <v>1858</v>
      </c>
      <c r="B855" s="65" t="s">
        <v>1859</v>
      </c>
      <c r="C855" s="360" t="s">
        <v>1860</v>
      </c>
      <c r="D855" s="351"/>
      <c r="E855" s="133" t="s">
        <v>2417</v>
      </c>
      <c r="F855" s="133" t="s">
        <v>2417</v>
      </c>
      <c r="G855" s="133" t="s">
        <v>2417</v>
      </c>
      <c r="H855" s="133" t="s">
        <v>2417</v>
      </c>
      <c r="I855" s="133" t="s">
        <v>2417</v>
      </c>
      <c r="J855" s="133" t="s">
        <v>2417</v>
      </c>
      <c r="K855" s="133" t="s">
        <v>2417</v>
      </c>
      <c r="L855" s="133" t="s">
        <v>2417</v>
      </c>
      <c r="M855" s="133" t="s">
        <v>2417</v>
      </c>
      <c r="N855" s="133" t="s">
        <v>2417</v>
      </c>
      <c r="O855" s="133" t="s">
        <v>2417</v>
      </c>
      <c r="P855" s="133" t="s">
        <v>2417</v>
      </c>
      <c r="Q855" s="133" t="s">
        <v>2417</v>
      </c>
      <c r="R855" s="133" t="s">
        <v>2417</v>
      </c>
      <c r="S855" s="133" t="s">
        <v>2417</v>
      </c>
      <c r="T855" s="133" t="s">
        <v>2417</v>
      </c>
      <c r="U855" s="133" t="s">
        <v>2417</v>
      </c>
      <c r="V855" s="133" t="s">
        <v>2417</v>
      </c>
      <c r="W855" s="133" t="s">
        <v>2417</v>
      </c>
      <c r="X855" s="133" t="s">
        <v>2417</v>
      </c>
      <c r="Y855" s="133" t="s">
        <v>2417</v>
      </c>
      <c r="Z855" s="133" t="s">
        <v>2417</v>
      </c>
      <c r="AA855" s="133" t="s">
        <v>2417</v>
      </c>
      <c r="AB855" s="133" t="s">
        <v>2417</v>
      </c>
      <c r="AC855" s="133" t="s">
        <v>2417</v>
      </c>
      <c r="AD855" s="133" t="s">
        <v>2417</v>
      </c>
      <c r="AE855" s="123"/>
    </row>
    <row r="856" spans="1:31" ht="13.2" outlineLevel="2">
      <c r="A856" s="68" t="s">
        <v>1861</v>
      </c>
      <c r="B856" s="65" t="s">
        <v>1862</v>
      </c>
      <c r="C856" s="360" t="s">
        <v>2818</v>
      </c>
      <c r="D856" s="351"/>
      <c r="E856" s="133" t="s">
        <v>2417</v>
      </c>
      <c r="F856" s="133" t="s">
        <v>2417</v>
      </c>
      <c r="G856" s="133" t="s">
        <v>2417</v>
      </c>
      <c r="H856" s="133" t="s">
        <v>2417</v>
      </c>
      <c r="I856" s="133" t="s">
        <v>2417</v>
      </c>
      <c r="J856" s="133" t="s">
        <v>2417</v>
      </c>
      <c r="K856" s="133" t="s">
        <v>2417</v>
      </c>
      <c r="L856" s="133" t="s">
        <v>2417</v>
      </c>
      <c r="M856" s="133" t="s">
        <v>2797</v>
      </c>
      <c r="N856" s="133" t="s">
        <v>2417</v>
      </c>
      <c r="O856" s="133" t="s">
        <v>2417</v>
      </c>
      <c r="P856" s="133" t="s">
        <v>2417</v>
      </c>
      <c r="Q856" s="133" t="s">
        <v>2417</v>
      </c>
      <c r="R856" s="133" t="s">
        <v>2417</v>
      </c>
      <c r="S856" s="133" t="s">
        <v>2417</v>
      </c>
      <c r="T856" s="133" t="s">
        <v>2417</v>
      </c>
      <c r="U856" s="133" t="s">
        <v>2417</v>
      </c>
      <c r="V856" s="133" t="s">
        <v>2417</v>
      </c>
      <c r="W856" s="133" t="s">
        <v>2417</v>
      </c>
      <c r="X856" s="133" t="s">
        <v>2417</v>
      </c>
      <c r="Y856" s="133" t="s">
        <v>2417</v>
      </c>
      <c r="Z856" s="133" t="s">
        <v>2417</v>
      </c>
      <c r="AA856" s="133" t="s">
        <v>2417</v>
      </c>
      <c r="AB856" s="133" t="s">
        <v>2417</v>
      </c>
      <c r="AC856" s="133" t="s">
        <v>2417</v>
      </c>
      <c r="AD856" s="133" t="s">
        <v>2417</v>
      </c>
      <c r="AE856" s="123"/>
    </row>
    <row r="857" spans="1:31" ht="13.2" hidden="1" outlineLevel="2">
      <c r="A857" s="68" t="s">
        <v>2819</v>
      </c>
      <c r="B857" s="178"/>
      <c r="C857" s="387" t="s">
        <v>2820</v>
      </c>
      <c r="D857" s="351"/>
      <c r="E857" s="132" t="s">
        <v>2417</v>
      </c>
      <c r="F857" s="132" t="s">
        <v>2417</v>
      </c>
      <c r="G857" s="132" t="s">
        <v>2417</v>
      </c>
      <c r="H857" s="132" t="s">
        <v>2417</v>
      </c>
      <c r="I857" s="132" t="s">
        <v>2417</v>
      </c>
      <c r="J857" s="132" t="s">
        <v>2417</v>
      </c>
      <c r="K857" s="132" t="s">
        <v>2417</v>
      </c>
      <c r="L857" s="132" t="s">
        <v>2417</v>
      </c>
      <c r="M857" s="132" t="s">
        <v>2417</v>
      </c>
      <c r="N857" s="132" t="s">
        <v>2417</v>
      </c>
      <c r="O857" s="132" t="s">
        <v>2417</v>
      </c>
      <c r="P857" s="132" t="s">
        <v>2417</v>
      </c>
      <c r="Q857" s="132" t="s">
        <v>2417</v>
      </c>
      <c r="R857" s="132" t="s">
        <v>2417</v>
      </c>
      <c r="S857" s="132" t="s">
        <v>2417</v>
      </c>
      <c r="T857" s="132" t="s">
        <v>2417</v>
      </c>
      <c r="U857" s="132" t="s">
        <v>2417</v>
      </c>
      <c r="V857" s="132" t="s">
        <v>2417</v>
      </c>
      <c r="W857" s="132" t="s">
        <v>2417</v>
      </c>
      <c r="X857" s="132" t="s">
        <v>2417</v>
      </c>
      <c r="Y857" s="132" t="s">
        <v>2417</v>
      </c>
      <c r="Z857" s="132" t="s">
        <v>2417</v>
      </c>
      <c r="AA857" s="132" t="s">
        <v>2417</v>
      </c>
      <c r="AB857" s="132" t="s">
        <v>2417</v>
      </c>
      <c r="AC857" s="132" t="s">
        <v>2417</v>
      </c>
      <c r="AD857" s="133" t="s">
        <v>2441</v>
      </c>
      <c r="AE857" s="179"/>
    </row>
    <row r="858" spans="1:31" ht="13.2" outlineLevel="2">
      <c r="A858" s="426" t="s">
        <v>1864</v>
      </c>
      <c r="B858" s="350"/>
      <c r="C858" s="350"/>
      <c r="D858" s="351"/>
      <c r="E858" s="133" t="s">
        <v>2821</v>
      </c>
      <c r="F858" s="133" t="s">
        <v>2417</v>
      </c>
      <c r="G858" s="133" t="s">
        <v>2417</v>
      </c>
      <c r="H858" s="133" t="s">
        <v>2417</v>
      </c>
      <c r="I858" s="134" t="s">
        <v>2418</v>
      </c>
      <c r="J858" s="133" t="s">
        <v>2417</v>
      </c>
      <c r="K858" s="133" t="s">
        <v>2417</v>
      </c>
      <c r="L858" s="133" t="s">
        <v>2417</v>
      </c>
      <c r="M858" s="133" t="s">
        <v>2417</v>
      </c>
      <c r="N858" s="133" t="s">
        <v>2417</v>
      </c>
      <c r="O858" s="133" t="s">
        <v>2417</v>
      </c>
      <c r="P858" s="133" t="s">
        <v>2417</v>
      </c>
      <c r="Q858" s="133" t="s">
        <v>2417</v>
      </c>
      <c r="R858" s="133" t="s">
        <v>2417</v>
      </c>
      <c r="S858" s="133" t="s">
        <v>2417</v>
      </c>
      <c r="T858" s="133" t="s">
        <v>2417</v>
      </c>
      <c r="U858" s="133" t="s">
        <v>2417</v>
      </c>
      <c r="V858" s="133" t="s">
        <v>2417</v>
      </c>
      <c r="W858" s="133" t="s">
        <v>2417</v>
      </c>
      <c r="X858" s="133" t="s">
        <v>2417</v>
      </c>
      <c r="Y858" s="133" t="s">
        <v>2417</v>
      </c>
      <c r="Z858" s="133" t="s">
        <v>2417</v>
      </c>
      <c r="AA858" s="133" t="s">
        <v>2417</v>
      </c>
      <c r="AB858" s="133" t="s">
        <v>2417</v>
      </c>
      <c r="AC858" s="133" t="s">
        <v>2417</v>
      </c>
      <c r="AD858" s="133" t="s">
        <v>2417</v>
      </c>
      <c r="AE858" s="179"/>
    </row>
    <row r="859" spans="1:31" ht="13.2" outlineLevel="3">
      <c r="A859" s="68" t="s">
        <v>1865</v>
      </c>
      <c r="B859" s="64"/>
      <c r="C859" s="360" t="s">
        <v>1866</v>
      </c>
      <c r="D859" s="351"/>
      <c r="E859" s="133" t="s">
        <v>2821</v>
      </c>
      <c r="F859" s="133" t="s">
        <v>2417</v>
      </c>
      <c r="G859" s="133" t="s">
        <v>2417</v>
      </c>
      <c r="H859" s="133" t="s">
        <v>2417</v>
      </c>
      <c r="I859" s="134" t="s">
        <v>2418</v>
      </c>
      <c r="J859" s="133" t="s">
        <v>2417</v>
      </c>
      <c r="K859" s="133" t="s">
        <v>2417</v>
      </c>
      <c r="L859" s="133" t="s">
        <v>2417</v>
      </c>
      <c r="M859" s="133" t="s">
        <v>2417</v>
      </c>
      <c r="N859" s="133" t="s">
        <v>2417</v>
      </c>
      <c r="O859" s="133" t="s">
        <v>2417</v>
      </c>
      <c r="P859" s="133" t="s">
        <v>2417</v>
      </c>
      <c r="Q859" s="133" t="s">
        <v>2417</v>
      </c>
      <c r="R859" s="133" t="s">
        <v>2417</v>
      </c>
      <c r="S859" s="133" t="s">
        <v>2417</v>
      </c>
      <c r="T859" s="133" t="s">
        <v>2417</v>
      </c>
      <c r="U859" s="133" t="s">
        <v>2417</v>
      </c>
      <c r="V859" s="133" t="s">
        <v>2417</v>
      </c>
      <c r="W859" s="133" t="s">
        <v>2417</v>
      </c>
      <c r="X859" s="133" t="s">
        <v>2417</v>
      </c>
      <c r="Y859" s="133" t="s">
        <v>2417</v>
      </c>
      <c r="Z859" s="133" t="s">
        <v>2417</v>
      </c>
      <c r="AA859" s="133" t="s">
        <v>2417</v>
      </c>
      <c r="AB859" s="133" t="s">
        <v>2417</v>
      </c>
      <c r="AC859" s="133" t="s">
        <v>2417</v>
      </c>
      <c r="AD859" s="133" t="s">
        <v>2417</v>
      </c>
      <c r="AE859" s="137"/>
    </row>
    <row r="860" spans="1:31" ht="20.399999999999999" outlineLevel="3">
      <c r="A860" s="68" t="s">
        <v>1867</v>
      </c>
      <c r="B860" s="62" t="s">
        <v>1868</v>
      </c>
      <c r="C860" s="360" t="s">
        <v>1869</v>
      </c>
      <c r="D860" s="351"/>
      <c r="E860" s="133" t="s">
        <v>2821</v>
      </c>
      <c r="F860" s="133" t="s">
        <v>2417</v>
      </c>
      <c r="G860" s="133" t="s">
        <v>2417</v>
      </c>
      <c r="H860" s="133" t="s">
        <v>2417</v>
      </c>
      <c r="I860" s="133" t="s">
        <v>2417</v>
      </c>
      <c r="J860" s="133" t="s">
        <v>2417</v>
      </c>
      <c r="K860" s="133" t="s">
        <v>2417</v>
      </c>
      <c r="L860" s="133" t="s">
        <v>2417</v>
      </c>
      <c r="M860" s="133" t="s">
        <v>2417</v>
      </c>
      <c r="N860" s="133" t="s">
        <v>2417</v>
      </c>
      <c r="O860" s="133" t="s">
        <v>2417</v>
      </c>
      <c r="P860" s="133" t="s">
        <v>2417</v>
      </c>
      <c r="Q860" s="133" t="s">
        <v>2417</v>
      </c>
      <c r="R860" s="133" t="s">
        <v>2417</v>
      </c>
      <c r="S860" s="133" t="s">
        <v>2417</v>
      </c>
      <c r="T860" s="133" t="s">
        <v>2417</v>
      </c>
      <c r="U860" s="133" t="s">
        <v>2417</v>
      </c>
      <c r="V860" s="133" t="s">
        <v>2417</v>
      </c>
      <c r="W860" s="133" t="s">
        <v>2417</v>
      </c>
      <c r="X860" s="133" t="s">
        <v>2417</v>
      </c>
      <c r="Y860" s="133" t="s">
        <v>2417</v>
      </c>
      <c r="Z860" s="133" t="s">
        <v>2417</v>
      </c>
      <c r="AA860" s="133" t="s">
        <v>2417</v>
      </c>
      <c r="AB860" s="133" t="s">
        <v>2417</v>
      </c>
      <c r="AC860" s="133" t="s">
        <v>2417</v>
      </c>
      <c r="AD860" s="133" t="s">
        <v>2417</v>
      </c>
      <c r="AE860" s="123"/>
    </row>
    <row r="861" spans="1:31" ht="21" outlineLevel="3">
      <c r="A861" s="68" t="s">
        <v>1870</v>
      </c>
      <c r="B861" s="62" t="s">
        <v>1871</v>
      </c>
      <c r="C861" s="446" t="s">
        <v>1872</v>
      </c>
      <c r="D861" s="351"/>
      <c r="E861" s="133" t="s">
        <v>2821</v>
      </c>
      <c r="F861" s="133" t="s">
        <v>2417</v>
      </c>
      <c r="G861" s="133" t="s">
        <v>2417</v>
      </c>
      <c r="H861" s="133" t="s">
        <v>2417</v>
      </c>
      <c r="I861" s="133" t="s">
        <v>2417</v>
      </c>
      <c r="J861" s="133" t="s">
        <v>2417</v>
      </c>
      <c r="K861" s="133" t="s">
        <v>2417</v>
      </c>
      <c r="L861" s="133" t="s">
        <v>2417</v>
      </c>
      <c r="M861" s="133" t="s">
        <v>2417</v>
      </c>
      <c r="N861" s="133" t="s">
        <v>2417</v>
      </c>
      <c r="O861" s="133" t="s">
        <v>2417</v>
      </c>
      <c r="P861" s="133" t="s">
        <v>2417</v>
      </c>
      <c r="Q861" s="133" t="s">
        <v>2417</v>
      </c>
      <c r="R861" s="133" t="s">
        <v>2417</v>
      </c>
      <c r="S861" s="133" t="s">
        <v>2417</v>
      </c>
      <c r="T861" s="133" t="s">
        <v>2417</v>
      </c>
      <c r="U861" s="133" t="s">
        <v>2417</v>
      </c>
      <c r="V861" s="133" t="s">
        <v>2417</v>
      </c>
      <c r="W861" s="133" t="s">
        <v>2417</v>
      </c>
      <c r="X861" s="133" t="s">
        <v>2417</v>
      </c>
      <c r="Y861" s="133" t="s">
        <v>2417</v>
      </c>
      <c r="Z861" s="133" t="s">
        <v>2417</v>
      </c>
      <c r="AA861" s="133" t="s">
        <v>2417</v>
      </c>
      <c r="AB861" s="133" t="s">
        <v>2417</v>
      </c>
      <c r="AC861" s="133" t="s">
        <v>2417</v>
      </c>
      <c r="AD861" s="133" t="s">
        <v>2417</v>
      </c>
      <c r="AE861" s="180"/>
    </row>
    <row r="862" spans="1:31" ht="20.399999999999999" outlineLevel="3">
      <c r="A862" s="68" t="s">
        <v>1873</v>
      </c>
      <c r="B862" s="62" t="s">
        <v>1874</v>
      </c>
      <c r="C862" s="360" t="s">
        <v>2822</v>
      </c>
      <c r="D862" s="351"/>
      <c r="E862" s="133" t="s">
        <v>2821</v>
      </c>
      <c r="F862" s="133" t="s">
        <v>2417</v>
      </c>
      <c r="G862" s="133" t="s">
        <v>2417</v>
      </c>
      <c r="H862" s="133" t="s">
        <v>2417</v>
      </c>
      <c r="I862" s="133" t="s">
        <v>2417</v>
      </c>
      <c r="J862" s="133" t="s">
        <v>2417</v>
      </c>
      <c r="K862" s="133" t="s">
        <v>2417</v>
      </c>
      <c r="L862" s="133" t="s">
        <v>2417</v>
      </c>
      <c r="M862" s="133" t="s">
        <v>2417</v>
      </c>
      <c r="N862" s="133" t="s">
        <v>2417</v>
      </c>
      <c r="O862" s="133" t="s">
        <v>2417</v>
      </c>
      <c r="P862" s="133" t="s">
        <v>2417</v>
      </c>
      <c r="Q862" s="133" t="s">
        <v>2417</v>
      </c>
      <c r="R862" s="133" t="s">
        <v>2417</v>
      </c>
      <c r="S862" s="133" t="s">
        <v>2417</v>
      </c>
      <c r="T862" s="133" t="s">
        <v>2417</v>
      </c>
      <c r="U862" s="133" t="s">
        <v>2417</v>
      </c>
      <c r="V862" s="133" t="s">
        <v>2417</v>
      </c>
      <c r="W862" s="133" t="s">
        <v>2417</v>
      </c>
      <c r="X862" s="133" t="s">
        <v>2417</v>
      </c>
      <c r="Y862" s="133" t="s">
        <v>2417</v>
      </c>
      <c r="Z862" s="133" t="s">
        <v>2417</v>
      </c>
      <c r="AA862" s="133" t="s">
        <v>2417</v>
      </c>
      <c r="AB862" s="133" t="s">
        <v>2417</v>
      </c>
      <c r="AC862" s="133" t="s">
        <v>2417</v>
      </c>
      <c r="AD862" s="133" t="s">
        <v>2417</v>
      </c>
      <c r="AE862" s="123"/>
    </row>
    <row r="863" spans="1:31" ht="13.2" outlineLevel="3">
      <c r="A863" s="68" t="s">
        <v>1876</v>
      </c>
      <c r="B863" s="62" t="s">
        <v>1877</v>
      </c>
      <c r="C863" s="447" t="s">
        <v>1878</v>
      </c>
      <c r="D863" s="351"/>
      <c r="E863" s="133" t="s">
        <v>2821</v>
      </c>
      <c r="F863" s="133" t="s">
        <v>2417</v>
      </c>
      <c r="G863" s="133" t="s">
        <v>2417</v>
      </c>
      <c r="H863" s="133" t="s">
        <v>2417</v>
      </c>
      <c r="I863" s="133" t="s">
        <v>2417</v>
      </c>
      <c r="J863" s="133" t="s">
        <v>2417</v>
      </c>
      <c r="K863" s="133" t="s">
        <v>2417</v>
      </c>
      <c r="L863" s="133" t="s">
        <v>2417</v>
      </c>
      <c r="M863" s="133" t="s">
        <v>2417</v>
      </c>
      <c r="N863" s="133" t="s">
        <v>2417</v>
      </c>
      <c r="O863" s="133" t="s">
        <v>2417</v>
      </c>
      <c r="P863" s="133" t="s">
        <v>2417</v>
      </c>
      <c r="Q863" s="133" t="s">
        <v>2417</v>
      </c>
      <c r="R863" s="133" t="s">
        <v>2417</v>
      </c>
      <c r="S863" s="133" t="s">
        <v>2417</v>
      </c>
      <c r="T863" s="133" t="s">
        <v>2417</v>
      </c>
      <c r="U863" s="133" t="s">
        <v>2417</v>
      </c>
      <c r="V863" s="133" t="s">
        <v>2417</v>
      </c>
      <c r="W863" s="133" t="s">
        <v>2417</v>
      </c>
      <c r="X863" s="133" t="s">
        <v>2417</v>
      </c>
      <c r="Y863" s="133" t="s">
        <v>2417</v>
      </c>
      <c r="Z863" s="133" t="s">
        <v>2417</v>
      </c>
      <c r="AA863" s="133" t="s">
        <v>2417</v>
      </c>
      <c r="AB863" s="133" t="s">
        <v>2417</v>
      </c>
      <c r="AC863" s="133" t="s">
        <v>2417</v>
      </c>
      <c r="AD863" s="133" t="s">
        <v>2417</v>
      </c>
      <c r="AE863" s="181"/>
    </row>
    <row r="864" spans="1:31" ht="21" outlineLevel="3">
      <c r="A864" s="68" t="s">
        <v>1879</v>
      </c>
      <c r="B864" s="62" t="s">
        <v>1880</v>
      </c>
      <c r="C864" s="447" t="s">
        <v>1881</v>
      </c>
      <c r="D864" s="351"/>
      <c r="E864" s="133" t="s">
        <v>2823</v>
      </c>
      <c r="F864" s="133" t="s">
        <v>2417</v>
      </c>
      <c r="G864" s="133" t="s">
        <v>2417</v>
      </c>
      <c r="H864" s="133" t="s">
        <v>2417</v>
      </c>
      <c r="I864" s="133" t="s">
        <v>2417</v>
      </c>
      <c r="J864" s="133" t="s">
        <v>2417</v>
      </c>
      <c r="K864" s="133" t="s">
        <v>2417</v>
      </c>
      <c r="L864" s="133" t="s">
        <v>2417</v>
      </c>
      <c r="M864" s="133" t="s">
        <v>2417</v>
      </c>
      <c r="N864" s="133" t="s">
        <v>2417</v>
      </c>
      <c r="O864" s="133" t="s">
        <v>2417</v>
      </c>
      <c r="P864" s="133" t="s">
        <v>2417</v>
      </c>
      <c r="Q864" s="133" t="s">
        <v>2417</v>
      </c>
      <c r="R864" s="133" t="s">
        <v>2417</v>
      </c>
      <c r="S864" s="133" t="s">
        <v>2417</v>
      </c>
      <c r="T864" s="133" t="s">
        <v>2417</v>
      </c>
      <c r="U864" s="133" t="s">
        <v>2417</v>
      </c>
      <c r="V864" s="133" t="s">
        <v>2417</v>
      </c>
      <c r="W864" s="133" t="s">
        <v>2417</v>
      </c>
      <c r="X864" s="133" t="s">
        <v>2417</v>
      </c>
      <c r="Y864" s="133" t="s">
        <v>2417</v>
      </c>
      <c r="Z864" s="133" t="s">
        <v>2417</v>
      </c>
      <c r="AA864" s="133" t="s">
        <v>2417</v>
      </c>
      <c r="AB864" s="133" t="s">
        <v>2417</v>
      </c>
      <c r="AC864" s="133" t="s">
        <v>2417</v>
      </c>
      <c r="AD864" s="133" t="s">
        <v>2417</v>
      </c>
      <c r="AE864" s="181"/>
    </row>
    <row r="865" spans="1:31" ht="21" outlineLevel="3">
      <c r="A865" s="68" t="s">
        <v>1882</v>
      </c>
      <c r="B865" s="96" t="s">
        <v>1883</v>
      </c>
      <c r="C865" s="447" t="s">
        <v>1884</v>
      </c>
      <c r="D865" s="351"/>
      <c r="E865" s="133" t="s">
        <v>2824</v>
      </c>
      <c r="F865" s="133" t="s">
        <v>2417</v>
      </c>
      <c r="G865" s="133" t="s">
        <v>2417</v>
      </c>
      <c r="H865" s="133" t="s">
        <v>2417</v>
      </c>
      <c r="I865" s="133" t="s">
        <v>2417</v>
      </c>
      <c r="J865" s="133" t="s">
        <v>2417</v>
      </c>
      <c r="K865" s="133" t="s">
        <v>2417</v>
      </c>
      <c r="L865" s="133" t="s">
        <v>2417</v>
      </c>
      <c r="M865" s="133" t="s">
        <v>2417</v>
      </c>
      <c r="N865" s="133" t="s">
        <v>2417</v>
      </c>
      <c r="O865" s="133" t="s">
        <v>2417</v>
      </c>
      <c r="P865" s="133" t="s">
        <v>2417</v>
      </c>
      <c r="Q865" s="133" t="s">
        <v>2417</v>
      </c>
      <c r="R865" s="133" t="s">
        <v>2417</v>
      </c>
      <c r="S865" s="133" t="s">
        <v>2417</v>
      </c>
      <c r="T865" s="133" t="s">
        <v>2417</v>
      </c>
      <c r="U865" s="133" t="s">
        <v>2417</v>
      </c>
      <c r="V865" s="133" t="s">
        <v>2417</v>
      </c>
      <c r="W865" s="133" t="s">
        <v>2417</v>
      </c>
      <c r="X865" s="133" t="s">
        <v>2417</v>
      </c>
      <c r="Y865" s="133" t="s">
        <v>2417</v>
      </c>
      <c r="Z865" s="133" t="s">
        <v>2417</v>
      </c>
      <c r="AA865" s="133" t="s">
        <v>2417</v>
      </c>
      <c r="AB865" s="133" t="s">
        <v>2417</v>
      </c>
      <c r="AC865" s="133" t="s">
        <v>2417</v>
      </c>
      <c r="AD865" s="133" t="s">
        <v>2417</v>
      </c>
      <c r="AE865" s="181"/>
    </row>
    <row r="866" spans="1:31" ht="20.399999999999999" outlineLevel="3">
      <c r="A866" s="68" t="s">
        <v>1885</v>
      </c>
      <c r="B866" s="62" t="s">
        <v>1886</v>
      </c>
      <c r="C866" s="387" t="s">
        <v>1887</v>
      </c>
      <c r="D866" s="351"/>
      <c r="E866" s="133" t="s">
        <v>2824</v>
      </c>
      <c r="F866" s="133" t="s">
        <v>2417</v>
      </c>
      <c r="G866" s="133" t="s">
        <v>2417</v>
      </c>
      <c r="H866" s="133" t="s">
        <v>2417</v>
      </c>
      <c r="I866" s="133" t="s">
        <v>2417</v>
      </c>
      <c r="J866" s="133" t="s">
        <v>2417</v>
      </c>
      <c r="K866" s="133" t="s">
        <v>2417</v>
      </c>
      <c r="L866" s="133" t="s">
        <v>2417</v>
      </c>
      <c r="M866" s="133" t="s">
        <v>2417</v>
      </c>
      <c r="N866" s="133" t="s">
        <v>2417</v>
      </c>
      <c r="O866" s="133" t="s">
        <v>2417</v>
      </c>
      <c r="P866" s="133" t="s">
        <v>2417</v>
      </c>
      <c r="Q866" s="133" t="s">
        <v>2417</v>
      </c>
      <c r="R866" s="133" t="s">
        <v>2417</v>
      </c>
      <c r="S866" s="133" t="s">
        <v>2417</v>
      </c>
      <c r="T866" s="133" t="s">
        <v>2417</v>
      </c>
      <c r="U866" s="133" t="s">
        <v>2417</v>
      </c>
      <c r="V866" s="133" t="s">
        <v>2417</v>
      </c>
      <c r="W866" s="133" t="s">
        <v>2417</v>
      </c>
      <c r="X866" s="133" t="s">
        <v>2417</v>
      </c>
      <c r="Y866" s="133" t="s">
        <v>2417</v>
      </c>
      <c r="Z866" s="133" t="s">
        <v>2417</v>
      </c>
      <c r="AA866" s="133" t="s">
        <v>2417</v>
      </c>
      <c r="AB866" s="133" t="s">
        <v>2417</v>
      </c>
      <c r="AC866" s="133" t="s">
        <v>2417</v>
      </c>
      <c r="AD866" s="133" t="s">
        <v>2417</v>
      </c>
      <c r="AE866" s="59"/>
    </row>
    <row r="867" spans="1:31" ht="13.2" outlineLevel="3">
      <c r="A867" s="68" t="s">
        <v>1888</v>
      </c>
      <c r="B867" s="62" t="s">
        <v>1889</v>
      </c>
      <c r="C867" s="387" t="s">
        <v>1890</v>
      </c>
      <c r="D867" s="351"/>
      <c r="E867" s="133" t="s">
        <v>2821</v>
      </c>
      <c r="F867" s="133" t="s">
        <v>2417</v>
      </c>
      <c r="G867" s="133" t="s">
        <v>2417</v>
      </c>
      <c r="H867" s="133" t="s">
        <v>2417</v>
      </c>
      <c r="I867" s="133" t="s">
        <v>2417</v>
      </c>
      <c r="J867" s="133" t="s">
        <v>2417</v>
      </c>
      <c r="K867" s="133" t="s">
        <v>2417</v>
      </c>
      <c r="L867" s="133" t="s">
        <v>2417</v>
      </c>
      <c r="M867" s="133" t="s">
        <v>2417</v>
      </c>
      <c r="N867" s="133" t="s">
        <v>2417</v>
      </c>
      <c r="O867" s="133" t="s">
        <v>2417</v>
      </c>
      <c r="P867" s="133" t="s">
        <v>2417</v>
      </c>
      <c r="Q867" s="133" t="s">
        <v>2417</v>
      </c>
      <c r="R867" s="133" t="s">
        <v>2417</v>
      </c>
      <c r="S867" s="133" t="s">
        <v>2417</v>
      </c>
      <c r="T867" s="133" t="s">
        <v>2417</v>
      </c>
      <c r="U867" s="133" t="s">
        <v>2417</v>
      </c>
      <c r="V867" s="133" t="s">
        <v>2417</v>
      </c>
      <c r="W867" s="133" t="s">
        <v>2417</v>
      </c>
      <c r="X867" s="133" t="s">
        <v>2417</v>
      </c>
      <c r="Y867" s="133" t="s">
        <v>2417</v>
      </c>
      <c r="Z867" s="133" t="s">
        <v>2417</v>
      </c>
      <c r="AA867" s="133" t="s">
        <v>2417</v>
      </c>
      <c r="AB867" s="133" t="s">
        <v>2417</v>
      </c>
      <c r="AC867" s="133" t="s">
        <v>2417</v>
      </c>
      <c r="AD867" s="133" t="s">
        <v>2417</v>
      </c>
      <c r="AE867" s="59"/>
    </row>
    <row r="868" spans="1:31" ht="13.2" outlineLevel="3">
      <c r="A868" s="68" t="s">
        <v>1891</v>
      </c>
      <c r="B868" s="62" t="s">
        <v>1892</v>
      </c>
      <c r="C868" s="387" t="s">
        <v>1893</v>
      </c>
      <c r="D868" s="351"/>
      <c r="E868" s="133" t="s">
        <v>2821</v>
      </c>
      <c r="F868" s="133" t="s">
        <v>2417</v>
      </c>
      <c r="G868" s="133" t="s">
        <v>2417</v>
      </c>
      <c r="H868" s="133" t="s">
        <v>2417</v>
      </c>
      <c r="I868" s="133" t="s">
        <v>2417</v>
      </c>
      <c r="J868" s="133" t="s">
        <v>2417</v>
      </c>
      <c r="K868" s="133" t="s">
        <v>2417</v>
      </c>
      <c r="L868" s="133" t="s">
        <v>2417</v>
      </c>
      <c r="M868" s="133" t="s">
        <v>2417</v>
      </c>
      <c r="N868" s="133" t="s">
        <v>2417</v>
      </c>
      <c r="O868" s="133" t="s">
        <v>2417</v>
      </c>
      <c r="P868" s="133" t="s">
        <v>2417</v>
      </c>
      <c r="Q868" s="133" t="s">
        <v>2417</v>
      </c>
      <c r="R868" s="133" t="s">
        <v>2417</v>
      </c>
      <c r="S868" s="133" t="s">
        <v>2417</v>
      </c>
      <c r="T868" s="133" t="s">
        <v>2417</v>
      </c>
      <c r="U868" s="133" t="s">
        <v>2417</v>
      </c>
      <c r="V868" s="133" t="s">
        <v>2417</v>
      </c>
      <c r="W868" s="133" t="s">
        <v>2417</v>
      </c>
      <c r="X868" s="133" t="s">
        <v>2417</v>
      </c>
      <c r="Y868" s="133" t="s">
        <v>2417</v>
      </c>
      <c r="Z868" s="133" t="s">
        <v>2417</v>
      </c>
      <c r="AA868" s="133" t="s">
        <v>2417</v>
      </c>
      <c r="AB868" s="133" t="s">
        <v>2417</v>
      </c>
      <c r="AC868" s="133" t="s">
        <v>2417</v>
      </c>
      <c r="AD868" s="133" t="s">
        <v>2417</v>
      </c>
      <c r="AE868" s="59"/>
    </row>
    <row r="869" spans="1:31" ht="13.2" outlineLevel="3">
      <c r="A869" s="68" t="s">
        <v>1894</v>
      </c>
      <c r="B869" s="62" t="s">
        <v>1895</v>
      </c>
      <c r="C869" s="392" t="s">
        <v>1896</v>
      </c>
      <c r="D869" s="351"/>
      <c r="E869" s="133" t="s">
        <v>2821</v>
      </c>
      <c r="F869" s="133" t="s">
        <v>2417</v>
      </c>
      <c r="G869" s="133" t="s">
        <v>2417</v>
      </c>
      <c r="H869" s="133" t="s">
        <v>2417</v>
      </c>
      <c r="I869" s="133" t="s">
        <v>2417</v>
      </c>
      <c r="J869" s="133" t="s">
        <v>2417</v>
      </c>
      <c r="K869" s="133" t="s">
        <v>2417</v>
      </c>
      <c r="L869" s="133" t="s">
        <v>2417</v>
      </c>
      <c r="M869" s="133" t="s">
        <v>2417</v>
      </c>
      <c r="N869" s="133" t="s">
        <v>2417</v>
      </c>
      <c r="O869" s="133" t="s">
        <v>2417</v>
      </c>
      <c r="P869" s="133" t="s">
        <v>2417</v>
      </c>
      <c r="Q869" s="133" t="s">
        <v>2417</v>
      </c>
      <c r="R869" s="133" t="s">
        <v>2417</v>
      </c>
      <c r="S869" s="133" t="s">
        <v>2417</v>
      </c>
      <c r="T869" s="133" t="s">
        <v>2417</v>
      </c>
      <c r="U869" s="133" t="s">
        <v>2417</v>
      </c>
      <c r="V869" s="133" t="s">
        <v>2417</v>
      </c>
      <c r="W869" s="133" t="s">
        <v>2417</v>
      </c>
      <c r="X869" s="133" t="s">
        <v>2417</v>
      </c>
      <c r="Y869" s="133" t="s">
        <v>2417</v>
      </c>
      <c r="Z869" s="133" t="s">
        <v>2417</v>
      </c>
      <c r="AA869" s="133" t="s">
        <v>2417</v>
      </c>
      <c r="AB869" s="133" t="s">
        <v>2417</v>
      </c>
      <c r="AC869" s="133" t="s">
        <v>2417</v>
      </c>
      <c r="AD869" s="133" t="s">
        <v>2417</v>
      </c>
      <c r="AE869" s="57"/>
    </row>
    <row r="870" spans="1:31" ht="13.2" outlineLevel="2">
      <c r="A870" s="426" t="s">
        <v>1897</v>
      </c>
      <c r="B870" s="350"/>
      <c r="C870" s="350"/>
      <c r="D870" s="351"/>
      <c r="E870" s="133" t="s">
        <v>2546</v>
      </c>
      <c r="F870" s="133" t="s">
        <v>2417</v>
      </c>
      <c r="G870" s="133" t="s">
        <v>2417</v>
      </c>
      <c r="H870" s="133" t="s">
        <v>2417</v>
      </c>
      <c r="I870" s="134" t="s">
        <v>2418</v>
      </c>
      <c r="J870" s="133" t="s">
        <v>2417</v>
      </c>
      <c r="K870" s="133" t="s">
        <v>2417</v>
      </c>
      <c r="L870" s="133" t="s">
        <v>2417</v>
      </c>
      <c r="M870" s="133" t="s">
        <v>2417</v>
      </c>
      <c r="N870" s="133" t="s">
        <v>2417</v>
      </c>
      <c r="O870" s="133" t="s">
        <v>2417</v>
      </c>
      <c r="P870" s="133" t="s">
        <v>2417</v>
      </c>
      <c r="Q870" s="133" t="s">
        <v>2417</v>
      </c>
      <c r="R870" s="133" t="s">
        <v>2417</v>
      </c>
      <c r="S870" s="133" t="s">
        <v>2417</v>
      </c>
      <c r="T870" s="133" t="s">
        <v>2417</v>
      </c>
      <c r="U870" s="133" t="s">
        <v>2417</v>
      </c>
      <c r="V870" s="133" t="s">
        <v>2417</v>
      </c>
      <c r="W870" s="133" t="s">
        <v>2417</v>
      </c>
      <c r="X870" s="133" t="s">
        <v>2417</v>
      </c>
      <c r="Y870" s="133" t="s">
        <v>2417</v>
      </c>
      <c r="Z870" s="133" t="s">
        <v>2417</v>
      </c>
      <c r="AA870" s="133" t="s">
        <v>2417</v>
      </c>
      <c r="AB870" s="133" t="s">
        <v>2417</v>
      </c>
      <c r="AC870" s="133" t="s">
        <v>2417</v>
      </c>
      <c r="AD870" s="133" t="s">
        <v>2417</v>
      </c>
      <c r="AE870" s="179"/>
    </row>
    <row r="871" spans="1:31" ht="13.2" outlineLevel="3">
      <c r="A871" s="68" t="s">
        <v>1865</v>
      </c>
      <c r="B871" s="64"/>
      <c r="C871" s="387" t="s">
        <v>1898</v>
      </c>
      <c r="D871" s="351"/>
      <c r="E871" s="133" t="s">
        <v>2546</v>
      </c>
      <c r="F871" s="133" t="s">
        <v>2417</v>
      </c>
      <c r="G871" s="133" t="s">
        <v>2417</v>
      </c>
      <c r="H871" s="133" t="s">
        <v>2417</v>
      </c>
      <c r="I871" s="134" t="s">
        <v>2418</v>
      </c>
      <c r="J871" s="133" t="s">
        <v>2417</v>
      </c>
      <c r="K871" s="133" t="s">
        <v>2417</v>
      </c>
      <c r="L871" s="133" t="s">
        <v>2417</v>
      </c>
      <c r="M871" s="133" t="s">
        <v>2417</v>
      </c>
      <c r="N871" s="133" t="s">
        <v>2417</v>
      </c>
      <c r="O871" s="133" t="s">
        <v>2417</v>
      </c>
      <c r="P871" s="133" t="s">
        <v>2417</v>
      </c>
      <c r="Q871" s="133" t="s">
        <v>2417</v>
      </c>
      <c r="R871" s="133" t="s">
        <v>2417</v>
      </c>
      <c r="S871" s="133" t="s">
        <v>2417</v>
      </c>
      <c r="T871" s="133" t="s">
        <v>2417</v>
      </c>
      <c r="U871" s="133" t="s">
        <v>2417</v>
      </c>
      <c r="V871" s="133" t="s">
        <v>2417</v>
      </c>
      <c r="W871" s="133" t="s">
        <v>2417</v>
      </c>
      <c r="X871" s="133" t="s">
        <v>2417</v>
      </c>
      <c r="Y871" s="133" t="s">
        <v>2417</v>
      </c>
      <c r="Z871" s="133" t="s">
        <v>2417</v>
      </c>
      <c r="AA871" s="133" t="s">
        <v>2417</v>
      </c>
      <c r="AB871" s="133" t="s">
        <v>2417</v>
      </c>
      <c r="AC871" s="133" t="s">
        <v>2417</v>
      </c>
      <c r="AD871" s="133" t="s">
        <v>2417</v>
      </c>
      <c r="AE871" s="59"/>
    </row>
    <row r="872" spans="1:31" ht="20.399999999999999" outlineLevel="3">
      <c r="A872" s="68" t="s">
        <v>1867</v>
      </c>
      <c r="B872" s="62" t="s">
        <v>1868</v>
      </c>
      <c r="C872" s="360" t="s">
        <v>1869</v>
      </c>
      <c r="D872" s="351"/>
      <c r="E872" s="133" t="s">
        <v>2546</v>
      </c>
      <c r="F872" s="133" t="s">
        <v>2417</v>
      </c>
      <c r="G872" s="133" t="s">
        <v>2417</v>
      </c>
      <c r="H872" s="133" t="s">
        <v>2417</v>
      </c>
      <c r="I872" s="133" t="s">
        <v>2417</v>
      </c>
      <c r="J872" s="133" t="s">
        <v>2417</v>
      </c>
      <c r="K872" s="133" t="s">
        <v>2417</v>
      </c>
      <c r="L872" s="133" t="s">
        <v>2417</v>
      </c>
      <c r="M872" s="133" t="s">
        <v>2417</v>
      </c>
      <c r="N872" s="133" t="s">
        <v>2417</v>
      </c>
      <c r="O872" s="133" t="s">
        <v>2417</v>
      </c>
      <c r="P872" s="133" t="s">
        <v>2417</v>
      </c>
      <c r="Q872" s="133" t="s">
        <v>2417</v>
      </c>
      <c r="R872" s="133" t="s">
        <v>2417</v>
      </c>
      <c r="S872" s="133" t="s">
        <v>2417</v>
      </c>
      <c r="T872" s="133" t="s">
        <v>2417</v>
      </c>
      <c r="U872" s="133" t="s">
        <v>2417</v>
      </c>
      <c r="V872" s="133" t="s">
        <v>2417</v>
      </c>
      <c r="W872" s="133" t="s">
        <v>2417</v>
      </c>
      <c r="X872" s="133" t="s">
        <v>2417</v>
      </c>
      <c r="Y872" s="133" t="s">
        <v>2417</v>
      </c>
      <c r="Z872" s="133" t="s">
        <v>2417</v>
      </c>
      <c r="AA872" s="133" t="s">
        <v>2417</v>
      </c>
      <c r="AB872" s="133" t="s">
        <v>2417</v>
      </c>
      <c r="AC872" s="133" t="s">
        <v>2417</v>
      </c>
      <c r="AD872" s="133" t="s">
        <v>2417</v>
      </c>
      <c r="AE872" s="123"/>
    </row>
    <row r="873" spans="1:31" ht="21" outlineLevel="3">
      <c r="A873" s="68" t="s">
        <v>1870</v>
      </c>
      <c r="B873" s="62" t="s">
        <v>1871</v>
      </c>
      <c r="C873" s="446" t="s">
        <v>1872</v>
      </c>
      <c r="D873" s="351"/>
      <c r="E873" s="133" t="s">
        <v>2546</v>
      </c>
      <c r="F873" s="133" t="s">
        <v>2417</v>
      </c>
      <c r="G873" s="133" t="s">
        <v>2417</v>
      </c>
      <c r="H873" s="133" t="s">
        <v>2417</v>
      </c>
      <c r="I873" s="133" t="s">
        <v>2417</v>
      </c>
      <c r="J873" s="133" t="s">
        <v>2417</v>
      </c>
      <c r="K873" s="133" t="s">
        <v>2417</v>
      </c>
      <c r="L873" s="133" t="s">
        <v>2417</v>
      </c>
      <c r="M873" s="133" t="s">
        <v>2417</v>
      </c>
      <c r="N873" s="133" t="s">
        <v>2417</v>
      </c>
      <c r="O873" s="133" t="s">
        <v>2417</v>
      </c>
      <c r="P873" s="133" t="s">
        <v>2417</v>
      </c>
      <c r="Q873" s="133" t="s">
        <v>2417</v>
      </c>
      <c r="R873" s="133" t="s">
        <v>2417</v>
      </c>
      <c r="S873" s="133" t="s">
        <v>2417</v>
      </c>
      <c r="T873" s="133" t="s">
        <v>2417</v>
      </c>
      <c r="U873" s="133" t="s">
        <v>2417</v>
      </c>
      <c r="V873" s="133" t="s">
        <v>2417</v>
      </c>
      <c r="W873" s="133" t="s">
        <v>2417</v>
      </c>
      <c r="X873" s="133" t="s">
        <v>2417</v>
      </c>
      <c r="Y873" s="133" t="s">
        <v>2417</v>
      </c>
      <c r="Z873" s="133" t="s">
        <v>2417</v>
      </c>
      <c r="AA873" s="133" t="s">
        <v>2417</v>
      </c>
      <c r="AB873" s="133" t="s">
        <v>2417</v>
      </c>
      <c r="AC873" s="133" t="s">
        <v>2417</v>
      </c>
      <c r="AD873" s="133" t="s">
        <v>2417</v>
      </c>
      <c r="AE873" s="180"/>
    </row>
    <row r="874" spans="1:31" ht="20.399999999999999" outlineLevel="3">
      <c r="A874" s="68" t="s">
        <v>1873</v>
      </c>
      <c r="B874" s="62" t="s">
        <v>1874</v>
      </c>
      <c r="C874" s="360" t="s">
        <v>2825</v>
      </c>
      <c r="D874" s="351"/>
      <c r="E874" s="133" t="s">
        <v>2546</v>
      </c>
      <c r="F874" s="133" t="s">
        <v>2417</v>
      </c>
      <c r="G874" s="133" t="s">
        <v>2417</v>
      </c>
      <c r="H874" s="133" t="s">
        <v>2417</v>
      </c>
      <c r="I874" s="133" t="s">
        <v>2417</v>
      </c>
      <c r="J874" s="133" t="s">
        <v>2417</v>
      </c>
      <c r="K874" s="133" t="s">
        <v>2417</v>
      </c>
      <c r="L874" s="133" t="s">
        <v>2417</v>
      </c>
      <c r="M874" s="133" t="s">
        <v>2417</v>
      </c>
      <c r="N874" s="133" t="s">
        <v>2417</v>
      </c>
      <c r="O874" s="133" t="s">
        <v>2417</v>
      </c>
      <c r="P874" s="133" t="s">
        <v>2417</v>
      </c>
      <c r="Q874" s="133" t="s">
        <v>2417</v>
      </c>
      <c r="R874" s="133" t="s">
        <v>2417</v>
      </c>
      <c r="S874" s="133" t="s">
        <v>2417</v>
      </c>
      <c r="T874" s="133" t="s">
        <v>2417</v>
      </c>
      <c r="U874" s="133" t="s">
        <v>2417</v>
      </c>
      <c r="V874" s="133" t="s">
        <v>2417</v>
      </c>
      <c r="W874" s="133" t="s">
        <v>2417</v>
      </c>
      <c r="X874" s="133" t="s">
        <v>2417</v>
      </c>
      <c r="Y874" s="133" t="s">
        <v>2417</v>
      </c>
      <c r="Z874" s="133" t="s">
        <v>2417</v>
      </c>
      <c r="AA874" s="133" t="s">
        <v>2417</v>
      </c>
      <c r="AB874" s="133" t="s">
        <v>2417</v>
      </c>
      <c r="AC874" s="133" t="s">
        <v>2417</v>
      </c>
      <c r="AD874" s="133" t="s">
        <v>2417</v>
      </c>
      <c r="AE874" s="123"/>
    </row>
    <row r="875" spans="1:31" ht="13.2" outlineLevel="3">
      <c r="A875" s="68" t="s">
        <v>1876</v>
      </c>
      <c r="B875" s="62" t="s">
        <v>1877</v>
      </c>
      <c r="C875" s="447" t="s">
        <v>1878</v>
      </c>
      <c r="D875" s="351"/>
      <c r="E875" s="133" t="s">
        <v>2546</v>
      </c>
      <c r="F875" s="133" t="s">
        <v>2417</v>
      </c>
      <c r="G875" s="133" t="s">
        <v>2417</v>
      </c>
      <c r="H875" s="133" t="s">
        <v>2417</v>
      </c>
      <c r="I875" s="133" t="s">
        <v>2417</v>
      </c>
      <c r="J875" s="133" t="s">
        <v>2417</v>
      </c>
      <c r="K875" s="133" t="s">
        <v>2417</v>
      </c>
      <c r="L875" s="133" t="s">
        <v>2417</v>
      </c>
      <c r="M875" s="133" t="s">
        <v>2417</v>
      </c>
      <c r="N875" s="133" t="s">
        <v>2417</v>
      </c>
      <c r="O875" s="133" t="s">
        <v>2417</v>
      </c>
      <c r="P875" s="133" t="s">
        <v>2417</v>
      </c>
      <c r="Q875" s="133" t="s">
        <v>2417</v>
      </c>
      <c r="R875" s="133" t="s">
        <v>2417</v>
      </c>
      <c r="S875" s="133" t="s">
        <v>2417</v>
      </c>
      <c r="T875" s="133" t="s">
        <v>2417</v>
      </c>
      <c r="U875" s="133" t="s">
        <v>2417</v>
      </c>
      <c r="V875" s="133" t="s">
        <v>2417</v>
      </c>
      <c r="W875" s="133" t="s">
        <v>2417</v>
      </c>
      <c r="X875" s="133" t="s">
        <v>2417</v>
      </c>
      <c r="Y875" s="133" t="s">
        <v>2417</v>
      </c>
      <c r="Z875" s="133" t="s">
        <v>2417</v>
      </c>
      <c r="AA875" s="133" t="s">
        <v>2417</v>
      </c>
      <c r="AB875" s="133" t="s">
        <v>2417</v>
      </c>
      <c r="AC875" s="133" t="s">
        <v>2417</v>
      </c>
      <c r="AD875" s="133" t="s">
        <v>2417</v>
      </c>
      <c r="AE875" s="181"/>
    </row>
    <row r="876" spans="1:31" ht="21" outlineLevel="3">
      <c r="A876" s="68" t="s">
        <v>1882</v>
      </c>
      <c r="B876" s="64" t="s">
        <v>1900</v>
      </c>
      <c r="C876" s="447" t="s">
        <v>1901</v>
      </c>
      <c r="D876" s="351"/>
      <c r="E876" s="133" t="s">
        <v>2546</v>
      </c>
      <c r="F876" s="133" t="s">
        <v>2417</v>
      </c>
      <c r="G876" s="133" t="s">
        <v>2417</v>
      </c>
      <c r="H876" s="133" t="s">
        <v>2417</v>
      </c>
      <c r="I876" s="133" t="s">
        <v>2417</v>
      </c>
      <c r="J876" s="133" t="s">
        <v>2417</v>
      </c>
      <c r="K876" s="133" t="s">
        <v>2417</v>
      </c>
      <c r="L876" s="133" t="s">
        <v>2417</v>
      </c>
      <c r="M876" s="133" t="s">
        <v>2417</v>
      </c>
      <c r="N876" s="133" t="s">
        <v>2417</v>
      </c>
      <c r="O876" s="133" t="s">
        <v>2417</v>
      </c>
      <c r="P876" s="133" t="s">
        <v>2417</v>
      </c>
      <c r="Q876" s="133" t="s">
        <v>2417</v>
      </c>
      <c r="R876" s="133" t="s">
        <v>2417</v>
      </c>
      <c r="S876" s="133" t="s">
        <v>2417</v>
      </c>
      <c r="T876" s="133" t="s">
        <v>2417</v>
      </c>
      <c r="U876" s="133" t="s">
        <v>2417</v>
      </c>
      <c r="V876" s="133" t="s">
        <v>2417</v>
      </c>
      <c r="W876" s="133" t="s">
        <v>2417</v>
      </c>
      <c r="X876" s="133" t="s">
        <v>2417</v>
      </c>
      <c r="Y876" s="133" t="s">
        <v>2417</v>
      </c>
      <c r="Z876" s="133" t="s">
        <v>2417</v>
      </c>
      <c r="AA876" s="133" t="s">
        <v>2417</v>
      </c>
      <c r="AB876" s="133" t="s">
        <v>2417</v>
      </c>
      <c r="AC876" s="133" t="s">
        <v>2417</v>
      </c>
      <c r="AD876" s="133" t="s">
        <v>2417</v>
      </c>
      <c r="AE876" s="181"/>
    </row>
    <row r="877" spans="1:31" ht="13.2" outlineLevel="3">
      <c r="A877" s="68" t="s">
        <v>1888</v>
      </c>
      <c r="B877" s="62" t="s">
        <v>1889</v>
      </c>
      <c r="C877" s="387" t="s">
        <v>1902</v>
      </c>
      <c r="D877" s="351"/>
      <c r="E877" s="133" t="s">
        <v>2546</v>
      </c>
      <c r="F877" s="133" t="s">
        <v>2417</v>
      </c>
      <c r="G877" s="133" t="s">
        <v>2417</v>
      </c>
      <c r="H877" s="133" t="s">
        <v>2417</v>
      </c>
      <c r="I877" s="133" t="s">
        <v>2417</v>
      </c>
      <c r="J877" s="133" t="s">
        <v>2417</v>
      </c>
      <c r="K877" s="133" t="s">
        <v>2417</v>
      </c>
      <c r="L877" s="133" t="s">
        <v>2417</v>
      </c>
      <c r="M877" s="133" t="s">
        <v>2417</v>
      </c>
      <c r="N877" s="133" t="s">
        <v>2417</v>
      </c>
      <c r="O877" s="133" t="s">
        <v>2417</v>
      </c>
      <c r="P877" s="133" t="s">
        <v>2417</v>
      </c>
      <c r="Q877" s="133" t="s">
        <v>2417</v>
      </c>
      <c r="R877" s="133" t="s">
        <v>2417</v>
      </c>
      <c r="S877" s="133" t="s">
        <v>2417</v>
      </c>
      <c r="T877" s="133" t="s">
        <v>2417</v>
      </c>
      <c r="U877" s="133" t="s">
        <v>2417</v>
      </c>
      <c r="V877" s="133" t="s">
        <v>2417</v>
      </c>
      <c r="W877" s="133" t="s">
        <v>2417</v>
      </c>
      <c r="X877" s="133" t="s">
        <v>2417</v>
      </c>
      <c r="Y877" s="133" t="s">
        <v>2417</v>
      </c>
      <c r="Z877" s="133" t="s">
        <v>2417</v>
      </c>
      <c r="AA877" s="133" t="s">
        <v>2417</v>
      </c>
      <c r="AB877" s="133" t="s">
        <v>2417</v>
      </c>
      <c r="AC877" s="133" t="s">
        <v>2417</v>
      </c>
      <c r="AD877" s="133" t="s">
        <v>2417</v>
      </c>
      <c r="AE877" s="59"/>
    </row>
    <row r="878" spans="1:31" ht="13.2" outlineLevel="3">
      <c r="A878" s="68" t="s">
        <v>1891</v>
      </c>
      <c r="B878" s="62" t="s">
        <v>1892</v>
      </c>
      <c r="C878" s="387" t="s">
        <v>1893</v>
      </c>
      <c r="D878" s="351"/>
      <c r="E878" s="133" t="s">
        <v>2546</v>
      </c>
      <c r="F878" s="133" t="s">
        <v>2417</v>
      </c>
      <c r="G878" s="133" t="s">
        <v>2417</v>
      </c>
      <c r="H878" s="133" t="s">
        <v>2417</v>
      </c>
      <c r="I878" s="133" t="s">
        <v>2417</v>
      </c>
      <c r="J878" s="133" t="s">
        <v>2417</v>
      </c>
      <c r="K878" s="133" t="s">
        <v>2417</v>
      </c>
      <c r="L878" s="133" t="s">
        <v>2417</v>
      </c>
      <c r="M878" s="133" t="s">
        <v>2417</v>
      </c>
      <c r="N878" s="133" t="s">
        <v>2417</v>
      </c>
      <c r="O878" s="133" t="s">
        <v>2417</v>
      </c>
      <c r="P878" s="133" t="s">
        <v>2417</v>
      </c>
      <c r="Q878" s="133" t="s">
        <v>2417</v>
      </c>
      <c r="R878" s="133" t="s">
        <v>2417</v>
      </c>
      <c r="S878" s="133" t="s">
        <v>2417</v>
      </c>
      <c r="T878" s="133" t="s">
        <v>2417</v>
      </c>
      <c r="U878" s="133" t="s">
        <v>2417</v>
      </c>
      <c r="V878" s="133" t="s">
        <v>2417</v>
      </c>
      <c r="W878" s="133" t="s">
        <v>2417</v>
      </c>
      <c r="X878" s="133" t="s">
        <v>2417</v>
      </c>
      <c r="Y878" s="133" t="s">
        <v>2417</v>
      </c>
      <c r="Z878" s="133" t="s">
        <v>2417</v>
      </c>
      <c r="AA878" s="133" t="s">
        <v>2417</v>
      </c>
      <c r="AB878" s="133" t="s">
        <v>2417</v>
      </c>
      <c r="AC878" s="133" t="s">
        <v>2417</v>
      </c>
      <c r="AD878" s="133" t="s">
        <v>2417</v>
      </c>
      <c r="AE878" s="59"/>
    </row>
    <row r="879" spans="1:31" ht="13.2" outlineLevel="3">
      <c r="A879" s="68" t="s">
        <v>1894</v>
      </c>
      <c r="B879" s="62" t="s">
        <v>1895</v>
      </c>
      <c r="C879" s="392" t="s">
        <v>1896</v>
      </c>
      <c r="D879" s="351"/>
      <c r="E879" s="133" t="s">
        <v>2546</v>
      </c>
      <c r="F879" s="133" t="s">
        <v>2417</v>
      </c>
      <c r="G879" s="133" t="s">
        <v>2417</v>
      </c>
      <c r="H879" s="133" t="s">
        <v>2417</v>
      </c>
      <c r="I879" s="133" t="s">
        <v>2417</v>
      </c>
      <c r="J879" s="133" t="s">
        <v>2417</v>
      </c>
      <c r="K879" s="133" t="s">
        <v>2417</v>
      </c>
      <c r="L879" s="133" t="s">
        <v>2417</v>
      </c>
      <c r="M879" s="133" t="s">
        <v>2417</v>
      </c>
      <c r="N879" s="133" t="s">
        <v>2417</v>
      </c>
      <c r="O879" s="133" t="s">
        <v>2417</v>
      </c>
      <c r="P879" s="133" t="s">
        <v>2417</v>
      </c>
      <c r="Q879" s="133" t="s">
        <v>2417</v>
      </c>
      <c r="R879" s="133" t="s">
        <v>2417</v>
      </c>
      <c r="S879" s="133" t="s">
        <v>2417</v>
      </c>
      <c r="T879" s="133" t="s">
        <v>2417</v>
      </c>
      <c r="U879" s="133" t="s">
        <v>2417</v>
      </c>
      <c r="V879" s="133" t="s">
        <v>2417</v>
      </c>
      <c r="W879" s="133" t="s">
        <v>2417</v>
      </c>
      <c r="X879" s="133" t="s">
        <v>2417</v>
      </c>
      <c r="Y879" s="133" t="s">
        <v>2417</v>
      </c>
      <c r="Z879" s="133" t="s">
        <v>2417</v>
      </c>
      <c r="AA879" s="133" t="s">
        <v>2417</v>
      </c>
      <c r="AB879" s="133" t="s">
        <v>2417</v>
      </c>
      <c r="AC879" s="133" t="s">
        <v>2417</v>
      </c>
      <c r="AD879" s="133" t="s">
        <v>2417</v>
      </c>
      <c r="AE879" s="57"/>
    </row>
    <row r="880" spans="1:31" ht="13.2" outlineLevel="2">
      <c r="A880" s="426" t="s">
        <v>1903</v>
      </c>
      <c r="B880" s="350"/>
      <c r="C880" s="350"/>
      <c r="D880" s="351"/>
      <c r="E880" s="133" t="s">
        <v>2821</v>
      </c>
      <c r="F880" s="133" t="s">
        <v>2417</v>
      </c>
      <c r="G880" s="133" t="s">
        <v>2417</v>
      </c>
      <c r="H880" s="133" t="s">
        <v>2417</v>
      </c>
      <c r="I880" s="134" t="s">
        <v>2418</v>
      </c>
      <c r="J880" s="133" t="s">
        <v>2417</v>
      </c>
      <c r="K880" s="133" t="s">
        <v>2417</v>
      </c>
      <c r="L880" s="133" t="s">
        <v>2417</v>
      </c>
      <c r="M880" s="133" t="s">
        <v>2417</v>
      </c>
      <c r="N880" s="133" t="s">
        <v>2417</v>
      </c>
      <c r="O880" s="133" t="s">
        <v>2417</v>
      </c>
      <c r="P880" s="133" t="s">
        <v>2417</v>
      </c>
      <c r="Q880" s="133" t="s">
        <v>2417</v>
      </c>
      <c r="R880" s="133" t="s">
        <v>2417</v>
      </c>
      <c r="S880" s="133" t="s">
        <v>2417</v>
      </c>
      <c r="T880" s="133" t="s">
        <v>2417</v>
      </c>
      <c r="U880" s="133" t="s">
        <v>2417</v>
      </c>
      <c r="V880" s="133" t="s">
        <v>2417</v>
      </c>
      <c r="W880" s="133" t="s">
        <v>2417</v>
      </c>
      <c r="X880" s="133" t="s">
        <v>2417</v>
      </c>
      <c r="Y880" s="133" t="s">
        <v>2417</v>
      </c>
      <c r="Z880" s="133" t="s">
        <v>2417</v>
      </c>
      <c r="AA880" s="133" t="s">
        <v>2417</v>
      </c>
      <c r="AB880" s="133" t="s">
        <v>2417</v>
      </c>
      <c r="AC880" s="133" t="s">
        <v>2417</v>
      </c>
      <c r="AD880" s="133" t="s">
        <v>2417</v>
      </c>
      <c r="AE880" s="179"/>
    </row>
    <row r="881" spans="1:31" ht="13.2" outlineLevel="3">
      <c r="A881" s="68" t="s">
        <v>1904</v>
      </c>
      <c r="B881" s="64"/>
      <c r="C881" s="387" t="s">
        <v>1905</v>
      </c>
      <c r="D881" s="351"/>
      <c r="E881" s="133" t="s">
        <v>2821</v>
      </c>
      <c r="F881" s="133" t="s">
        <v>2417</v>
      </c>
      <c r="G881" s="133" t="s">
        <v>2417</v>
      </c>
      <c r="H881" s="133" t="s">
        <v>2417</v>
      </c>
      <c r="I881" s="134" t="s">
        <v>2418</v>
      </c>
      <c r="J881" s="133" t="s">
        <v>2417</v>
      </c>
      <c r="K881" s="133" t="s">
        <v>2417</v>
      </c>
      <c r="L881" s="133" t="s">
        <v>2417</v>
      </c>
      <c r="M881" s="133" t="s">
        <v>2417</v>
      </c>
      <c r="N881" s="133" t="s">
        <v>2417</v>
      </c>
      <c r="O881" s="133" t="s">
        <v>2417</v>
      </c>
      <c r="P881" s="133" t="s">
        <v>2417</v>
      </c>
      <c r="Q881" s="133" t="s">
        <v>2417</v>
      </c>
      <c r="R881" s="133" t="s">
        <v>2417</v>
      </c>
      <c r="S881" s="133" t="s">
        <v>2417</v>
      </c>
      <c r="T881" s="133" t="s">
        <v>2417</v>
      </c>
      <c r="U881" s="133" t="s">
        <v>2417</v>
      </c>
      <c r="V881" s="133" t="s">
        <v>2417</v>
      </c>
      <c r="W881" s="133" t="s">
        <v>2417</v>
      </c>
      <c r="X881" s="133" t="s">
        <v>2417</v>
      </c>
      <c r="Y881" s="133" t="s">
        <v>2417</v>
      </c>
      <c r="Z881" s="133" t="s">
        <v>2417</v>
      </c>
      <c r="AA881" s="133" t="s">
        <v>2417</v>
      </c>
      <c r="AB881" s="133" t="s">
        <v>2417</v>
      </c>
      <c r="AC881" s="133" t="s">
        <v>2417</v>
      </c>
      <c r="AD881" s="133" t="s">
        <v>2417</v>
      </c>
      <c r="AE881" s="59"/>
    </row>
    <row r="882" spans="1:31" ht="13.2" outlineLevel="3">
      <c r="A882" s="68" t="s">
        <v>1906</v>
      </c>
      <c r="B882" s="62" t="s">
        <v>1907</v>
      </c>
      <c r="C882" s="387" t="s">
        <v>1908</v>
      </c>
      <c r="D882" s="351"/>
      <c r="E882" s="133" t="s">
        <v>2821</v>
      </c>
      <c r="F882" s="133" t="s">
        <v>2417</v>
      </c>
      <c r="G882" s="133" t="s">
        <v>2417</v>
      </c>
      <c r="H882" s="133" t="s">
        <v>2417</v>
      </c>
      <c r="I882" s="133" t="s">
        <v>2417</v>
      </c>
      <c r="J882" s="133" t="s">
        <v>2417</v>
      </c>
      <c r="K882" s="133" t="s">
        <v>2417</v>
      </c>
      <c r="L882" s="133" t="s">
        <v>2417</v>
      </c>
      <c r="M882" s="133" t="s">
        <v>2417</v>
      </c>
      <c r="N882" s="133" t="s">
        <v>2417</v>
      </c>
      <c r="O882" s="133" t="s">
        <v>2417</v>
      </c>
      <c r="P882" s="133" t="s">
        <v>2417</v>
      </c>
      <c r="Q882" s="133" t="s">
        <v>2417</v>
      </c>
      <c r="R882" s="133" t="s">
        <v>2417</v>
      </c>
      <c r="S882" s="133" t="s">
        <v>2417</v>
      </c>
      <c r="T882" s="133" t="s">
        <v>2417</v>
      </c>
      <c r="U882" s="133" t="s">
        <v>2417</v>
      </c>
      <c r="V882" s="133" t="s">
        <v>2417</v>
      </c>
      <c r="W882" s="133" t="s">
        <v>2417</v>
      </c>
      <c r="X882" s="133" t="s">
        <v>2417</v>
      </c>
      <c r="Y882" s="133" t="s">
        <v>2417</v>
      </c>
      <c r="Z882" s="133" t="s">
        <v>2417</v>
      </c>
      <c r="AA882" s="133" t="s">
        <v>2417</v>
      </c>
      <c r="AB882" s="133" t="s">
        <v>2417</v>
      </c>
      <c r="AC882" s="133" t="s">
        <v>2417</v>
      </c>
      <c r="AD882" s="133" t="s">
        <v>2417</v>
      </c>
      <c r="AE882" s="59"/>
    </row>
    <row r="883" spans="1:31" ht="20.399999999999999" outlineLevel="3">
      <c r="A883" s="68" t="s">
        <v>1909</v>
      </c>
      <c r="B883" s="62" t="s">
        <v>1871</v>
      </c>
      <c r="C883" s="360" t="s">
        <v>2826</v>
      </c>
      <c r="D883" s="351"/>
      <c r="E883" s="133" t="s">
        <v>2821</v>
      </c>
      <c r="F883" s="133" t="s">
        <v>2417</v>
      </c>
      <c r="G883" s="133" t="s">
        <v>2417</v>
      </c>
      <c r="H883" s="133" t="s">
        <v>2417</v>
      </c>
      <c r="I883" s="133" t="s">
        <v>2417</v>
      </c>
      <c r="J883" s="133" t="s">
        <v>2417</v>
      </c>
      <c r="K883" s="133" t="s">
        <v>2417</v>
      </c>
      <c r="L883" s="133" t="s">
        <v>2417</v>
      </c>
      <c r="M883" s="133" t="s">
        <v>2417</v>
      </c>
      <c r="N883" s="133" t="s">
        <v>2417</v>
      </c>
      <c r="O883" s="133" t="s">
        <v>2417</v>
      </c>
      <c r="P883" s="133" t="s">
        <v>2417</v>
      </c>
      <c r="Q883" s="133" t="s">
        <v>2417</v>
      </c>
      <c r="R883" s="133" t="s">
        <v>2417</v>
      </c>
      <c r="S883" s="133" t="s">
        <v>2417</v>
      </c>
      <c r="T883" s="133" t="s">
        <v>2417</v>
      </c>
      <c r="U883" s="133" t="s">
        <v>2417</v>
      </c>
      <c r="V883" s="133" t="s">
        <v>2417</v>
      </c>
      <c r="W883" s="133" t="s">
        <v>2417</v>
      </c>
      <c r="X883" s="133" t="s">
        <v>2417</v>
      </c>
      <c r="Y883" s="133" t="s">
        <v>2417</v>
      </c>
      <c r="Z883" s="133" t="s">
        <v>2417</v>
      </c>
      <c r="AA883" s="133" t="s">
        <v>2417</v>
      </c>
      <c r="AB883" s="133" t="s">
        <v>2417</v>
      </c>
      <c r="AC883" s="133" t="s">
        <v>2417</v>
      </c>
      <c r="AD883" s="133" t="s">
        <v>2417</v>
      </c>
      <c r="AE883" s="123"/>
    </row>
    <row r="884" spans="1:31" ht="20.399999999999999" outlineLevel="3">
      <c r="A884" s="61" t="s">
        <v>1911</v>
      </c>
      <c r="B884" s="69" t="s">
        <v>1874</v>
      </c>
      <c r="C884" s="360" t="s">
        <v>2827</v>
      </c>
      <c r="D884" s="351"/>
      <c r="E884" s="133" t="s">
        <v>2821</v>
      </c>
      <c r="F884" s="133" t="s">
        <v>2417</v>
      </c>
      <c r="G884" s="133" t="s">
        <v>2417</v>
      </c>
      <c r="H884" s="133" t="s">
        <v>2417</v>
      </c>
      <c r="I884" s="133" t="s">
        <v>2417</v>
      </c>
      <c r="J884" s="133" t="s">
        <v>2417</v>
      </c>
      <c r="K884" s="133" t="s">
        <v>2417</v>
      </c>
      <c r="L884" s="133" t="s">
        <v>2417</v>
      </c>
      <c r="M884" s="133" t="s">
        <v>2417</v>
      </c>
      <c r="N884" s="133" t="s">
        <v>2417</v>
      </c>
      <c r="O884" s="133" t="s">
        <v>2417</v>
      </c>
      <c r="P884" s="133" t="s">
        <v>2417</v>
      </c>
      <c r="Q884" s="133" t="s">
        <v>2417</v>
      </c>
      <c r="R884" s="133" t="s">
        <v>2417</v>
      </c>
      <c r="S884" s="133" t="s">
        <v>2417</v>
      </c>
      <c r="T884" s="133" t="s">
        <v>2417</v>
      </c>
      <c r="U884" s="133" t="s">
        <v>2417</v>
      </c>
      <c r="V884" s="133" t="s">
        <v>2417</v>
      </c>
      <c r="W884" s="133" t="s">
        <v>2417</v>
      </c>
      <c r="X884" s="133" t="s">
        <v>2417</v>
      </c>
      <c r="Y884" s="133" t="s">
        <v>2417</v>
      </c>
      <c r="Z884" s="133" t="s">
        <v>2417</v>
      </c>
      <c r="AA884" s="133" t="s">
        <v>2417</v>
      </c>
      <c r="AB884" s="133" t="s">
        <v>2417</v>
      </c>
      <c r="AC884" s="133" t="s">
        <v>2417</v>
      </c>
      <c r="AD884" s="133" t="s">
        <v>2417</v>
      </c>
      <c r="AE884" s="123"/>
    </row>
    <row r="885" spans="1:31" ht="13.2" outlineLevel="3">
      <c r="A885" s="68" t="s">
        <v>1913</v>
      </c>
      <c r="B885" s="62" t="s">
        <v>1877</v>
      </c>
      <c r="C885" s="387" t="s">
        <v>1878</v>
      </c>
      <c r="D885" s="351"/>
      <c r="E885" s="133" t="s">
        <v>2821</v>
      </c>
      <c r="F885" s="133" t="s">
        <v>2417</v>
      </c>
      <c r="G885" s="133" t="s">
        <v>2417</v>
      </c>
      <c r="H885" s="133" t="s">
        <v>2417</v>
      </c>
      <c r="I885" s="133" t="s">
        <v>2417</v>
      </c>
      <c r="J885" s="133" t="s">
        <v>2417</v>
      </c>
      <c r="K885" s="133" t="s">
        <v>2417</v>
      </c>
      <c r="L885" s="133" t="s">
        <v>2417</v>
      </c>
      <c r="M885" s="133" t="s">
        <v>2417</v>
      </c>
      <c r="N885" s="133" t="s">
        <v>2417</v>
      </c>
      <c r="O885" s="133" t="s">
        <v>2417</v>
      </c>
      <c r="P885" s="133" t="s">
        <v>2417</v>
      </c>
      <c r="Q885" s="133" t="s">
        <v>2417</v>
      </c>
      <c r="R885" s="133" t="s">
        <v>2417</v>
      </c>
      <c r="S885" s="133" t="s">
        <v>2417</v>
      </c>
      <c r="T885" s="133" t="s">
        <v>2417</v>
      </c>
      <c r="U885" s="133" t="s">
        <v>2417</v>
      </c>
      <c r="V885" s="133" t="s">
        <v>2417</v>
      </c>
      <c r="W885" s="133" t="s">
        <v>2417</v>
      </c>
      <c r="X885" s="133" t="s">
        <v>2417</v>
      </c>
      <c r="Y885" s="133" t="s">
        <v>2417</v>
      </c>
      <c r="Z885" s="133" t="s">
        <v>2417</v>
      </c>
      <c r="AA885" s="133" t="s">
        <v>2417</v>
      </c>
      <c r="AB885" s="133" t="s">
        <v>2417</v>
      </c>
      <c r="AC885" s="133" t="s">
        <v>2417</v>
      </c>
      <c r="AD885" s="133" t="s">
        <v>2417</v>
      </c>
      <c r="AE885" s="59"/>
    </row>
    <row r="886" spans="1:31" ht="20.399999999999999" outlineLevel="3">
      <c r="A886" s="68" t="s">
        <v>1913</v>
      </c>
      <c r="B886" s="65" t="s">
        <v>1914</v>
      </c>
      <c r="C886" s="427" t="s">
        <v>1915</v>
      </c>
      <c r="D886" s="351"/>
      <c r="E886" s="133" t="s">
        <v>2821</v>
      </c>
      <c r="F886" s="133" t="s">
        <v>2417</v>
      </c>
      <c r="G886" s="133" t="s">
        <v>2417</v>
      </c>
      <c r="H886" s="133" t="s">
        <v>2417</v>
      </c>
      <c r="I886" s="133" t="s">
        <v>2417</v>
      </c>
      <c r="J886" s="133" t="s">
        <v>3</v>
      </c>
      <c r="K886" s="133" t="s">
        <v>2417</v>
      </c>
      <c r="L886" s="133" t="s">
        <v>2417</v>
      </c>
      <c r="M886" s="133" t="s">
        <v>2417</v>
      </c>
      <c r="N886" s="133" t="s">
        <v>2417</v>
      </c>
      <c r="O886" s="133" t="s">
        <v>2417</v>
      </c>
      <c r="P886" s="133" t="s">
        <v>2417</v>
      </c>
      <c r="Q886" s="133" t="s">
        <v>2417</v>
      </c>
      <c r="R886" s="133" t="s">
        <v>2417</v>
      </c>
      <c r="S886" s="133" t="s">
        <v>2417</v>
      </c>
      <c r="T886" s="133" t="s">
        <v>2417</v>
      </c>
      <c r="U886" s="133" t="s">
        <v>2417</v>
      </c>
      <c r="V886" s="133" t="s">
        <v>2417</v>
      </c>
      <c r="W886" s="133" t="s">
        <v>2417</v>
      </c>
      <c r="X886" s="133" t="s">
        <v>2417</v>
      </c>
      <c r="Y886" s="133" t="s">
        <v>2417</v>
      </c>
      <c r="Z886" s="133" t="s">
        <v>2417</v>
      </c>
      <c r="AA886" s="133" t="s">
        <v>2417</v>
      </c>
      <c r="AB886" s="133" t="s">
        <v>2417</v>
      </c>
      <c r="AC886" s="133" t="s">
        <v>2417</v>
      </c>
      <c r="AD886" s="133" t="s">
        <v>2417</v>
      </c>
      <c r="AE886" s="182"/>
    </row>
    <row r="887" spans="1:31" ht="20.399999999999999" outlineLevel="3">
      <c r="A887" s="68" t="s">
        <v>1916</v>
      </c>
      <c r="B887" s="62" t="s">
        <v>1880</v>
      </c>
      <c r="C887" s="387" t="s">
        <v>2828</v>
      </c>
      <c r="D887" s="351"/>
      <c r="E887" s="133" t="s">
        <v>2823</v>
      </c>
      <c r="F887" s="133" t="s">
        <v>2417</v>
      </c>
      <c r="G887" s="133" t="s">
        <v>2417</v>
      </c>
      <c r="H887" s="133" t="s">
        <v>2417</v>
      </c>
      <c r="I887" s="133" t="s">
        <v>2417</v>
      </c>
      <c r="J887" s="133" t="s">
        <v>2417</v>
      </c>
      <c r="K887" s="133" t="s">
        <v>2417</v>
      </c>
      <c r="L887" s="133" t="s">
        <v>2417</v>
      </c>
      <c r="M887" s="133" t="s">
        <v>2417</v>
      </c>
      <c r="N887" s="133" t="s">
        <v>2417</v>
      </c>
      <c r="O887" s="133" t="s">
        <v>2417</v>
      </c>
      <c r="P887" s="133" t="s">
        <v>2417</v>
      </c>
      <c r="Q887" s="133" t="s">
        <v>2417</v>
      </c>
      <c r="R887" s="133" t="s">
        <v>2417</v>
      </c>
      <c r="S887" s="133" t="s">
        <v>2417</v>
      </c>
      <c r="T887" s="133" t="s">
        <v>2417</v>
      </c>
      <c r="U887" s="133" t="s">
        <v>2417</v>
      </c>
      <c r="V887" s="133" t="s">
        <v>2417</v>
      </c>
      <c r="W887" s="133" t="s">
        <v>2417</v>
      </c>
      <c r="X887" s="133" t="s">
        <v>2417</v>
      </c>
      <c r="Y887" s="133" t="s">
        <v>2417</v>
      </c>
      <c r="Z887" s="133" t="s">
        <v>2417</v>
      </c>
      <c r="AA887" s="133" t="s">
        <v>2417</v>
      </c>
      <c r="AB887" s="133" t="s">
        <v>2417</v>
      </c>
      <c r="AC887" s="133" t="s">
        <v>2417</v>
      </c>
      <c r="AD887" s="133" t="s">
        <v>2417</v>
      </c>
      <c r="AE887" s="59"/>
    </row>
    <row r="888" spans="1:31" ht="30.6" outlineLevel="3">
      <c r="A888" s="68" t="s">
        <v>1916</v>
      </c>
      <c r="B888" s="65" t="s">
        <v>1917</v>
      </c>
      <c r="C888" s="360" t="s">
        <v>1918</v>
      </c>
      <c r="D888" s="351"/>
      <c r="E888" s="133" t="s">
        <v>2823</v>
      </c>
      <c r="F888" s="133" t="s">
        <v>2417</v>
      </c>
      <c r="G888" s="133" t="s">
        <v>2417</v>
      </c>
      <c r="H888" s="133" t="s">
        <v>2417</v>
      </c>
      <c r="I888" s="133" t="s">
        <v>2417</v>
      </c>
      <c r="J888" s="133" t="s">
        <v>3</v>
      </c>
      <c r="K888" s="133" t="s">
        <v>2417</v>
      </c>
      <c r="L888" s="133" t="s">
        <v>2417</v>
      </c>
      <c r="M888" s="133" t="s">
        <v>2417</v>
      </c>
      <c r="N888" s="133" t="s">
        <v>2417</v>
      </c>
      <c r="O888" s="133" t="s">
        <v>2417</v>
      </c>
      <c r="P888" s="133" t="s">
        <v>2417</v>
      </c>
      <c r="Q888" s="133" t="s">
        <v>2417</v>
      </c>
      <c r="R888" s="133" t="s">
        <v>2417</v>
      </c>
      <c r="S888" s="133" t="s">
        <v>2417</v>
      </c>
      <c r="T888" s="133" t="s">
        <v>2417</v>
      </c>
      <c r="U888" s="133" t="s">
        <v>2417</v>
      </c>
      <c r="V888" s="133" t="s">
        <v>2417</v>
      </c>
      <c r="W888" s="133" t="s">
        <v>2417</v>
      </c>
      <c r="X888" s="133" t="s">
        <v>2417</v>
      </c>
      <c r="Y888" s="133" t="s">
        <v>2417</v>
      </c>
      <c r="Z888" s="133" t="s">
        <v>2417</v>
      </c>
      <c r="AA888" s="133" t="s">
        <v>2417</v>
      </c>
      <c r="AB888" s="133" t="s">
        <v>2417</v>
      </c>
      <c r="AC888" s="133" t="s">
        <v>2417</v>
      </c>
      <c r="AD888" s="133" t="s">
        <v>2417</v>
      </c>
      <c r="AE888" s="137"/>
    </row>
    <row r="889" spans="1:31" ht="20.399999999999999" outlineLevel="3">
      <c r="A889" s="68" t="s">
        <v>1919</v>
      </c>
      <c r="B889" s="62" t="s">
        <v>1883</v>
      </c>
      <c r="C889" s="387" t="s">
        <v>2829</v>
      </c>
      <c r="D889" s="351"/>
      <c r="E889" s="133" t="s">
        <v>2824</v>
      </c>
      <c r="F889" s="133" t="s">
        <v>2417</v>
      </c>
      <c r="G889" s="133" t="s">
        <v>2417</v>
      </c>
      <c r="H889" s="133" t="s">
        <v>2417</v>
      </c>
      <c r="I889" s="133" t="s">
        <v>2417</v>
      </c>
      <c r="J889" s="133" t="s">
        <v>2417</v>
      </c>
      <c r="K889" s="133" t="s">
        <v>2417</v>
      </c>
      <c r="L889" s="133" t="s">
        <v>2417</v>
      </c>
      <c r="M889" s="133" t="s">
        <v>2417</v>
      </c>
      <c r="N889" s="133" t="s">
        <v>2417</v>
      </c>
      <c r="O889" s="133" t="s">
        <v>2417</v>
      </c>
      <c r="P889" s="133" t="s">
        <v>2417</v>
      </c>
      <c r="Q889" s="133" t="s">
        <v>2417</v>
      </c>
      <c r="R889" s="133" t="s">
        <v>2417</v>
      </c>
      <c r="S889" s="133" t="s">
        <v>2417</v>
      </c>
      <c r="T889" s="133" t="s">
        <v>2417</v>
      </c>
      <c r="U889" s="133" t="s">
        <v>2417</v>
      </c>
      <c r="V889" s="133" t="s">
        <v>2417</v>
      </c>
      <c r="W889" s="133" t="s">
        <v>2417</v>
      </c>
      <c r="X889" s="133" t="s">
        <v>2417</v>
      </c>
      <c r="Y889" s="133" t="s">
        <v>2417</v>
      </c>
      <c r="Z889" s="133" t="s">
        <v>2417</v>
      </c>
      <c r="AA889" s="133" t="s">
        <v>2417</v>
      </c>
      <c r="AB889" s="133" t="s">
        <v>2417</v>
      </c>
      <c r="AC889" s="133" t="s">
        <v>2417</v>
      </c>
      <c r="AD889" s="133" t="s">
        <v>2417</v>
      </c>
      <c r="AE889" s="59"/>
    </row>
    <row r="890" spans="1:31" ht="30.6" outlineLevel="3">
      <c r="A890" s="68" t="s">
        <v>1919</v>
      </c>
      <c r="B890" s="64" t="s">
        <v>1920</v>
      </c>
      <c r="C890" s="387" t="s">
        <v>1921</v>
      </c>
      <c r="D890" s="351"/>
      <c r="E890" s="133" t="s">
        <v>2824</v>
      </c>
      <c r="F890" s="133" t="s">
        <v>2417</v>
      </c>
      <c r="G890" s="133" t="s">
        <v>2417</v>
      </c>
      <c r="H890" s="133" t="s">
        <v>2417</v>
      </c>
      <c r="I890" s="133" t="s">
        <v>2417</v>
      </c>
      <c r="J890" s="133" t="s">
        <v>3</v>
      </c>
      <c r="K890" s="133" t="s">
        <v>2417</v>
      </c>
      <c r="L890" s="133" t="s">
        <v>2417</v>
      </c>
      <c r="M890" s="133" t="s">
        <v>2417</v>
      </c>
      <c r="N890" s="133" t="s">
        <v>2417</v>
      </c>
      <c r="O890" s="133" t="s">
        <v>2417</v>
      </c>
      <c r="P890" s="133" t="s">
        <v>2417</v>
      </c>
      <c r="Q890" s="133" t="s">
        <v>2417</v>
      </c>
      <c r="R890" s="133" t="s">
        <v>2417</v>
      </c>
      <c r="S890" s="133" t="s">
        <v>2417</v>
      </c>
      <c r="T890" s="133" t="s">
        <v>2417</v>
      </c>
      <c r="U890" s="133" t="s">
        <v>2417</v>
      </c>
      <c r="V890" s="133" t="s">
        <v>2417</v>
      </c>
      <c r="W890" s="133" t="s">
        <v>2417</v>
      </c>
      <c r="X890" s="133" t="s">
        <v>2417</v>
      </c>
      <c r="Y890" s="133" t="s">
        <v>2417</v>
      </c>
      <c r="Z890" s="133" t="s">
        <v>2417</v>
      </c>
      <c r="AA890" s="133" t="s">
        <v>2417</v>
      </c>
      <c r="AB890" s="133" t="s">
        <v>2417</v>
      </c>
      <c r="AC890" s="133" t="s">
        <v>2417</v>
      </c>
      <c r="AD890" s="133" t="s">
        <v>2417</v>
      </c>
      <c r="AE890" s="151"/>
    </row>
    <row r="891" spans="1:31" ht="20.399999999999999" outlineLevel="3">
      <c r="A891" s="68" t="s">
        <v>1922</v>
      </c>
      <c r="B891" s="62" t="s">
        <v>2830</v>
      </c>
      <c r="C891" s="387" t="s">
        <v>2831</v>
      </c>
      <c r="D891" s="351"/>
      <c r="E891" s="133" t="s">
        <v>2824</v>
      </c>
      <c r="F891" s="133" t="s">
        <v>2417</v>
      </c>
      <c r="G891" s="133" t="s">
        <v>2417</v>
      </c>
      <c r="H891" s="133" t="s">
        <v>2417</v>
      </c>
      <c r="I891" s="133" t="s">
        <v>2417</v>
      </c>
      <c r="J891" s="133" t="s">
        <v>2417</v>
      </c>
      <c r="K891" s="133" t="s">
        <v>2417</v>
      </c>
      <c r="L891" s="133" t="s">
        <v>2417</v>
      </c>
      <c r="M891" s="133" t="s">
        <v>2417</v>
      </c>
      <c r="N891" s="133" t="s">
        <v>2417</v>
      </c>
      <c r="O891" s="133" t="s">
        <v>2417</v>
      </c>
      <c r="P891" s="133" t="s">
        <v>2417</v>
      </c>
      <c r="Q891" s="133" t="s">
        <v>2417</v>
      </c>
      <c r="R891" s="133" t="s">
        <v>2417</v>
      </c>
      <c r="S891" s="133" t="s">
        <v>2417</v>
      </c>
      <c r="T891" s="133" t="s">
        <v>2417</v>
      </c>
      <c r="U891" s="133" t="s">
        <v>2417</v>
      </c>
      <c r="V891" s="133" t="s">
        <v>2417</v>
      </c>
      <c r="W891" s="133" t="s">
        <v>2417</v>
      </c>
      <c r="X891" s="133" t="s">
        <v>2417</v>
      </c>
      <c r="Y891" s="133" t="s">
        <v>2417</v>
      </c>
      <c r="Z891" s="133" t="s">
        <v>2417</v>
      </c>
      <c r="AA891" s="133" t="s">
        <v>2417</v>
      </c>
      <c r="AB891" s="133" t="s">
        <v>2417</v>
      </c>
      <c r="AC891" s="133" t="s">
        <v>2417</v>
      </c>
      <c r="AD891" s="133" t="s">
        <v>2417</v>
      </c>
      <c r="AE891" s="59"/>
    </row>
    <row r="892" spans="1:31" ht="30.6" outlineLevel="3">
      <c r="A892" s="68" t="s">
        <v>1922</v>
      </c>
      <c r="B892" s="65" t="s">
        <v>1923</v>
      </c>
      <c r="C892" s="360" t="s">
        <v>2832</v>
      </c>
      <c r="D892" s="351"/>
      <c r="E892" s="133" t="s">
        <v>2824</v>
      </c>
      <c r="F892" s="133" t="s">
        <v>2417</v>
      </c>
      <c r="G892" s="133" t="s">
        <v>2417</v>
      </c>
      <c r="H892" s="133" t="s">
        <v>2417</v>
      </c>
      <c r="I892" s="133" t="s">
        <v>2417</v>
      </c>
      <c r="J892" s="133" t="s">
        <v>3</v>
      </c>
      <c r="K892" s="133" t="s">
        <v>2417</v>
      </c>
      <c r="L892" s="133" t="s">
        <v>2417</v>
      </c>
      <c r="M892" s="133" t="s">
        <v>2417</v>
      </c>
      <c r="N892" s="133" t="s">
        <v>2417</v>
      </c>
      <c r="O892" s="133" t="s">
        <v>2417</v>
      </c>
      <c r="P892" s="133" t="s">
        <v>2417</v>
      </c>
      <c r="Q892" s="133" t="s">
        <v>2417</v>
      </c>
      <c r="R892" s="133" t="s">
        <v>2417</v>
      </c>
      <c r="S892" s="133" t="s">
        <v>2417</v>
      </c>
      <c r="T892" s="133" t="s">
        <v>2417</v>
      </c>
      <c r="U892" s="133" t="s">
        <v>2417</v>
      </c>
      <c r="V892" s="133" t="s">
        <v>2417</v>
      </c>
      <c r="W892" s="133" t="s">
        <v>2417</v>
      </c>
      <c r="X892" s="133" t="s">
        <v>2417</v>
      </c>
      <c r="Y892" s="133" t="s">
        <v>2417</v>
      </c>
      <c r="Z892" s="133" t="s">
        <v>2417</v>
      </c>
      <c r="AA892" s="133" t="s">
        <v>2417</v>
      </c>
      <c r="AB892" s="133" t="s">
        <v>2417</v>
      </c>
      <c r="AC892" s="133" t="s">
        <v>2417</v>
      </c>
      <c r="AD892" s="133" t="s">
        <v>2417</v>
      </c>
      <c r="AE892" s="149"/>
    </row>
    <row r="893" spans="1:31" ht="13.2" outlineLevel="3">
      <c r="A893" s="68" t="s">
        <v>1925</v>
      </c>
      <c r="B893" s="62" t="s">
        <v>1889</v>
      </c>
      <c r="C893" s="387" t="s">
        <v>1902</v>
      </c>
      <c r="D893" s="351"/>
      <c r="E893" s="133" t="s">
        <v>2821</v>
      </c>
      <c r="F893" s="133" t="s">
        <v>2417</v>
      </c>
      <c r="G893" s="133" t="s">
        <v>2417</v>
      </c>
      <c r="H893" s="133" t="s">
        <v>2417</v>
      </c>
      <c r="I893" s="133" t="s">
        <v>2417</v>
      </c>
      <c r="J893" s="133" t="s">
        <v>2417</v>
      </c>
      <c r="K893" s="133" t="s">
        <v>2417</v>
      </c>
      <c r="L893" s="133" t="s">
        <v>2417</v>
      </c>
      <c r="M893" s="133" t="s">
        <v>2417</v>
      </c>
      <c r="N893" s="133" t="s">
        <v>2417</v>
      </c>
      <c r="O893" s="133" t="s">
        <v>2417</v>
      </c>
      <c r="P893" s="133" t="s">
        <v>2417</v>
      </c>
      <c r="Q893" s="133" t="s">
        <v>2417</v>
      </c>
      <c r="R893" s="133" t="s">
        <v>2417</v>
      </c>
      <c r="S893" s="133" t="s">
        <v>2417</v>
      </c>
      <c r="T893" s="133" t="s">
        <v>2417</v>
      </c>
      <c r="U893" s="133" t="s">
        <v>2417</v>
      </c>
      <c r="V893" s="133" t="s">
        <v>2417</v>
      </c>
      <c r="W893" s="133" t="s">
        <v>2417</v>
      </c>
      <c r="X893" s="133" t="s">
        <v>2417</v>
      </c>
      <c r="Y893" s="133" t="s">
        <v>2417</v>
      </c>
      <c r="Z893" s="133" t="s">
        <v>2417</v>
      </c>
      <c r="AA893" s="133" t="s">
        <v>2417</v>
      </c>
      <c r="AB893" s="133" t="s">
        <v>2417</v>
      </c>
      <c r="AC893" s="133" t="s">
        <v>2417</v>
      </c>
      <c r="AD893" s="133" t="s">
        <v>2417</v>
      </c>
      <c r="AE893" s="59"/>
    </row>
    <row r="894" spans="1:31" ht="13.2" outlineLevel="3">
      <c r="A894" s="68" t="s">
        <v>1926</v>
      </c>
      <c r="B894" s="62" t="s">
        <v>1892</v>
      </c>
      <c r="C894" s="387" t="s">
        <v>1893</v>
      </c>
      <c r="D894" s="351"/>
      <c r="E894" s="133" t="s">
        <v>2821</v>
      </c>
      <c r="F894" s="133" t="s">
        <v>2417</v>
      </c>
      <c r="G894" s="133" t="s">
        <v>2417</v>
      </c>
      <c r="H894" s="133" t="s">
        <v>2417</v>
      </c>
      <c r="I894" s="133" t="s">
        <v>2417</v>
      </c>
      <c r="J894" s="133" t="s">
        <v>2417</v>
      </c>
      <c r="K894" s="133" t="s">
        <v>2417</v>
      </c>
      <c r="L894" s="133" t="s">
        <v>2417</v>
      </c>
      <c r="M894" s="133" t="s">
        <v>2417</v>
      </c>
      <c r="N894" s="133" t="s">
        <v>2417</v>
      </c>
      <c r="O894" s="133" t="s">
        <v>2417</v>
      </c>
      <c r="P894" s="133" t="s">
        <v>2417</v>
      </c>
      <c r="Q894" s="133" t="s">
        <v>2417</v>
      </c>
      <c r="R894" s="133" t="s">
        <v>2417</v>
      </c>
      <c r="S894" s="133" t="s">
        <v>2417</v>
      </c>
      <c r="T894" s="133" t="s">
        <v>2417</v>
      </c>
      <c r="U894" s="133" t="s">
        <v>2417</v>
      </c>
      <c r="V894" s="133" t="s">
        <v>2417</v>
      </c>
      <c r="W894" s="133" t="s">
        <v>2417</v>
      </c>
      <c r="X894" s="133" t="s">
        <v>2417</v>
      </c>
      <c r="Y894" s="133" t="s">
        <v>2417</v>
      </c>
      <c r="Z894" s="133" t="s">
        <v>2417</v>
      </c>
      <c r="AA894" s="133" t="s">
        <v>2417</v>
      </c>
      <c r="AB894" s="133" t="s">
        <v>2417</v>
      </c>
      <c r="AC894" s="133" t="s">
        <v>2417</v>
      </c>
      <c r="AD894" s="133" t="s">
        <v>2417</v>
      </c>
      <c r="AE894" s="59"/>
    </row>
    <row r="895" spans="1:31" ht="13.2" outlineLevel="3">
      <c r="A895" s="68" t="s">
        <v>1927</v>
      </c>
      <c r="B895" s="62" t="s">
        <v>1895</v>
      </c>
      <c r="C895" s="387" t="s">
        <v>1896</v>
      </c>
      <c r="D895" s="351"/>
      <c r="E895" s="133" t="s">
        <v>2821</v>
      </c>
      <c r="F895" s="133" t="s">
        <v>2417</v>
      </c>
      <c r="G895" s="133" t="s">
        <v>2417</v>
      </c>
      <c r="H895" s="133" t="s">
        <v>2417</v>
      </c>
      <c r="I895" s="133" t="s">
        <v>2417</v>
      </c>
      <c r="J895" s="133" t="s">
        <v>2417</v>
      </c>
      <c r="K895" s="133" t="s">
        <v>2417</v>
      </c>
      <c r="L895" s="133" t="s">
        <v>2417</v>
      </c>
      <c r="M895" s="133" t="s">
        <v>2417</v>
      </c>
      <c r="N895" s="133" t="s">
        <v>2417</v>
      </c>
      <c r="O895" s="133" t="s">
        <v>2417</v>
      </c>
      <c r="P895" s="133" t="s">
        <v>2417</v>
      </c>
      <c r="Q895" s="133" t="s">
        <v>2417</v>
      </c>
      <c r="R895" s="133" t="s">
        <v>2417</v>
      </c>
      <c r="S895" s="133" t="s">
        <v>2417</v>
      </c>
      <c r="T895" s="133" t="s">
        <v>2417</v>
      </c>
      <c r="U895" s="133" t="s">
        <v>2417</v>
      </c>
      <c r="V895" s="133" t="s">
        <v>2417</v>
      </c>
      <c r="W895" s="133" t="s">
        <v>2417</v>
      </c>
      <c r="X895" s="133" t="s">
        <v>2417</v>
      </c>
      <c r="Y895" s="133" t="s">
        <v>2417</v>
      </c>
      <c r="Z895" s="133" t="s">
        <v>2417</v>
      </c>
      <c r="AA895" s="133" t="s">
        <v>2417</v>
      </c>
      <c r="AB895" s="133" t="s">
        <v>2417</v>
      </c>
      <c r="AC895" s="133" t="s">
        <v>2417</v>
      </c>
      <c r="AD895" s="133" t="s">
        <v>2417</v>
      </c>
      <c r="AE895" s="57"/>
    </row>
    <row r="896" spans="1:31" ht="13.2" outlineLevel="2">
      <c r="A896" s="426" t="s">
        <v>1928</v>
      </c>
      <c r="B896" s="350"/>
      <c r="C896" s="350"/>
      <c r="D896" s="351"/>
      <c r="E896" s="133" t="s">
        <v>2546</v>
      </c>
      <c r="F896" s="133" t="s">
        <v>2417</v>
      </c>
      <c r="G896" s="133" t="s">
        <v>2417</v>
      </c>
      <c r="H896" s="133" t="s">
        <v>2417</v>
      </c>
      <c r="I896" s="134" t="s">
        <v>2418</v>
      </c>
      <c r="J896" s="133" t="s">
        <v>2417</v>
      </c>
      <c r="K896" s="133" t="s">
        <v>2417</v>
      </c>
      <c r="L896" s="133" t="s">
        <v>2417</v>
      </c>
      <c r="M896" s="133" t="s">
        <v>2417</v>
      </c>
      <c r="N896" s="133" t="s">
        <v>2417</v>
      </c>
      <c r="O896" s="133" t="s">
        <v>2417</v>
      </c>
      <c r="P896" s="133" t="s">
        <v>2417</v>
      </c>
      <c r="Q896" s="133" t="s">
        <v>2417</v>
      </c>
      <c r="R896" s="133" t="s">
        <v>2417</v>
      </c>
      <c r="S896" s="133" t="s">
        <v>2417</v>
      </c>
      <c r="T896" s="133" t="s">
        <v>2417</v>
      </c>
      <c r="U896" s="133" t="s">
        <v>2417</v>
      </c>
      <c r="V896" s="133" t="s">
        <v>2417</v>
      </c>
      <c r="W896" s="133" t="s">
        <v>2417</v>
      </c>
      <c r="X896" s="133" t="s">
        <v>2417</v>
      </c>
      <c r="Y896" s="133" t="s">
        <v>2417</v>
      </c>
      <c r="Z896" s="133" t="s">
        <v>2417</v>
      </c>
      <c r="AA896" s="133" t="s">
        <v>2417</v>
      </c>
      <c r="AB896" s="133" t="s">
        <v>2417</v>
      </c>
      <c r="AC896" s="133" t="s">
        <v>2417</v>
      </c>
      <c r="AD896" s="133" t="s">
        <v>2417</v>
      </c>
      <c r="AE896" s="179"/>
    </row>
    <row r="897" spans="1:31" ht="13.2" outlineLevel="3">
      <c r="A897" s="68" t="s">
        <v>1904</v>
      </c>
      <c r="B897" s="64"/>
      <c r="C897" s="387" t="s">
        <v>1905</v>
      </c>
      <c r="D897" s="351"/>
      <c r="E897" s="133" t="s">
        <v>2546</v>
      </c>
      <c r="F897" s="133" t="s">
        <v>2417</v>
      </c>
      <c r="G897" s="133" t="s">
        <v>2417</v>
      </c>
      <c r="H897" s="133" t="s">
        <v>2417</v>
      </c>
      <c r="I897" s="134" t="s">
        <v>2418</v>
      </c>
      <c r="J897" s="133" t="s">
        <v>2417</v>
      </c>
      <c r="K897" s="133" t="s">
        <v>2417</v>
      </c>
      <c r="L897" s="133" t="s">
        <v>2417</v>
      </c>
      <c r="M897" s="133" t="s">
        <v>2417</v>
      </c>
      <c r="N897" s="133" t="s">
        <v>2417</v>
      </c>
      <c r="O897" s="133" t="s">
        <v>2417</v>
      </c>
      <c r="P897" s="133" t="s">
        <v>2417</v>
      </c>
      <c r="Q897" s="133" t="s">
        <v>2417</v>
      </c>
      <c r="R897" s="133" t="s">
        <v>2417</v>
      </c>
      <c r="S897" s="133" t="s">
        <v>2417</v>
      </c>
      <c r="T897" s="133" t="s">
        <v>2417</v>
      </c>
      <c r="U897" s="133" t="s">
        <v>2417</v>
      </c>
      <c r="V897" s="133" t="s">
        <v>2417</v>
      </c>
      <c r="W897" s="133" t="s">
        <v>2417</v>
      </c>
      <c r="X897" s="133" t="s">
        <v>2417</v>
      </c>
      <c r="Y897" s="133" t="s">
        <v>2417</v>
      </c>
      <c r="Z897" s="133" t="s">
        <v>2417</v>
      </c>
      <c r="AA897" s="133" t="s">
        <v>2417</v>
      </c>
      <c r="AB897" s="133" t="s">
        <v>2417</v>
      </c>
      <c r="AC897" s="133" t="s">
        <v>2417</v>
      </c>
      <c r="AD897" s="133" t="s">
        <v>2417</v>
      </c>
      <c r="AE897" s="59"/>
    </row>
    <row r="898" spans="1:31" ht="13.2" outlineLevel="3">
      <c r="A898" s="68" t="s">
        <v>1906</v>
      </c>
      <c r="B898" s="62" t="s">
        <v>1907</v>
      </c>
      <c r="C898" s="387" t="s">
        <v>1908</v>
      </c>
      <c r="D898" s="351"/>
      <c r="E898" s="133" t="s">
        <v>2546</v>
      </c>
      <c r="F898" s="133" t="s">
        <v>2417</v>
      </c>
      <c r="G898" s="133" t="s">
        <v>2417</v>
      </c>
      <c r="H898" s="133" t="s">
        <v>2417</v>
      </c>
      <c r="I898" s="133" t="s">
        <v>2417</v>
      </c>
      <c r="J898" s="133" t="s">
        <v>2417</v>
      </c>
      <c r="K898" s="133" t="s">
        <v>2417</v>
      </c>
      <c r="L898" s="133" t="s">
        <v>2417</v>
      </c>
      <c r="M898" s="133" t="s">
        <v>2417</v>
      </c>
      <c r="N898" s="133" t="s">
        <v>2417</v>
      </c>
      <c r="O898" s="133" t="s">
        <v>2417</v>
      </c>
      <c r="P898" s="133" t="s">
        <v>2417</v>
      </c>
      <c r="Q898" s="133" t="s">
        <v>2417</v>
      </c>
      <c r="R898" s="133" t="s">
        <v>2417</v>
      </c>
      <c r="S898" s="133" t="s">
        <v>2417</v>
      </c>
      <c r="T898" s="133" t="s">
        <v>2417</v>
      </c>
      <c r="U898" s="133" t="s">
        <v>2417</v>
      </c>
      <c r="V898" s="133" t="s">
        <v>2417</v>
      </c>
      <c r="W898" s="133" t="s">
        <v>2417</v>
      </c>
      <c r="X898" s="133" t="s">
        <v>2417</v>
      </c>
      <c r="Y898" s="133" t="s">
        <v>2417</v>
      </c>
      <c r="Z898" s="133" t="s">
        <v>2417</v>
      </c>
      <c r="AA898" s="133" t="s">
        <v>2417</v>
      </c>
      <c r="AB898" s="133" t="s">
        <v>2417</v>
      </c>
      <c r="AC898" s="133" t="s">
        <v>2417</v>
      </c>
      <c r="AD898" s="133" t="s">
        <v>2417</v>
      </c>
      <c r="AE898" s="59"/>
    </row>
    <row r="899" spans="1:31" ht="20.399999999999999" outlineLevel="3">
      <c r="A899" s="68" t="s">
        <v>1909</v>
      </c>
      <c r="B899" s="62" t="s">
        <v>1871</v>
      </c>
      <c r="C899" s="360" t="s">
        <v>2833</v>
      </c>
      <c r="D899" s="351"/>
      <c r="E899" s="133" t="s">
        <v>2546</v>
      </c>
      <c r="F899" s="133" t="s">
        <v>2417</v>
      </c>
      <c r="G899" s="133" t="s">
        <v>2417</v>
      </c>
      <c r="H899" s="133" t="s">
        <v>2417</v>
      </c>
      <c r="I899" s="133" t="s">
        <v>2417</v>
      </c>
      <c r="J899" s="133" t="s">
        <v>2417</v>
      </c>
      <c r="K899" s="133" t="s">
        <v>2417</v>
      </c>
      <c r="L899" s="133" t="s">
        <v>2417</v>
      </c>
      <c r="M899" s="133" t="s">
        <v>2417</v>
      </c>
      <c r="N899" s="133" t="s">
        <v>2417</v>
      </c>
      <c r="O899" s="133" t="s">
        <v>2417</v>
      </c>
      <c r="P899" s="133" t="s">
        <v>2417</v>
      </c>
      <c r="Q899" s="133" t="s">
        <v>2417</v>
      </c>
      <c r="R899" s="133" t="s">
        <v>2417</v>
      </c>
      <c r="S899" s="133" t="s">
        <v>2417</v>
      </c>
      <c r="T899" s="133" t="s">
        <v>2417</v>
      </c>
      <c r="U899" s="133" t="s">
        <v>2417</v>
      </c>
      <c r="V899" s="133" t="s">
        <v>2417</v>
      </c>
      <c r="W899" s="133" t="s">
        <v>2417</v>
      </c>
      <c r="X899" s="133" t="s">
        <v>2417</v>
      </c>
      <c r="Y899" s="133" t="s">
        <v>2417</v>
      </c>
      <c r="Z899" s="133" t="s">
        <v>2417</v>
      </c>
      <c r="AA899" s="133" t="s">
        <v>2417</v>
      </c>
      <c r="AB899" s="133" t="s">
        <v>2417</v>
      </c>
      <c r="AC899" s="133" t="s">
        <v>2417</v>
      </c>
      <c r="AD899" s="133" t="s">
        <v>2417</v>
      </c>
      <c r="AE899" s="123"/>
    </row>
    <row r="900" spans="1:31" ht="20.399999999999999" outlineLevel="3">
      <c r="A900" s="61" t="s">
        <v>1911</v>
      </c>
      <c r="B900" s="69" t="s">
        <v>1874</v>
      </c>
      <c r="C900" s="360" t="s">
        <v>2834</v>
      </c>
      <c r="D900" s="351"/>
      <c r="E900" s="133" t="s">
        <v>2546</v>
      </c>
      <c r="F900" s="133" t="s">
        <v>2417</v>
      </c>
      <c r="G900" s="133" t="s">
        <v>2417</v>
      </c>
      <c r="H900" s="133" t="s">
        <v>2417</v>
      </c>
      <c r="I900" s="133" t="s">
        <v>2417</v>
      </c>
      <c r="J900" s="133" t="s">
        <v>2417</v>
      </c>
      <c r="K900" s="133" t="s">
        <v>2417</v>
      </c>
      <c r="L900" s="133" t="s">
        <v>2417</v>
      </c>
      <c r="M900" s="133" t="s">
        <v>2417</v>
      </c>
      <c r="N900" s="133" t="s">
        <v>2417</v>
      </c>
      <c r="O900" s="133" t="s">
        <v>2417</v>
      </c>
      <c r="P900" s="133" t="s">
        <v>2417</v>
      </c>
      <c r="Q900" s="133" t="s">
        <v>2417</v>
      </c>
      <c r="R900" s="133" t="s">
        <v>2417</v>
      </c>
      <c r="S900" s="133" t="s">
        <v>2417</v>
      </c>
      <c r="T900" s="133" t="s">
        <v>2417</v>
      </c>
      <c r="U900" s="133" t="s">
        <v>2417</v>
      </c>
      <c r="V900" s="133" t="s">
        <v>2417</v>
      </c>
      <c r="W900" s="133" t="s">
        <v>2417</v>
      </c>
      <c r="X900" s="133" t="s">
        <v>2417</v>
      </c>
      <c r="Y900" s="133" t="s">
        <v>2417</v>
      </c>
      <c r="Z900" s="133" t="s">
        <v>2417</v>
      </c>
      <c r="AA900" s="133" t="s">
        <v>2417</v>
      </c>
      <c r="AB900" s="133" t="s">
        <v>2417</v>
      </c>
      <c r="AC900" s="133" t="s">
        <v>2417</v>
      </c>
      <c r="AD900" s="133" t="s">
        <v>2417</v>
      </c>
      <c r="AE900" s="123"/>
    </row>
    <row r="901" spans="1:31" ht="13.2" outlineLevel="3">
      <c r="A901" s="68" t="s">
        <v>1913</v>
      </c>
      <c r="B901" s="62" t="s">
        <v>1877</v>
      </c>
      <c r="C901" s="387" t="s">
        <v>1878</v>
      </c>
      <c r="D901" s="351"/>
      <c r="E901" s="133" t="s">
        <v>2546</v>
      </c>
      <c r="F901" s="133" t="s">
        <v>2417</v>
      </c>
      <c r="G901" s="133" t="s">
        <v>2417</v>
      </c>
      <c r="H901" s="133" t="s">
        <v>2417</v>
      </c>
      <c r="I901" s="133" t="s">
        <v>2417</v>
      </c>
      <c r="J901" s="133" t="s">
        <v>2417</v>
      </c>
      <c r="K901" s="133" t="s">
        <v>2417</v>
      </c>
      <c r="L901" s="133" t="s">
        <v>2417</v>
      </c>
      <c r="M901" s="133" t="s">
        <v>2417</v>
      </c>
      <c r="N901" s="133" t="s">
        <v>2417</v>
      </c>
      <c r="O901" s="133" t="s">
        <v>2417</v>
      </c>
      <c r="P901" s="133" t="s">
        <v>2417</v>
      </c>
      <c r="Q901" s="133" t="s">
        <v>2417</v>
      </c>
      <c r="R901" s="133" t="s">
        <v>2417</v>
      </c>
      <c r="S901" s="133" t="s">
        <v>2417</v>
      </c>
      <c r="T901" s="133" t="s">
        <v>2417</v>
      </c>
      <c r="U901" s="133" t="s">
        <v>2417</v>
      </c>
      <c r="V901" s="133" t="s">
        <v>2417</v>
      </c>
      <c r="W901" s="133" t="s">
        <v>2417</v>
      </c>
      <c r="X901" s="133" t="s">
        <v>2417</v>
      </c>
      <c r="Y901" s="133" t="s">
        <v>2417</v>
      </c>
      <c r="Z901" s="133" t="s">
        <v>2417</v>
      </c>
      <c r="AA901" s="133" t="s">
        <v>2417</v>
      </c>
      <c r="AB901" s="133" t="s">
        <v>2417</v>
      </c>
      <c r="AC901" s="133" t="s">
        <v>2417</v>
      </c>
      <c r="AD901" s="133" t="s">
        <v>2417</v>
      </c>
      <c r="AE901" s="59"/>
    </row>
    <row r="902" spans="1:31" ht="20.399999999999999" outlineLevel="3">
      <c r="A902" s="68" t="s">
        <v>1913</v>
      </c>
      <c r="B902" s="65" t="s">
        <v>1914</v>
      </c>
      <c r="C902" s="427" t="s">
        <v>1931</v>
      </c>
      <c r="D902" s="351"/>
      <c r="E902" s="133" t="s">
        <v>2546</v>
      </c>
      <c r="F902" s="133" t="s">
        <v>2417</v>
      </c>
      <c r="G902" s="133" t="s">
        <v>2417</v>
      </c>
      <c r="H902" s="133" t="s">
        <v>2417</v>
      </c>
      <c r="I902" s="133" t="s">
        <v>2417</v>
      </c>
      <c r="J902" s="133" t="s">
        <v>3</v>
      </c>
      <c r="K902" s="133" t="s">
        <v>2417</v>
      </c>
      <c r="L902" s="133" t="s">
        <v>2417</v>
      </c>
      <c r="M902" s="133" t="s">
        <v>2417</v>
      </c>
      <c r="N902" s="133" t="s">
        <v>2417</v>
      </c>
      <c r="O902" s="133" t="s">
        <v>2417</v>
      </c>
      <c r="P902" s="133" t="s">
        <v>2417</v>
      </c>
      <c r="Q902" s="133" t="s">
        <v>2417</v>
      </c>
      <c r="R902" s="133" t="s">
        <v>2417</v>
      </c>
      <c r="S902" s="133" t="s">
        <v>2417</v>
      </c>
      <c r="T902" s="133" t="s">
        <v>2417</v>
      </c>
      <c r="U902" s="133" t="s">
        <v>2417</v>
      </c>
      <c r="V902" s="133" t="s">
        <v>2417</v>
      </c>
      <c r="W902" s="133" t="s">
        <v>2417</v>
      </c>
      <c r="X902" s="133" t="s">
        <v>2417</v>
      </c>
      <c r="Y902" s="133" t="s">
        <v>2417</v>
      </c>
      <c r="Z902" s="133" t="s">
        <v>2417</v>
      </c>
      <c r="AA902" s="133" t="s">
        <v>2417</v>
      </c>
      <c r="AB902" s="133" t="s">
        <v>2417</v>
      </c>
      <c r="AC902" s="133" t="s">
        <v>2417</v>
      </c>
      <c r="AD902" s="133" t="s">
        <v>2417</v>
      </c>
      <c r="AE902" s="182"/>
    </row>
    <row r="903" spans="1:31" ht="20.399999999999999" outlineLevel="3">
      <c r="A903" s="68" t="s">
        <v>1916</v>
      </c>
      <c r="B903" s="64" t="s">
        <v>1900</v>
      </c>
      <c r="C903" s="387" t="s">
        <v>2835</v>
      </c>
      <c r="D903" s="351"/>
      <c r="E903" s="133" t="s">
        <v>2546</v>
      </c>
      <c r="F903" s="133" t="s">
        <v>2417</v>
      </c>
      <c r="G903" s="133" t="s">
        <v>2417</v>
      </c>
      <c r="H903" s="133" t="s">
        <v>2417</v>
      </c>
      <c r="I903" s="133" t="s">
        <v>2417</v>
      </c>
      <c r="J903" s="133" t="s">
        <v>2417</v>
      </c>
      <c r="K903" s="133" t="s">
        <v>2417</v>
      </c>
      <c r="L903" s="133" t="s">
        <v>2417</v>
      </c>
      <c r="M903" s="133" t="s">
        <v>2417</v>
      </c>
      <c r="N903" s="133" t="s">
        <v>2417</v>
      </c>
      <c r="O903" s="133" t="s">
        <v>2417</v>
      </c>
      <c r="P903" s="133" t="s">
        <v>2417</v>
      </c>
      <c r="Q903" s="133" t="s">
        <v>2417</v>
      </c>
      <c r="R903" s="133" t="s">
        <v>2417</v>
      </c>
      <c r="S903" s="133" t="s">
        <v>2417</v>
      </c>
      <c r="T903" s="133" t="s">
        <v>2417</v>
      </c>
      <c r="U903" s="133" t="s">
        <v>2417</v>
      </c>
      <c r="V903" s="133" t="s">
        <v>2417</v>
      </c>
      <c r="W903" s="133" t="s">
        <v>2417</v>
      </c>
      <c r="X903" s="133" t="s">
        <v>2417</v>
      </c>
      <c r="Y903" s="133" t="s">
        <v>2417</v>
      </c>
      <c r="Z903" s="133" t="s">
        <v>2417</v>
      </c>
      <c r="AA903" s="133" t="s">
        <v>2417</v>
      </c>
      <c r="AB903" s="133" t="s">
        <v>2417</v>
      </c>
      <c r="AC903" s="133" t="s">
        <v>2417</v>
      </c>
      <c r="AD903" s="133" t="s">
        <v>2417</v>
      </c>
      <c r="AE903" s="59"/>
    </row>
    <row r="904" spans="1:31" ht="30.6" outlineLevel="3">
      <c r="A904" s="68" t="s">
        <v>1916</v>
      </c>
      <c r="B904" s="65" t="s">
        <v>1932</v>
      </c>
      <c r="C904" s="360" t="s">
        <v>1933</v>
      </c>
      <c r="D904" s="351"/>
      <c r="E904" s="133" t="s">
        <v>2546</v>
      </c>
      <c r="F904" s="133" t="s">
        <v>2417</v>
      </c>
      <c r="G904" s="133" t="s">
        <v>2417</v>
      </c>
      <c r="H904" s="133" t="s">
        <v>2417</v>
      </c>
      <c r="I904" s="133" t="s">
        <v>2417</v>
      </c>
      <c r="J904" s="133" t="s">
        <v>3</v>
      </c>
      <c r="K904" s="133" t="s">
        <v>2417</v>
      </c>
      <c r="L904" s="133" t="s">
        <v>2417</v>
      </c>
      <c r="M904" s="133" t="s">
        <v>2417</v>
      </c>
      <c r="N904" s="133" t="s">
        <v>2417</v>
      </c>
      <c r="O904" s="133" t="s">
        <v>2417</v>
      </c>
      <c r="P904" s="133" t="s">
        <v>2417</v>
      </c>
      <c r="Q904" s="133" t="s">
        <v>2417</v>
      </c>
      <c r="R904" s="133" t="s">
        <v>2417</v>
      </c>
      <c r="S904" s="133" t="s">
        <v>2417</v>
      </c>
      <c r="T904" s="133" t="s">
        <v>2417</v>
      </c>
      <c r="U904" s="133" t="s">
        <v>2417</v>
      </c>
      <c r="V904" s="133" t="s">
        <v>2417</v>
      </c>
      <c r="W904" s="133" t="s">
        <v>2417</v>
      </c>
      <c r="X904" s="133" t="s">
        <v>2417</v>
      </c>
      <c r="Y904" s="133" t="s">
        <v>2417</v>
      </c>
      <c r="Z904" s="133" t="s">
        <v>2417</v>
      </c>
      <c r="AA904" s="133" t="s">
        <v>2417</v>
      </c>
      <c r="AB904" s="133" t="s">
        <v>2417</v>
      </c>
      <c r="AC904" s="133" t="s">
        <v>2417</v>
      </c>
      <c r="AD904" s="133" t="s">
        <v>2417</v>
      </c>
      <c r="AE904" s="137"/>
    </row>
    <row r="905" spans="1:31" ht="13.2" outlineLevel="3">
      <c r="A905" s="68" t="s">
        <v>1919</v>
      </c>
      <c r="B905" s="62" t="s">
        <v>1889</v>
      </c>
      <c r="C905" s="387" t="s">
        <v>1902</v>
      </c>
      <c r="D905" s="351"/>
      <c r="E905" s="133" t="s">
        <v>2546</v>
      </c>
      <c r="F905" s="133" t="s">
        <v>2417</v>
      </c>
      <c r="G905" s="133" t="s">
        <v>2417</v>
      </c>
      <c r="H905" s="133" t="s">
        <v>2417</v>
      </c>
      <c r="I905" s="133" t="s">
        <v>2417</v>
      </c>
      <c r="J905" s="133" t="s">
        <v>2417</v>
      </c>
      <c r="K905" s="133" t="s">
        <v>2417</v>
      </c>
      <c r="L905" s="133" t="s">
        <v>2417</v>
      </c>
      <c r="M905" s="133" t="s">
        <v>2417</v>
      </c>
      <c r="N905" s="133" t="s">
        <v>2417</v>
      </c>
      <c r="O905" s="133" t="s">
        <v>2417</v>
      </c>
      <c r="P905" s="133" t="s">
        <v>2417</v>
      </c>
      <c r="Q905" s="133" t="s">
        <v>2417</v>
      </c>
      <c r="R905" s="133" t="s">
        <v>2417</v>
      </c>
      <c r="S905" s="133" t="s">
        <v>2417</v>
      </c>
      <c r="T905" s="133" t="s">
        <v>2417</v>
      </c>
      <c r="U905" s="133" t="s">
        <v>2417</v>
      </c>
      <c r="V905" s="133" t="s">
        <v>2417</v>
      </c>
      <c r="W905" s="133" t="s">
        <v>2417</v>
      </c>
      <c r="X905" s="133" t="s">
        <v>2417</v>
      </c>
      <c r="Y905" s="133" t="s">
        <v>2417</v>
      </c>
      <c r="Z905" s="133" t="s">
        <v>2417</v>
      </c>
      <c r="AA905" s="133" t="s">
        <v>2417</v>
      </c>
      <c r="AB905" s="133" t="s">
        <v>2417</v>
      </c>
      <c r="AC905" s="133" t="s">
        <v>2417</v>
      </c>
      <c r="AD905" s="133" t="s">
        <v>2417</v>
      </c>
      <c r="AE905" s="59"/>
    </row>
    <row r="906" spans="1:31" ht="13.2" outlineLevel="3">
      <c r="A906" s="68" t="s">
        <v>1922</v>
      </c>
      <c r="B906" s="62" t="s">
        <v>1892</v>
      </c>
      <c r="C906" s="387" t="s">
        <v>1893</v>
      </c>
      <c r="D906" s="351"/>
      <c r="E906" s="133" t="s">
        <v>2546</v>
      </c>
      <c r="F906" s="133" t="s">
        <v>2417</v>
      </c>
      <c r="G906" s="133" t="s">
        <v>2417</v>
      </c>
      <c r="H906" s="133" t="s">
        <v>2417</v>
      </c>
      <c r="I906" s="133" t="s">
        <v>2417</v>
      </c>
      <c r="J906" s="133" t="s">
        <v>2417</v>
      </c>
      <c r="K906" s="133" t="s">
        <v>2417</v>
      </c>
      <c r="L906" s="133" t="s">
        <v>2417</v>
      </c>
      <c r="M906" s="133" t="s">
        <v>2417</v>
      </c>
      <c r="N906" s="133" t="s">
        <v>2417</v>
      </c>
      <c r="O906" s="133" t="s">
        <v>2417</v>
      </c>
      <c r="P906" s="133" t="s">
        <v>2417</v>
      </c>
      <c r="Q906" s="133" t="s">
        <v>2417</v>
      </c>
      <c r="R906" s="133" t="s">
        <v>2417</v>
      </c>
      <c r="S906" s="133" t="s">
        <v>2417</v>
      </c>
      <c r="T906" s="133" t="s">
        <v>2417</v>
      </c>
      <c r="U906" s="133" t="s">
        <v>2417</v>
      </c>
      <c r="V906" s="133" t="s">
        <v>2417</v>
      </c>
      <c r="W906" s="133" t="s">
        <v>2417</v>
      </c>
      <c r="X906" s="133" t="s">
        <v>2417</v>
      </c>
      <c r="Y906" s="133" t="s">
        <v>2417</v>
      </c>
      <c r="Z906" s="133" t="s">
        <v>2417</v>
      </c>
      <c r="AA906" s="133" t="s">
        <v>2417</v>
      </c>
      <c r="AB906" s="133" t="s">
        <v>2417</v>
      </c>
      <c r="AC906" s="133" t="s">
        <v>2417</v>
      </c>
      <c r="AD906" s="133" t="s">
        <v>2417</v>
      </c>
      <c r="AE906" s="59"/>
    </row>
    <row r="907" spans="1:31" ht="13.2" outlineLevel="3">
      <c r="A907" s="68" t="s">
        <v>1925</v>
      </c>
      <c r="B907" s="62" t="s">
        <v>1895</v>
      </c>
      <c r="C907" s="387" t="s">
        <v>1896</v>
      </c>
      <c r="D907" s="351"/>
      <c r="E907" s="133" t="s">
        <v>2546</v>
      </c>
      <c r="F907" s="133" t="s">
        <v>2417</v>
      </c>
      <c r="G907" s="133" t="s">
        <v>2417</v>
      </c>
      <c r="H907" s="133" t="s">
        <v>2417</v>
      </c>
      <c r="I907" s="133" t="s">
        <v>2417</v>
      </c>
      <c r="J907" s="133" t="s">
        <v>2417</v>
      </c>
      <c r="K907" s="133" t="s">
        <v>2417</v>
      </c>
      <c r="L907" s="133" t="s">
        <v>2417</v>
      </c>
      <c r="M907" s="133" t="s">
        <v>2417</v>
      </c>
      <c r="N907" s="133" t="s">
        <v>2417</v>
      </c>
      <c r="O907" s="133" t="s">
        <v>2417</v>
      </c>
      <c r="P907" s="133" t="s">
        <v>2417</v>
      </c>
      <c r="Q907" s="133" t="s">
        <v>2417</v>
      </c>
      <c r="R907" s="133" t="s">
        <v>2417</v>
      </c>
      <c r="S907" s="133" t="s">
        <v>2417</v>
      </c>
      <c r="T907" s="133" t="s">
        <v>2417</v>
      </c>
      <c r="U907" s="133" t="s">
        <v>2417</v>
      </c>
      <c r="V907" s="133" t="s">
        <v>2417</v>
      </c>
      <c r="W907" s="133" t="s">
        <v>2417</v>
      </c>
      <c r="X907" s="133" t="s">
        <v>2417</v>
      </c>
      <c r="Y907" s="133" t="s">
        <v>2417</v>
      </c>
      <c r="Z907" s="133" t="s">
        <v>2417</v>
      </c>
      <c r="AA907" s="133" t="s">
        <v>2417</v>
      </c>
      <c r="AB907" s="133" t="s">
        <v>2417</v>
      </c>
      <c r="AC907" s="133" t="s">
        <v>2417</v>
      </c>
      <c r="AD907" s="133" t="s">
        <v>2417</v>
      </c>
      <c r="AE907" s="57"/>
    </row>
    <row r="908" spans="1:31" ht="13.2" outlineLevel="1">
      <c r="A908" s="386" t="s">
        <v>1934</v>
      </c>
      <c r="B908" s="350"/>
      <c r="C908" s="350"/>
      <c r="D908" s="351"/>
      <c r="E908" s="133" t="s">
        <v>2417</v>
      </c>
      <c r="F908" s="133" t="s">
        <v>2417</v>
      </c>
      <c r="G908" s="133" t="s">
        <v>2417</v>
      </c>
      <c r="H908" s="133" t="s">
        <v>2417</v>
      </c>
      <c r="I908" s="134" t="s">
        <v>2418</v>
      </c>
      <c r="J908" s="133" t="s">
        <v>2417</v>
      </c>
      <c r="K908" s="133" t="s">
        <v>2417</v>
      </c>
      <c r="L908" s="133" t="s">
        <v>2417</v>
      </c>
      <c r="M908" s="133" t="s">
        <v>2417</v>
      </c>
      <c r="N908" s="133" t="s">
        <v>2417</v>
      </c>
      <c r="O908" s="133" t="s">
        <v>2417</v>
      </c>
      <c r="P908" s="133" t="s">
        <v>2417</v>
      </c>
      <c r="Q908" s="133" t="s">
        <v>2417</v>
      </c>
      <c r="R908" s="133" t="s">
        <v>2417</v>
      </c>
      <c r="S908" s="133" t="s">
        <v>2417</v>
      </c>
      <c r="T908" s="133" t="s">
        <v>2417</v>
      </c>
      <c r="U908" s="133" t="s">
        <v>2417</v>
      </c>
      <c r="V908" s="133" t="s">
        <v>2417</v>
      </c>
      <c r="W908" s="133" t="s">
        <v>2417</v>
      </c>
      <c r="X908" s="133" t="s">
        <v>2417</v>
      </c>
      <c r="Y908" s="133" t="s">
        <v>2417</v>
      </c>
      <c r="Z908" s="133" t="s">
        <v>2417</v>
      </c>
      <c r="AA908" s="133" t="s">
        <v>2417</v>
      </c>
      <c r="AB908" s="133" t="s">
        <v>2417</v>
      </c>
      <c r="AC908" s="133" t="s">
        <v>2417</v>
      </c>
      <c r="AD908" s="133" t="s">
        <v>2417</v>
      </c>
      <c r="AE908" s="139"/>
    </row>
    <row r="909" spans="1:31" ht="20.399999999999999" outlineLevel="2">
      <c r="A909" s="68" t="s">
        <v>1935</v>
      </c>
      <c r="B909" s="65" t="s">
        <v>1936</v>
      </c>
      <c r="C909" s="360" t="s">
        <v>1937</v>
      </c>
      <c r="D909" s="351"/>
      <c r="E909" s="133" t="s">
        <v>2417</v>
      </c>
      <c r="F909" s="133" t="s">
        <v>2417</v>
      </c>
      <c r="G909" s="133" t="s">
        <v>2417</v>
      </c>
      <c r="H909" s="133" t="s">
        <v>2417</v>
      </c>
      <c r="I909" s="133" t="s">
        <v>2417</v>
      </c>
      <c r="J909" s="133" t="s">
        <v>2417</v>
      </c>
      <c r="K909" s="133" t="s">
        <v>2417</v>
      </c>
      <c r="L909" s="133" t="s">
        <v>2417</v>
      </c>
      <c r="M909" s="133" t="s">
        <v>2417</v>
      </c>
      <c r="N909" s="133" t="s">
        <v>2417</v>
      </c>
      <c r="O909" s="133" t="s">
        <v>2417</v>
      </c>
      <c r="P909" s="133" t="s">
        <v>2417</v>
      </c>
      <c r="Q909" s="133" t="s">
        <v>2417</v>
      </c>
      <c r="R909" s="133" t="s">
        <v>2417</v>
      </c>
      <c r="S909" s="133" t="s">
        <v>2417</v>
      </c>
      <c r="T909" s="133" t="s">
        <v>2417</v>
      </c>
      <c r="U909" s="133" t="s">
        <v>2417</v>
      </c>
      <c r="V909" s="133" t="s">
        <v>2417</v>
      </c>
      <c r="W909" s="133" t="s">
        <v>2417</v>
      </c>
      <c r="X909" s="133" t="s">
        <v>2417</v>
      </c>
      <c r="Y909" s="133" t="s">
        <v>2417</v>
      </c>
      <c r="Z909" s="133" t="s">
        <v>2417</v>
      </c>
      <c r="AA909" s="133" t="s">
        <v>2417</v>
      </c>
      <c r="AB909" s="133" t="s">
        <v>2417</v>
      </c>
      <c r="AC909" s="133" t="s">
        <v>2417</v>
      </c>
      <c r="AD909" s="133" t="s">
        <v>2417</v>
      </c>
      <c r="AE909" s="123"/>
    </row>
    <row r="910" spans="1:31" ht="13.2" outlineLevel="2">
      <c r="A910" s="428" t="s">
        <v>1938</v>
      </c>
      <c r="B910" s="350"/>
      <c r="C910" s="350"/>
      <c r="D910" s="351"/>
      <c r="E910" s="133" t="s">
        <v>2824</v>
      </c>
      <c r="F910" s="133" t="s">
        <v>2417</v>
      </c>
      <c r="G910" s="133" t="s">
        <v>2417</v>
      </c>
      <c r="H910" s="133" t="s">
        <v>2417</v>
      </c>
      <c r="I910" s="134" t="s">
        <v>2418</v>
      </c>
      <c r="J910" s="133" t="s">
        <v>2417</v>
      </c>
      <c r="K910" s="133" t="s">
        <v>2417</v>
      </c>
      <c r="L910" s="133" t="s">
        <v>2417</v>
      </c>
      <c r="M910" s="133" t="s">
        <v>2417</v>
      </c>
      <c r="N910" s="133" t="s">
        <v>2417</v>
      </c>
      <c r="O910" s="133" t="s">
        <v>2417</v>
      </c>
      <c r="P910" s="133" t="s">
        <v>2417</v>
      </c>
      <c r="Q910" s="133" t="s">
        <v>2417</v>
      </c>
      <c r="R910" s="133" t="s">
        <v>2417</v>
      </c>
      <c r="S910" s="133" t="s">
        <v>2417</v>
      </c>
      <c r="T910" s="133" t="s">
        <v>2417</v>
      </c>
      <c r="U910" s="133" t="s">
        <v>2417</v>
      </c>
      <c r="V910" s="133" t="s">
        <v>2417</v>
      </c>
      <c r="W910" s="133" t="s">
        <v>2417</v>
      </c>
      <c r="X910" s="133" t="s">
        <v>2417</v>
      </c>
      <c r="Y910" s="133" t="s">
        <v>2417</v>
      </c>
      <c r="Z910" s="133" t="s">
        <v>2417</v>
      </c>
      <c r="AA910" s="133" t="s">
        <v>2417</v>
      </c>
      <c r="AB910" s="133" t="s">
        <v>2417</v>
      </c>
      <c r="AC910" s="133" t="s">
        <v>2417</v>
      </c>
      <c r="AD910" s="133" t="s">
        <v>2417</v>
      </c>
      <c r="AE910" s="183"/>
    </row>
    <row r="911" spans="1:31" ht="13.2" outlineLevel="3">
      <c r="A911" s="68" t="s">
        <v>1939</v>
      </c>
      <c r="B911" s="64"/>
      <c r="C911" s="360" t="s">
        <v>1940</v>
      </c>
      <c r="D911" s="351"/>
      <c r="E911" s="133" t="s">
        <v>2824</v>
      </c>
      <c r="F911" s="133" t="s">
        <v>2417</v>
      </c>
      <c r="G911" s="133" t="s">
        <v>2417</v>
      </c>
      <c r="H911" s="133" t="s">
        <v>2417</v>
      </c>
      <c r="I911" s="134" t="s">
        <v>2418</v>
      </c>
      <c r="J911" s="133" t="s">
        <v>2417</v>
      </c>
      <c r="K911" s="133" t="s">
        <v>2417</v>
      </c>
      <c r="L911" s="133" t="s">
        <v>2417</v>
      </c>
      <c r="M911" s="133" t="s">
        <v>2417</v>
      </c>
      <c r="N911" s="133" t="s">
        <v>2417</v>
      </c>
      <c r="O911" s="133" t="s">
        <v>2417</v>
      </c>
      <c r="P911" s="133" t="s">
        <v>2417</v>
      </c>
      <c r="Q911" s="133" t="s">
        <v>2417</v>
      </c>
      <c r="R911" s="133" t="s">
        <v>2417</v>
      </c>
      <c r="S911" s="133" t="s">
        <v>2417</v>
      </c>
      <c r="T911" s="133" t="s">
        <v>2417</v>
      </c>
      <c r="U911" s="133" t="s">
        <v>2417</v>
      </c>
      <c r="V911" s="133" t="s">
        <v>2417</v>
      </c>
      <c r="W911" s="133" t="s">
        <v>2417</v>
      </c>
      <c r="X911" s="133" t="s">
        <v>2417</v>
      </c>
      <c r="Y911" s="133" t="s">
        <v>2417</v>
      </c>
      <c r="Z911" s="133" t="s">
        <v>2417</v>
      </c>
      <c r="AA911" s="133" t="s">
        <v>2417</v>
      </c>
      <c r="AB911" s="133" t="s">
        <v>2417</v>
      </c>
      <c r="AC911" s="133" t="s">
        <v>2417</v>
      </c>
      <c r="AD911" s="133" t="s">
        <v>2417</v>
      </c>
      <c r="AE911" s="123"/>
    </row>
    <row r="912" spans="1:31" ht="13.2" outlineLevel="3">
      <c r="A912" s="68" t="s">
        <v>1941</v>
      </c>
      <c r="B912" s="97" t="s">
        <v>1942</v>
      </c>
      <c r="C912" s="427" t="s">
        <v>2836</v>
      </c>
      <c r="D912" s="351"/>
      <c r="E912" s="133" t="s">
        <v>2824</v>
      </c>
      <c r="F912" s="133" t="s">
        <v>2417</v>
      </c>
      <c r="G912" s="133" t="s">
        <v>2417</v>
      </c>
      <c r="H912" s="133" t="s">
        <v>2417</v>
      </c>
      <c r="I912" s="133" t="s">
        <v>2417</v>
      </c>
      <c r="J912" s="133" t="s">
        <v>2417</v>
      </c>
      <c r="K912" s="133" t="s">
        <v>2417</v>
      </c>
      <c r="L912" s="133" t="s">
        <v>2417</v>
      </c>
      <c r="M912" s="133" t="s">
        <v>2417</v>
      </c>
      <c r="N912" s="133" t="s">
        <v>2417</v>
      </c>
      <c r="O912" s="133" t="s">
        <v>2417</v>
      </c>
      <c r="P912" s="133" t="s">
        <v>2417</v>
      </c>
      <c r="Q912" s="133" t="s">
        <v>2417</v>
      </c>
      <c r="R912" s="133" t="s">
        <v>2417</v>
      </c>
      <c r="S912" s="133" t="s">
        <v>2417</v>
      </c>
      <c r="T912" s="133" t="s">
        <v>2417</v>
      </c>
      <c r="U912" s="133" t="s">
        <v>2417</v>
      </c>
      <c r="V912" s="133" t="s">
        <v>2417</v>
      </c>
      <c r="W912" s="133" t="s">
        <v>2417</v>
      </c>
      <c r="X912" s="133" t="s">
        <v>2417</v>
      </c>
      <c r="Y912" s="133" t="s">
        <v>2417</v>
      </c>
      <c r="Z912" s="133" t="s">
        <v>2417</v>
      </c>
      <c r="AA912" s="133" t="s">
        <v>2417</v>
      </c>
      <c r="AB912" s="133" t="s">
        <v>2417</v>
      </c>
      <c r="AC912" s="133" t="s">
        <v>2417</v>
      </c>
      <c r="AD912" s="133" t="s">
        <v>2417</v>
      </c>
      <c r="AE912" s="180"/>
    </row>
    <row r="913" spans="1:31" ht="13.2" outlineLevel="3">
      <c r="A913" s="68" t="s">
        <v>1944</v>
      </c>
      <c r="B913" s="97" t="s">
        <v>1945</v>
      </c>
      <c r="C913" s="360" t="s">
        <v>2837</v>
      </c>
      <c r="D913" s="351"/>
      <c r="E913" s="133" t="s">
        <v>2824</v>
      </c>
      <c r="F913" s="133" t="s">
        <v>2417</v>
      </c>
      <c r="G913" s="133" t="s">
        <v>2417</v>
      </c>
      <c r="H913" s="133" t="s">
        <v>2417</v>
      </c>
      <c r="I913" s="133" t="s">
        <v>2417</v>
      </c>
      <c r="J913" s="133" t="s">
        <v>2417</v>
      </c>
      <c r="K913" s="133" t="s">
        <v>2417</v>
      </c>
      <c r="L913" s="133" t="s">
        <v>2417</v>
      </c>
      <c r="M913" s="133" t="s">
        <v>2417</v>
      </c>
      <c r="N913" s="133" t="s">
        <v>2417</v>
      </c>
      <c r="O913" s="133" t="s">
        <v>2417</v>
      </c>
      <c r="P913" s="133" t="s">
        <v>2417</v>
      </c>
      <c r="Q913" s="133" t="s">
        <v>2417</v>
      </c>
      <c r="R913" s="133" t="s">
        <v>2417</v>
      </c>
      <c r="S913" s="133" t="s">
        <v>2417</v>
      </c>
      <c r="T913" s="133" t="s">
        <v>2417</v>
      </c>
      <c r="U913" s="133" t="s">
        <v>2417</v>
      </c>
      <c r="V913" s="133" t="s">
        <v>2417</v>
      </c>
      <c r="W913" s="133" t="s">
        <v>2417</v>
      </c>
      <c r="X913" s="133" t="s">
        <v>2417</v>
      </c>
      <c r="Y913" s="133" t="s">
        <v>2417</v>
      </c>
      <c r="Z913" s="133" t="s">
        <v>2417</v>
      </c>
      <c r="AA913" s="133" t="s">
        <v>2417</v>
      </c>
      <c r="AB913" s="133" t="s">
        <v>2417</v>
      </c>
      <c r="AC913" s="133" t="s">
        <v>2417</v>
      </c>
      <c r="AD913" s="133" t="s">
        <v>2417</v>
      </c>
      <c r="AE913" s="123"/>
    </row>
    <row r="914" spans="1:31" ht="20.399999999999999" outlineLevel="3">
      <c r="A914" s="68" t="s">
        <v>1947</v>
      </c>
      <c r="B914" s="97" t="s">
        <v>1948</v>
      </c>
      <c r="C914" s="429" t="s">
        <v>1949</v>
      </c>
      <c r="D914" s="351"/>
      <c r="E914" s="133" t="s">
        <v>2824</v>
      </c>
      <c r="F914" s="133" t="s">
        <v>2417</v>
      </c>
      <c r="G914" s="133" t="s">
        <v>2417</v>
      </c>
      <c r="H914" s="133" t="s">
        <v>2417</v>
      </c>
      <c r="I914" s="133" t="s">
        <v>2417</v>
      </c>
      <c r="J914" s="133" t="s">
        <v>2417</v>
      </c>
      <c r="K914" s="133" t="s">
        <v>2417</v>
      </c>
      <c r="L914" s="133" t="s">
        <v>2417</v>
      </c>
      <c r="M914" s="133" t="s">
        <v>2417</v>
      </c>
      <c r="N914" s="133" t="s">
        <v>2417</v>
      </c>
      <c r="O914" s="133" t="s">
        <v>2417</v>
      </c>
      <c r="P914" s="133" t="s">
        <v>2417</v>
      </c>
      <c r="Q914" s="133" t="s">
        <v>2417</v>
      </c>
      <c r="R914" s="133" t="s">
        <v>2417</v>
      </c>
      <c r="S914" s="133" t="s">
        <v>2417</v>
      </c>
      <c r="T914" s="133" t="s">
        <v>2417</v>
      </c>
      <c r="U914" s="133" t="s">
        <v>2417</v>
      </c>
      <c r="V914" s="133" t="s">
        <v>2417</v>
      </c>
      <c r="W914" s="133" t="s">
        <v>2417</v>
      </c>
      <c r="X914" s="133" t="s">
        <v>2417</v>
      </c>
      <c r="Y914" s="133" t="s">
        <v>2417</v>
      </c>
      <c r="Z914" s="133" t="s">
        <v>2417</v>
      </c>
      <c r="AA914" s="133" t="s">
        <v>2417</v>
      </c>
      <c r="AB914" s="133" t="s">
        <v>2417</v>
      </c>
      <c r="AC914" s="133" t="s">
        <v>2417</v>
      </c>
      <c r="AD914" s="133" t="s">
        <v>2417</v>
      </c>
      <c r="AE914" s="184"/>
    </row>
    <row r="915" spans="1:31" ht="20.399999999999999" outlineLevel="3">
      <c r="A915" s="68" t="s">
        <v>1950</v>
      </c>
      <c r="B915" s="97" t="s">
        <v>1951</v>
      </c>
      <c r="C915" s="429" t="s">
        <v>2838</v>
      </c>
      <c r="D915" s="351"/>
      <c r="E915" s="133" t="s">
        <v>2824</v>
      </c>
      <c r="F915" s="133" t="s">
        <v>2417</v>
      </c>
      <c r="G915" s="133" t="s">
        <v>2417</v>
      </c>
      <c r="H915" s="133" t="s">
        <v>2417</v>
      </c>
      <c r="I915" s="133" t="s">
        <v>2417</v>
      </c>
      <c r="J915" s="133" t="s">
        <v>2417</v>
      </c>
      <c r="K915" s="133" t="s">
        <v>2417</v>
      </c>
      <c r="L915" s="133" t="s">
        <v>2417</v>
      </c>
      <c r="M915" s="133" t="s">
        <v>2417</v>
      </c>
      <c r="N915" s="133" t="s">
        <v>2417</v>
      </c>
      <c r="O915" s="133" t="s">
        <v>2417</v>
      </c>
      <c r="P915" s="133" t="s">
        <v>2417</v>
      </c>
      <c r="Q915" s="133" t="s">
        <v>2417</v>
      </c>
      <c r="R915" s="133" t="s">
        <v>2417</v>
      </c>
      <c r="S915" s="133" t="s">
        <v>2417</v>
      </c>
      <c r="T915" s="133" t="s">
        <v>2417</v>
      </c>
      <c r="U915" s="133" t="s">
        <v>2417</v>
      </c>
      <c r="V915" s="133" t="s">
        <v>2417</v>
      </c>
      <c r="W915" s="133" t="s">
        <v>2417</v>
      </c>
      <c r="X915" s="133" t="s">
        <v>2417</v>
      </c>
      <c r="Y915" s="133" t="s">
        <v>2417</v>
      </c>
      <c r="Z915" s="133" t="s">
        <v>2417</v>
      </c>
      <c r="AA915" s="133" t="s">
        <v>2417</v>
      </c>
      <c r="AB915" s="133" t="s">
        <v>2417</v>
      </c>
      <c r="AC915" s="133" t="s">
        <v>2417</v>
      </c>
      <c r="AD915" s="133" t="s">
        <v>2417</v>
      </c>
      <c r="AE915" s="184"/>
    </row>
    <row r="916" spans="1:31" ht="13.2" outlineLevel="3">
      <c r="A916" s="68" t="s">
        <v>1953</v>
      </c>
      <c r="B916" s="62" t="s">
        <v>1895</v>
      </c>
      <c r="C916" s="429" t="s">
        <v>1954</v>
      </c>
      <c r="D916" s="351"/>
      <c r="E916" s="133" t="s">
        <v>2824</v>
      </c>
      <c r="F916" s="133" t="s">
        <v>2417</v>
      </c>
      <c r="G916" s="133" t="s">
        <v>2417</v>
      </c>
      <c r="H916" s="133" t="s">
        <v>2417</v>
      </c>
      <c r="I916" s="133" t="s">
        <v>2417</v>
      </c>
      <c r="J916" s="133" t="s">
        <v>2417</v>
      </c>
      <c r="K916" s="133" t="s">
        <v>2417</v>
      </c>
      <c r="L916" s="133" t="s">
        <v>2417</v>
      </c>
      <c r="M916" s="133" t="s">
        <v>2417</v>
      </c>
      <c r="N916" s="133" t="s">
        <v>2417</v>
      </c>
      <c r="O916" s="133" t="s">
        <v>2417</v>
      </c>
      <c r="P916" s="133" t="s">
        <v>2417</v>
      </c>
      <c r="Q916" s="133" t="s">
        <v>2417</v>
      </c>
      <c r="R916" s="133" t="s">
        <v>2417</v>
      </c>
      <c r="S916" s="133" t="s">
        <v>2417</v>
      </c>
      <c r="T916" s="133" t="s">
        <v>2417</v>
      </c>
      <c r="U916" s="133" t="s">
        <v>2417</v>
      </c>
      <c r="V916" s="133" t="s">
        <v>2417</v>
      </c>
      <c r="W916" s="133" t="s">
        <v>2417</v>
      </c>
      <c r="X916" s="133" t="s">
        <v>2417</v>
      </c>
      <c r="Y916" s="133" t="s">
        <v>2417</v>
      </c>
      <c r="Z916" s="133" t="s">
        <v>2417</v>
      </c>
      <c r="AA916" s="133" t="s">
        <v>2417</v>
      </c>
      <c r="AB916" s="133" t="s">
        <v>2417</v>
      </c>
      <c r="AC916" s="133" t="s">
        <v>2417</v>
      </c>
      <c r="AD916" s="133" t="s">
        <v>2417</v>
      </c>
      <c r="AE916" s="184"/>
    </row>
    <row r="917" spans="1:31" ht="13.2" outlineLevel="2">
      <c r="A917" s="428" t="s">
        <v>1955</v>
      </c>
      <c r="B917" s="350"/>
      <c r="C917" s="350"/>
      <c r="D917" s="351"/>
      <c r="E917" s="133" t="s">
        <v>2546</v>
      </c>
      <c r="F917" s="133" t="s">
        <v>2417</v>
      </c>
      <c r="G917" s="133" t="s">
        <v>2417</v>
      </c>
      <c r="H917" s="133" t="s">
        <v>2417</v>
      </c>
      <c r="I917" s="134" t="s">
        <v>2418</v>
      </c>
      <c r="J917" s="133" t="s">
        <v>2417</v>
      </c>
      <c r="K917" s="133" t="s">
        <v>2417</v>
      </c>
      <c r="L917" s="133" t="s">
        <v>2417</v>
      </c>
      <c r="M917" s="133" t="s">
        <v>2417</v>
      </c>
      <c r="N917" s="133" t="s">
        <v>2417</v>
      </c>
      <c r="O917" s="133" t="s">
        <v>2417</v>
      </c>
      <c r="P917" s="133" t="s">
        <v>2417</v>
      </c>
      <c r="Q917" s="133" t="s">
        <v>2417</v>
      </c>
      <c r="R917" s="133" t="s">
        <v>2417</v>
      </c>
      <c r="S917" s="133" t="s">
        <v>2417</v>
      </c>
      <c r="T917" s="133" t="s">
        <v>2417</v>
      </c>
      <c r="U917" s="133" t="s">
        <v>2417</v>
      </c>
      <c r="V917" s="133" t="s">
        <v>2417</v>
      </c>
      <c r="W917" s="133" t="s">
        <v>2417</v>
      </c>
      <c r="X917" s="133" t="s">
        <v>2417</v>
      </c>
      <c r="Y917" s="133" t="s">
        <v>2417</v>
      </c>
      <c r="Z917" s="133" t="s">
        <v>2417</v>
      </c>
      <c r="AA917" s="133" t="s">
        <v>2417</v>
      </c>
      <c r="AB917" s="133" t="s">
        <v>2417</v>
      </c>
      <c r="AC917" s="133" t="s">
        <v>2417</v>
      </c>
      <c r="AD917" s="133" t="s">
        <v>2417</v>
      </c>
      <c r="AE917" s="183"/>
    </row>
    <row r="918" spans="1:31" ht="13.2" outlineLevel="3">
      <c r="A918" s="68" t="s">
        <v>1956</v>
      </c>
      <c r="B918" s="64"/>
      <c r="C918" s="360" t="s">
        <v>1940</v>
      </c>
      <c r="D918" s="351"/>
      <c r="E918" s="133" t="s">
        <v>2546</v>
      </c>
      <c r="F918" s="133" t="s">
        <v>2417</v>
      </c>
      <c r="G918" s="133" t="s">
        <v>2417</v>
      </c>
      <c r="H918" s="133" t="s">
        <v>2417</v>
      </c>
      <c r="I918" s="134" t="s">
        <v>2418</v>
      </c>
      <c r="J918" s="133" t="s">
        <v>2417</v>
      </c>
      <c r="K918" s="133" t="s">
        <v>2417</v>
      </c>
      <c r="L918" s="133" t="s">
        <v>2417</v>
      </c>
      <c r="M918" s="133" t="s">
        <v>2417</v>
      </c>
      <c r="N918" s="133" t="s">
        <v>2417</v>
      </c>
      <c r="O918" s="133" t="s">
        <v>2417</v>
      </c>
      <c r="P918" s="133" t="s">
        <v>2417</v>
      </c>
      <c r="Q918" s="133" t="s">
        <v>2417</v>
      </c>
      <c r="R918" s="133" t="s">
        <v>2417</v>
      </c>
      <c r="S918" s="133" t="s">
        <v>2417</v>
      </c>
      <c r="T918" s="133" t="s">
        <v>2417</v>
      </c>
      <c r="U918" s="133" t="s">
        <v>2417</v>
      </c>
      <c r="V918" s="133" t="s">
        <v>2417</v>
      </c>
      <c r="W918" s="133" t="s">
        <v>2417</v>
      </c>
      <c r="X918" s="133" t="s">
        <v>2417</v>
      </c>
      <c r="Y918" s="133" t="s">
        <v>2417</v>
      </c>
      <c r="Z918" s="133" t="s">
        <v>2417</v>
      </c>
      <c r="AA918" s="133" t="s">
        <v>2417</v>
      </c>
      <c r="AB918" s="133" t="s">
        <v>2417</v>
      </c>
      <c r="AC918" s="133" t="s">
        <v>2417</v>
      </c>
      <c r="AD918" s="133" t="s">
        <v>2417</v>
      </c>
      <c r="AE918" s="123"/>
    </row>
    <row r="919" spans="1:31" ht="13.2" outlineLevel="3">
      <c r="A919" s="68" t="s">
        <v>1957</v>
      </c>
      <c r="B919" s="97" t="s">
        <v>1942</v>
      </c>
      <c r="C919" s="427" t="s">
        <v>2839</v>
      </c>
      <c r="D919" s="351"/>
      <c r="E919" s="133" t="s">
        <v>2546</v>
      </c>
      <c r="F919" s="133" t="s">
        <v>2417</v>
      </c>
      <c r="G919" s="133" t="s">
        <v>2417</v>
      </c>
      <c r="H919" s="133" t="s">
        <v>2417</v>
      </c>
      <c r="I919" s="133" t="s">
        <v>2417</v>
      </c>
      <c r="J919" s="133" t="s">
        <v>2417</v>
      </c>
      <c r="K919" s="133" t="s">
        <v>2417</v>
      </c>
      <c r="L919" s="133" t="s">
        <v>2417</v>
      </c>
      <c r="M919" s="133" t="s">
        <v>2417</v>
      </c>
      <c r="N919" s="133" t="s">
        <v>2417</v>
      </c>
      <c r="O919" s="133" t="s">
        <v>2417</v>
      </c>
      <c r="P919" s="133" t="s">
        <v>2417</v>
      </c>
      <c r="Q919" s="133" t="s">
        <v>2417</v>
      </c>
      <c r="R919" s="133" t="s">
        <v>2417</v>
      </c>
      <c r="S919" s="133" t="s">
        <v>2417</v>
      </c>
      <c r="T919" s="133" t="s">
        <v>2417</v>
      </c>
      <c r="U919" s="133" t="s">
        <v>2417</v>
      </c>
      <c r="V919" s="133" t="s">
        <v>2417</v>
      </c>
      <c r="W919" s="133" t="s">
        <v>2417</v>
      </c>
      <c r="X919" s="133" t="s">
        <v>2417</v>
      </c>
      <c r="Y919" s="133" t="s">
        <v>2417</v>
      </c>
      <c r="Z919" s="133" t="s">
        <v>2417</v>
      </c>
      <c r="AA919" s="133" t="s">
        <v>2417</v>
      </c>
      <c r="AB919" s="133" t="s">
        <v>2417</v>
      </c>
      <c r="AC919" s="133" t="s">
        <v>2417</v>
      </c>
      <c r="AD919" s="133" t="s">
        <v>2417</v>
      </c>
      <c r="AE919" s="180"/>
    </row>
    <row r="920" spans="1:31" ht="13.2" outlineLevel="3">
      <c r="A920" s="68" t="s">
        <v>1959</v>
      </c>
      <c r="B920" s="97" t="s">
        <v>1945</v>
      </c>
      <c r="C920" s="360" t="s">
        <v>2840</v>
      </c>
      <c r="D920" s="351"/>
      <c r="E920" s="133" t="s">
        <v>2546</v>
      </c>
      <c r="F920" s="133" t="s">
        <v>2417</v>
      </c>
      <c r="G920" s="133" t="s">
        <v>2417</v>
      </c>
      <c r="H920" s="133" t="s">
        <v>2417</v>
      </c>
      <c r="I920" s="133" t="s">
        <v>2417</v>
      </c>
      <c r="J920" s="133" t="s">
        <v>2417</v>
      </c>
      <c r="K920" s="133" t="s">
        <v>2417</v>
      </c>
      <c r="L920" s="133" t="s">
        <v>2417</v>
      </c>
      <c r="M920" s="133" t="s">
        <v>2417</v>
      </c>
      <c r="N920" s="133" t="s">
        <v>2417</v>
      </c>
      <c r="O920" s="133" t="s">
        <v>2417</v>
      </c>
      <c r="P920" s="133" t="s">
        <v>2417</v>
      </c>
      <c r="Q920" s="133" t="s">
        <v>2417</v>
      </c>
      <c r="R920" s="133" t="s">
        <v>2417</v>
      </c>
      <c r="S920" s="133" t="s">
        <v>2417</v>
      </c>
      <c r="T920" s="133" t="s">
        <v>2417</v>
      </c>
      <c r="U920" s="133" t="s">
        <v>2417</v>
      </c>
      <c r="V920" s="133" t="s">
        <v>2417</v>
      </c>
      <c r="W920" s="133" t="s">
        <v>2417</v>
      </c>
      <c r="X920" s="133" t="s">
        <v>2417</v>
      </c>
      <c r="Y920" s="133" t="s">
        <v>2417</v>
      </c>
      <c r="Z920" s="133" t="s">
        <v>2417</v>
      </c>
      <c r="AA920" s="133" t="s">
        <v>2417</v>
      </c>
      <c r="AB920" s="133" t="s">
        <v>2417</v>
      </c>
      <c r="AC920" s="133" t="s">
        <v>2417</v>
      </c>
      <c r="AD920" s="133" t="s">
        <v>2417</v>
      </c>
      <c r="AE920" s="123"/>
    </row>
    <row r="921" spans="1:31" ht="20.399999999999999" outlineLevel="3">
      <c r="A921" s="68" t="s">
        <v>1961</v>
      </c>
      <c r="B921" s="97" t="s">
        <v>1948</v>
      </c>
      <c r="C921" s="429" t="s">
        <v>1949</v>
      </c>
      <c r="D921" s="351"/>
      <c r="E921" s="133" t="s">
        <v>2546</v>
      </c>
      <c r="F921" s="133" t="s">
        <v>2417</v>
      </c>
      <c r="G921" s="133" t="s">
        <v>2417</v>
      </c>
      <c r="H921" s="133" t="s">
        <v>2417</v>
      </c>
      <c r="I921" s="133" t="s">
        <v>2417</v>
      </c>
      <c r="J921" s="133" t="s">
        <v>2417</v>
      </c>
      <c r="K921" s="133" t="s">
        <v>2417</v>
      </c>
      <c r="L921" s="133" t="s">
        <v>2417</v>
      </c>
      <c r="M921" s="133" t="s">
        <v>2417</v>
      </c>
      <c r="N921" s="133" t="s">
        <v>2417</v>
      </c>
      <c r="O921" s="133" t="s">
        <v>2417</v>
      </c>
      <c r="P921" s="133" t="s">
        <v>2417</v>
      </c>
      <c r="Q921" s="133" t="s">
        <v>2417</v>
      </c>
      <c r="R921" s="133" t="s">
        <v>2417</v>
      </c>
      <c r="S921" s="133" t="s">
        <v>2417</v>
      </c>
      <c r="T921" s="133" t="s">
        <v>2417</v>
      </c>
      <c r="U921" s="133" t="s">
        <v>2417</v>
      </c>
      <c r="V921" s="133" t="s">
        <v>2417</v>
      </c>
      <c r="W921" s="133" t="s">
        <v>2417</v>
      </c>
      <c r="X921" s="133" t="s">
        <v>2417</v>
      </c>
      <c r="Y921" s="133" t="s">
        <v>2417</v>
      </c>
      <c r="Z921" s="133" t="s">
        <v>2417</v>
      </c>
      <c r="AA921" s="133" t="s">
        <v>2417</v>
      </c>
      <c r="AB921" s="133" t="s">
        <v>2417</v>
      </c>
      <c r="AC921" s="133" t="s">
        <v>2417</v>
      </c>
      <c r="AD921" s="133" t="s">
        <v>2417</v>
      </c>
      <c r="AE921" s="184"/>
    </row>
    <row r="922" spans="1:31" ht="20.399999999999999" outlineLevel="3">
      <c r="A922" s="68" t="s">
        <v>1962</v>
      </c>
      <c r="B922" s="98" t="s">
        <v>1963</v>
      </c>
      <c r="C922" s="429" t="s">
        <v>1964</v>
      </c>
      <c r="D922" s="351"/>
      <c r="E922" s="133" t="s">
        <v>2546</v>
      </c>
      <c r="F922" s="133" t="s">
        <v>2417</v>
      </c>
      <c r="G922" s="133" t="s">
        <v>2417</v>
      </c>
      <c r="H922" s="133" t="s">
        <v>2417</v>
      </c>
      <c r="I922" s="133" t="s">
        <v>2417</v>
      </c>
      <c r="J922" s="133" t="s">
        <v>2417</v>
      </c>
      <c r="K922" s="133" t="s">
        <v>2417</v>
      </c>
      <c r="L922" s="133" t="s">
        <v>2417</v>
      </c>
      <c r="M922" s="133" t="s">
        <v>2417</v>
      </c>
      <c r="N922" s="133" t="s">
        <v>2417</v>
      </c>
      <c r="O922" s="133" t="s">
        <v>2417</v>
      </c>
      <c r="P922" s="133" t="s">
        <v>2417</v>
      </c>
      <c r="Q922" s="133" t="s">
        <v>2417</v>
      </c>
      <c r="R922" s="133" t="s">
        <v>2417</v>
      </c>
      <c r="S922" s="133" t="s">
        <v>2417</v>
      </c>
      <c r="T922" s="133" t="s">
        <v>2417</v>
      </c>
      <c r="U922" s="133" t="s">
        <v>2417</v>
      </c>
      <c r="V922" s="133" t="s">
        <v>2417</v>
      </c>
      <c r="W922" s="133" t="s">
        <v>2417</v>
      </c>
      <c r="X922" s="133" t="s">
        <v>2417</v>
      </c>
      <c r="Y922" s="133" t="s">
        <v>2417</v>
      </c>
      <c r="Z922" s="133" t="s">
        <v>2417</v>
      </c>
      <c r="AA922" s="133" t="s">
        <v>2417</v>
      </c>
      <c r="AB922" s="133" t="s">
        <v>2417</v>
      </c>
      <c r="AC922" s="133" t="s">
        <v>2417</v>
      </c>
      <c r="AD922" s="133" t="s">
        <v>2417</v>
      </c>
      <c r="AE922" s="181"/>
    </row>
    <row r="923" spans="1:31" ht="13.2" outlineLevel="3">
      <c r="A923" s="68" t="s">
        <v>1965</v>
      </c>
      <c r="B923" s="62" t="s">
        <v>1895</v>
      </c>
      <c r="C923" s="429" t="s">
        <v>1954</v>
      </c>
      <c r="D923" s="351"/>
      <c r="E923" s="133" t="s">
        <v>2546</v>
      </c>
      <c r="F923" s="133" t="s">
        <v>2417</v>
      </c>
      <c r="G923" s="133" t="s">
        <v>2417</v>
      </c>
      <c r="H923" s="133" t="s">
        <v>2417</v>
      </c>
      <c r="I923" s="133" t="s">
        <v>2417</v>
      </c>
      <c r="J923" s="133" t="s">
        <v>2417</v>
      </c>
      <c r="K923" s="133" t="s">
        <v>2417</v>
      </c>
      <c r="L923" s="133" t="s">
        <v>2417</v>
      </c>
      <c r="M923" s="133" t="s">
        <v>2417</v>
      </c>
      <c r="N923" s="133" t="s">
        <v>2417</v>
      </c>
      <c r="O923" s="133" t="s">
        <v>2417</v>
      </c>
      <c r="P923" s="133" t="s">
        <v>2417</v>
      </c>
      <c r="Q923" s="133" t="s">
        <v>2417</v>
      </c>
      <c r="R923" s="133" t="s">
        <v>2417</v>
      </c>
      <c r="S923" s="133" t="s">
        <v>2417</v>
      </c>
      <c r="T923" s="133" t="s">
        <v>2417</v>
      </c>
      <c r="U923" s="133" t="s">
        <v>2417</v>
      </c>
      <c r="V923" s="133" t="s">
        <v>2417</v>
      </c>
      <c r="W923" s="133" t="s">
        <v>2417</v>
      </c>
      <c r="X923" s="133" t="s">
        <v>2417</v>
      </c>
      <c r="Y923" s="133" t="s">
        <v>2417</v>
      </c>
      <c r="Z923" s="133" t="s">
        <v>2417</v>
      </c>
      <c r="AA923" s="133" t="s">
        <v>2417</v>
      </c>
      <c r="AB923" s="133" t="s">
        <v>2417</v>
      </c>
      <c r="AC923" s="133" t="s">
        <v>2417</v>
      </c>
      <c r="AD923" s="133" t="s">
        <v>2417</v>
      </c>
      <c r="AE923" s="184"/>
    </row>
    <row r="924" spans="1:31" ht="13.2" hidden="1" outlineLevel="2">
      <c r="A924" s="449" t="s">
        <v>2841</v>
      </c>
      <c r="B924" s="350"/>
      <c r="C924" s="350"/>
      <c r="D924" s="351"/>
      <c r="E924" s="133" t="s">
        <v>2565</v>
      </c>
      <c r="F924" s="133" t="s">
        <v>2417</v>
      </c>
      <c r="G924" s="133" t="s">
        <v>2417</v>
      </c>
      <c r="H924" s="133" t="s">
        <v>2417</v>
      </c>
      <c r="I924" s="134" t="s">
        <v>2418</v>
      </c>
      <c r="J924" s="133" t="s">
        <v>2417</v>
      </c>
      <c r="K924" s="133" t="s">
        <v>2417</v>
      </c>
      <c r="L924" s="133" t="s">
        <v>2417</v>
      </c>
      <c r="M924" s="133" t="s">
        <v>2417</v>
      </c>
      <c r="N924" s="133" t="s">
        <v>2417</v>
      </c>
      <c r="O924" s="133" t="s">
        <v>2417</v>
      </c>
      <c r="P924" s="133" t="s">
        <v>2417</v>
      </c>
      <c r="Q924" s="133" t="s">
        <v>2417</v>
      </c>
      <c r="R924" s="133" t="s">
        <v>2417</v>
      </c>
      <c r="S924" s="133" t="s">
        <v>2417</v>
      </c>
      <c r="T924" s="133" t="s">
        <v>2417</v>
      </c>
      <c r="U924" s="133" t="s">
        <v>2417</v>
      </c>
      <c r="V924" s="133" t="s">
        <v>2417</v>
      </c>
      <c r="W924" s="133" t="s">
        <v>2417</v>
      </c>
      <c r="X924" s="133" t="s">
        <v>2417</v>
      </c>
      <c r="Y924" s="133" t="s">
        <v>2417</v>
      </c>
      <c r="Z924" s="133" t="s">
        <v>2417</v>
      </c>
      <c r="AA924" s="133" t="s">
        <v>2417</v>
      </c>
      <c r="AB924" s="133" t="s">
        <v>2417</v>
      </c>
      <c r="AC924" s="133" t="s">
        <v>2417</v>
      </c>
      <c r="AD924" s="133" t="s">
        <v>2417</v>
      </c>
      <c r="AE924" s="185"/>
    </row>
    <row r="925" spans="1:31" ht="13.2" hidden="1" outlineLevel="3">
      <c r="A925" s="68" t="s">
        <v>2842</v>
      </c>
      <c r="B925" s="97"/>
      <c r="C925" s="360" t="s">
        <v>2843</v>
      </c>
      <c r="D925" s="351"/>
      <c r="E925" s="133" t="s">
        <v>2565</v>
      </c>
      <c r="F925" s="133" t="s">
        <v>2417</v>
      </c>
      <c r="G925" s="133" t="s">
        <v>2417</v>
      </c>
      <c r="H925" s="133" t="s">
        <v>2417</v>
      </c>
      <c r="I925" s="134" t="s">
        <v>2418</v>
      </c>
      <c r="J925" s="133" t="s">
        <v>2417</v>
      </c>
      <c r="K925" s="133" t="s">
        <v>2417</v>
      </c>
      <c r="L925" s="133" t="s">
        <v>2417</v>
      </c>
      <c r="M925" s="133" t="s">
        <v>2417</v>
      </c>
      <c r="N925" s="133" t="s">
        <v>2417</v>
      </c>
      <c r="O925" s="133" t="s">
        <v>2417</v>
      </c>
      <c r="P925" s="133" t="s">
        <v>2417</v>
      </c>
      <c r="Q925" s="133" t="s">
        <v>2417</v>
      </c>
      <c r="R925" s="133" t="s">
        <v>2417</v>
      </c>
      <c r="S925" s="133" t="s">
        <v>2417</v>
      </c>
      <c r="T925" s="133" t="s">
        <v>2417</v>
      </c>
      <c r="U925" s="133" t="s">
        <v>2417</v>
      </c>
      <c r="V925" s="133" t="s">
        <v>2417</v>
      </c>
      <c r="W925" s="133" t="s">
        <v>2417</v>
      </c>
      <c r="X925" s="133" t="s">
        <v>2417</v>
      </c>
      <c r="Y925" s="133" t="s">
        <v>2417</v>
      </c>
      <c r="Z925" s="133" t="s">
        <v>2417</v>
      </c>
      <c r="AA925" s="133" t="s">
        <v>2417</v>
      </c>
      <c r="AB925" s="133" t="s">
        <v>2417</v>
      </c>
      <c r="AC925" s="133" t="s">
        <v>2417</v>
      </c>
      <c r="AD925" s="133" t="s">
        <v>2417</v>
      </c>
      <c r="AE925" s="137"/>
    </row>
    <row r="926" spans="1:31" ht="13.2" hidden="1" outlineLevel="3">
      <c r="A926" s="68" t="s">
        <v>2844</v>
      </c>
      <c r="B926" s="97" t="s">
        <v>1942</v>
      </c>
      <c r="C926" s="427" t="s">
        <v>2845</v>
      </c>
      <c r="D926" s="351"/>
      <c r="E926" s="133" t="s">
        <v>2565</v>
      </c>
      <c r="F926" s="133" t="s">
        <v>2417</v>
      </c>
      <c r="G926" s="133" t="s">
        <v>2417</v>
      </c>
      <c r="H926" s="133" t="s">
        <v>2417</v>
      </c>
      <c r="I926" s="133" t="s">
        <v>2417</v>
      </c>
      <c r="J926" s="133" t="s">
        <v>2417</v>
      </c>
      <c r="K926" s="133" t="s">
        <v>2417</v>
      </c>
      <c r="L926" s="133" t="s">
        <v>2417</v>
      </c>
      <c r="M926" s="133" t="s">
        <v>2417</v>
      </c>
      <c r="N926" s="133" t="s">
        <v>2417</v>
      </c>
      <c r="O926" s="133" t="s">
        <v>2417</v>
      </c>
      <c r="P926" s="133" t="s">
        <v>2417</v>
      </c>
      <c r="Q926" s="133" t="s">
        <v>2417</v>
      </c>
      <c r="R926" s="133" t="s">
        <v>2417</v>
      </c>
      <c r="S926" s="133" t="s">
        <v>2417</v>
      </c>
      <c r="T926" s="133" t="s">
        <v>2417</v>
      </c>
      <c r="U926" s="133" t="s">
        <v>2417</v>
      </c>
      <c r="V926" s="133" t="s">
        <v>2417</v>
      </c>
      <c r="W926" s="133" t="s">
        <v>2417</v>
      </c>
      <c r="X926" s="133" t="s">
        <v>2417</v>
      </c>
      <c r="Y926" s="133" t="s">
        <v>2417</v>
      </c>
      <c r="Z926" s="133" t="s">
        <v>2417</v>
      </c>
      <c r="AA926" s="133" t="s">
        <v>2417</v>
      </c>
      <c r="AB926" s="133" t="s">
        <v>2417</v>
      </c>
      <c r="AC926" s="133" t="s">
        <v>2417</v>
      </c>
      <c r="AD926" s="133" t="s">
        <v>2417</v>
      </c>
      <c r="AE926" s="180"/>
    </row>
    <row r="927" spans="1:31" ht="13.2" hidden="1" outlineLevel="3">
      <c r="A927" s="68" t="s">
        <v>2846</v>
      </c>
      <c r="B927" s="97" t="s">
        <v>1945</v>
      </c>
      <c r="C927" s="360" t="s">
        <v>1970</v>
      </c>
      <c r="D927" s="351"/>
      <c r="E927" s="133" t="s">
        <v>2565</v>
      </c>
      <c r="F927" s="133" t="s">
        <v>2417</v>
      </c>
      <c r="G927" s="133" t="s">
        <v>2417</v>
      </c>
      <c r="H927" s="133" t="s">
        <v>2417</v>
      </c>
      <c r="I927" s="133" t="s">
        <v>2417</v>
      </c>
      <c r="J927" s="133" t="s">
        <v>2417</v>
      </c>
      <c r="K927" s="133" t="s">
        <v>2417</v>
      </c>
      <c r="L927" s="133" t="s">
        <v>2417</v>
      </c>
      <c r="M927" s="133" t="s">
        <v>2417</v>
      </c>
      <c r="N927" s="133" t="s">
        <v>2417</v>
      </c>
      <c r="O927" s="133" t="s">
        <v>2417</v>
      </c>
      <c r="P927" s="133" t="s">
        <v>2417</v>
      </c>
      <c r="Q927" s="133" t="s">
        <v>2417</v>
      </c>
      <c r="R927" s="133" t="s">
        <v>2417</v>
      </c>
      <c r="S927" s="133" t="s">
        <v>2417</v>
      </c>
      <c r="T927" s="133" t="s">
        <v>2417</v>
      </c>
      <c r="U927" s="133" t="s">
        <v>2417</v>
      </c>
      <c r="V927" s="133" t="s">
        <v>2417</v>
      </c>
      <c r="W927" s="133" t="s">
        <v>2417</v>
      </c>
      <c r="X927" s="133" t="s">
        <v>2417</v>
      </c>
      <c r="Y927" s="133" t="s">
        <v>2417</v>
      </c>
      <c r="Z927" s="133" t="s">
        <v>2417</v>
      </c>
      <c r="AA927" s="133" t="s">
        <v>2417</v>
      </c>
      <c r="AB927" s="133" t="s">
        <v>2417</v>
      </c>
      <c r="AC927" s="133" t="s">
        <v>2417</v>
      </c>
      <c r="AD927" s="133" t="s">
        <v>2417</v>
      </c>
      <c r="AE927" s="123"/>
    </row>
    <row r="928" spans="1:31" ht="13.2" hidden="1" outlineLevel="3">
      <c r="A928" s="68" t="s">
        <v>2847</v>
      </c>
      <c r="B928" s="97" t="s">
        <v>1971</v>
      </c>
      <c r="C928" s="429" t="s">
        <v>1972</v>
      </c>
      <c r="D928" s="351"/>
      <c r="E928" s="133" t="s">
        <v>2565</v>
      </c>
      <c r="F928" s="133" t="s">
        <v>2417</v>
      </c>
      <c r="G928" s="133" t="s">
        <v>2417</v>
      </c>
      <c r="H928" s="133" t="s">
        <v>2417</v>
      </c>
      <c r="I928" s="133" t="s">
        <v>2417</v>
      </c>
      <c r="J928" s="133" t="s">
        <v>2417</v>
      </c>
      <c r="K928" s="133" t="s">
        <v>2417</v>
      </c>
      <c r="L928" s="133" t="s">
        <v>2417</v>
      </c>
      <c r="M928" s="133" t="s">
        <v>2417</v>
      </c>
      <c r="N928" s="133" t="s">
        <v>2417</v>
      </c>
      <c r="O928" s="133" t="s">
        <v>2417</v>
      </c>
      <c r="P928" s="133" t="s">
        <v>2417</v>
      </c>
      <c r="Q928" s="133" t="s">
        <v>2417</v>
      </c>
      <c r="R928" s="133" t="s">
        <v>2417</v>
      </c>
      <c r="S928" s="133" t="s">
        <v>2417</v>
      </c>
      <c r="T928" s="133" t="s">
        <v>2417</v>
      </c>
      <c r="U928" s="133" t="s">
        <v>2417</v>
      </c>
      <c r="V928" s="133" t="s">
        <v>2417</v>
      </c>
      <c r="W928" s="133" t="s">
        <v>2417</v>
      </c>
      <c r="X928" s="133" t="s">
        <v>2417</v>
      </c>
      <c r="Y928" s="133" t="s">
        <v>2417</v>
      </c>
      <c r="Z928" s="133" t="s">
        <v>2417</v>
      </c>
      <c r="AA928" s="133" t="s">
        <v>2417</v>
      </c>
      <c r="AB928" s="133" t="s">
        <v>2417</v>
      </c>
      <c r="AC928" s="133" t="s">
        <v>2417</v>
      </c>
      <c r="AD928" s="133" t="s">
        <v>2417</v>
      </c>
      <c r="AE928" s="186"/>
    </row>
    <row r="929" spans="1:31" ht="20.399999999999999" hidden="1" outlineLevel="3">
      <c r="A929" s="68" t="s">
        <v>2848</v>
      </c>
      <c r="B929" s="97" t="s">
        <v>1948</v>
      </c>
      <c r="C929" s="429" t="s">
        <v>1949</v>
      </c>
      <c r="D929" s="351"/>
      <c r="E929" s="133" t="s">
        <v>2565</v>
      </c>
      <c r="F929" s="133" t="s">
        <v>2417</v>
      </c>
      <c r="G929" s="133" t="s">
        <v>2417</v>
      </c>
      <c r="H929" s="133" t="s">
        <v>2417</v>
      </c>
      <c r="I929" s="133" t="s">
        <v>2417</v>
      </c>
      <c r="J929" s="133" t="s">
        <v>2417</v>
      </c>
      <c r="K929" s="133" t="s">
        <v>2417</v>
      </c>
      <c r="L929" s="133" t="s">
        <v>2417</v>
      </c>
      <c r="M929" s="133" t="s">
        <v>2417</v>
      </c>
      <c r="N929" s="133" t="s">
        <v>2417</v>
      </c>
      <c r="O929" s="133" t="s">
        <v>2417</v>
      </c>
      <c r="P929" s="133" t="s">
        <v>2417</v>
      </c>
      <c r="Q929" s="133" t="s">
        <v>2417</v>
      </c>
      <c r="R929" s="133" t="s">
        <v>2417</v>
      </c>
      <c r="S929" s="133" t="s">
        <v>2417</v>
      </c>
      <c r="T929" s="133" t="s">
        <v>2417</v>
      </c>
      <c r="U929" s="133" t="s">
        <v>2417</v>
      </c>
      <c r="V929" s="133" t="s">
        <v>2417</v>
      </c>
      <c r="W929" s="133" t="s">
        <v>2417</v>
      </c>
      <c r="X929" s="133" t="s">
        <v>2417</v>
      </c>
      <c r="Y929" s="133" t="s">
        <v>2417</v>
      </c>
      <c r="Z929" s="133" t="s">
        <v>2417</v>
      </c>
      <c r="AA929" s="133" t="s">
        <v>2417</v>
      </c>
      <c r="AB929" s="133" t="s">
        <v>2417</v>
      </c>
      <c r="AC929" s="133" t="s">
        <v>2417</v>
      </c>
      <c r="AD929" s="133" t="s">
        <v>2417</v>
      </c>
      <c r="AE929" s="186"/>
    </row>
    <row r="930" spans="1:31" ht="20.399999999999999" hidden="1" outlineLevel="3">
      <c r="A930" s="68" t="s">
        <v>2849</v>
      </c>
      <c r="B930" s="97" t="s">
        <v>2850</v>
      </c>
      <c r="C930" s="429" t="s">
        <v>1949</v>
      </c>
      <c r="D930" s="351"/>
      <c r="E930" s="133" t="s">
        <v>2565</v>
      </c>
      <c r="F930" s="133" t="s">
        <v>2417</v>
      </c>
      <c r="G930" s="133" t="s">
        <v>2417</v>
      </c>
      <c r="H930" s="133" t="s">
        <v>2417</v>
      </c>
      <c r="I930" s="133" t="s">
        <v>2417</v>
      </c>
      <c r="J930" s="133" t="s">
        <v>2417</v>
      </c>
      <c r="K930" s="133" t="s">
        <v>2417</v>
      </c>
      <c r="L930" s="133" t="s">
        <v>2417</v>
      </c>
      <c r="M930" s="133" t="s">
        <v>2417</v>
      </c>
      <c r="N930" s="133" t="s">
        <v>2417</v>
      </c>
      <c r="O930" s="133" t="s">
        <v>2417</v>
      </c>
      <c r="P930" s="133" t="s">
        <v>2417</v>
      </c>
      <c r="Q930" s="133" t="s">
        <v>2417</v>
      </c>
      <c r="R930" s="133" t="s">
        <v>2417</v>
      </c>
      <c r="S930" s="133" t="s">
        <v>2417</v>
      </c>
      <c r="T930" s="133" t="s">
        <v>2417</v>
      </c>
      <c r="U930" s="133" t="s">
        <v>2417</v>
      </c>
      <c r="V930" s="133" t="s">
        <v>2417</v>
      </c>
      <c r="W930" s="133" t="s">
        <v>2417</v>
      </c>
      <c r="X930" s="133" t="s">
        <v>2417</v>
      </c>
      <c r="Y930" s="133" t="s">
        <v>2417</v>
      </c>
      <c r="Z930" s="133" t="s">
        <v>2417</v>
      </c>
      <c r="AA930" s="133" t="s">
        <v>2417</v>
      </c>
      <c r="AB930" s="133" t="s">
        <v>2417</v>
      </c>
      <c r="AC930" s="133" t="s">
        <v>2417</v>
      </c>
      <c r="AD930" s="133" t="s">
        <v>2417</v>
      </c>
      <c r="AE930" s="186"/>
    </row>
    <row r="931" spans="1:31" ht="30.6" hidden="1" outlineLevel="3">
      <c r="A931" s="68" t="s">
        <v>2851</v>
      </c>
      <c r="B931" s="97" t="s">
        <v>2852</v>
      </c>
      <c r="C931" s="429" t="s">
        <v>2853</v>
      </c>
      <c r="D931" s="351"/>
      <c r="E931" s="133" t="s">
        <v>2565</v>
      </c>
      <c r="F931" s="133" t="s">
        <v>2417</v>
      </c>
      <c r="G931" s="133" t="s">
        <v>2417</v>
      </c>
      <c r="H931" s="133" t="s">
        <v>2417</v>
      </c>
      <c r="I931" s="133" t="s">
        <v>2417</v>
      </c>
      <c r="J931" s="133" t="s">
        <v>2417</v>
      </c>
      <c r="K931" s="133" t="s">
        <v>2417</v>
      </c>
      <c r="L931" s="133" t="s">
        <v>2417</v>
      </c>
      <c r="M931" s="133" t="s">
        <v>2417</v>
      </c>
      <c r="N931" s="133" t="s">
        <v>2417</v>
      </c>
      <c r="O931" s="133" t="s">
        <v>2417</v>
      </c>
      <c r="P931" s="133" t="s">
        <v>2417</v>
      </c>
      <c r="Q931" s="133" t="s">
        <v>2417</v>
      </c>
      <c r="R931" s="133" t="s">
        <v>2417</v>
      </c>
      <c r="S931" s="133" t="s">
        <v>2417</v>
      </c>
      <c r="T931" s="133" t="s">
        <v>2417</v>
      </c>
      <c r="U931" s="133" t="s">
        <v>2417</v>
      </c>
      <c r="V931" s="133" t="s">
        <v>2417</v>
      </c>
      <c r="W931" s="133" t="s">
        <v>2417</v>
      </c>
      <c r="X931" s="133" t="s">
        <v>2417</v>
      </c>
      <c r="Y931" s="133" t="s">
        <v>2417</v>
      </c>
      <c r="Z931" s="133" t="s">
        <v>2417</v>
      </c>
      <c r="AA931" s="133" t="s">
        <v>2417</v>
      </c>
      <c r="AB931" s="133" t="s">
        <v>2417</v>
      </c>
      <c r="AC931" s="133" t="s">
        <v>2417</v>
      </c>
      <c r="AD931" s="133" t="s">
        <v>2417</v>
      </c>
      <c r="AE931" s="186"/>
    </row>
    <row r="932" spans="1:31" ht="13.2" hidden="1" outlineLevel="3">
      <c r="A932" s="68" t="s">
        <v>2854</v>
      </c>
      <c r="B932" s="97" t="s">
        <v>1895</v>
      </c>
      <c r="C932" s="447" t="s">
        <v>1954</v>
      </c>
      <c r="D932" s="351"/>
      <c r="E932" s="133" t="s">
        <v>2565</v>
      </c>
      <c r="F932" s="133" t="s">
        <v>2417</v>
      </c>
      <c r="G932" s="133" t="s">
        <v>2417</v>
      </c>
      <c r="H932" s="133" t="s">
        <v>2417</v>
      </c>
      <c r="I932" s="133" t="s">
        <v>2417</v>
      </c>
      <c r="J932" s="133" t="s">
        <v>2417</v>
      </c>
      <c r="K932" s="133" t="s">
        <v>2417</v>
      </c>
      <c r="L932" s="133" t="s">
        <v>2417</v>
      </c>
      <c r="M932" s="133" t="s">
        <v>2417</v>
      </c>
      <c r="N932" s="133" t="s">
        <v>2417</v>
      </c>
      <c r="O932" s="133" t="s">
        <v>2417</v>
      </c>
      <c r="P932" s="133" t="s">
        <v>2417</v>
      </c>
      <c r="Q932" s="133" t="s">
        <v>2417</v>
      </c>
      <c r="R932" s="133" t="s">
        <v>2417</v>
      </c>
      <c r="S932" s="133" t="s">
        <v>2417</v>
      </c>
      <c r="T932" s="133" t="s">
        <v>2417</v>
      </c>
      <c r="U932" s="133" t="s">
        <v>2417</v>
      </c>
      <c r="V932" s="133" t="s">
        <v>2417</v>
      </c>
      <c r="W932" s="133" t="s">
        <v>2417</v>
      </c>
      <c r="X932" s="133" t="s">
        <v>2417</v>
      </c>
      <c r="Y932" s="133" t="s">
        <v>2417</v>
      </c>
      <c r="Z932" s="133" t="s">
        <v>2417</v>
      </c>
      <c r="AA932" s="133" t="s">
        <v>2417</v>
      </c>
      <c r="AB932" s="133" t="s">
        <v>2417</v>
      </c>
      <c r="AC932" s="133" t="s">
        <v>2417</v>
      </c>
      <c r="AD932" s="133" t="s">
        <v>2417</v>
      </c>
      <c r="AE932" s="186"/>
    </row>
    <row r="933" spans="1:31" ht="13.2" outlineLevel="2">
      <c r="A933" s="428" t="s">
        <v>1966</v>
      </c>
      <c r="B933" s="350"/>
      <c r="C933" s="350"/>
      <c r="D933" s="351"/>
      <c r="E933" s="133" t="s">
        <v>2417</v>
      </c>
      <c r="F933" s="133" t="s">
        <v>2396</v>
      </c>
      <c r="G933" s="133" t="s">
        <v>2417</v>
      </c>
      <c r="H933" s="133" t="s">
        <v>2417</v>
      </c>
      <c r="I933" s="134" t="s">
        <v>2418</v>
      </c>
      <c r="J933" s="133" t="s">
        <v>2417</v>
      </c>
      <c r="K933" s="133" t="s">
        <v>2417</v>
      </c>
      <c r="L933" s="133" t="s">
        <v>2417</v>
      </c>
      <c r="M933" s="133" t="s">
        <v>2417</v>
      </c>
      <c r="N933" s="133" t="s">
        <v>2417</v>
      </c>
      <c r="O933" s="133" t="s">
        <v>2417</v>
      </c>
      <c r="P933" s="133" t="s">
        <v>2417</v>
      </c>
      <c r="Q933" s="133" t="s">
        <v>2417</v>
      </c>
      <c r="R933" s="133" t="s">
        <v>2417</v>
      </c>
      <c r="S933" s="133" t="s">
        <v>2417</v>
      </c>
      <c r="T933" s="133" t="s">
        <v>2417</v>
      </c>
      <c r="U933" s="133" t="s">
        <v>2417</v>
      </c>
      <c r="V933" s="133" t="s">
        <v>2417</v>
      </c>
      <c r="W933" s="133" t="s">
        <v>2417</v>
      </c>
      <c r="X933" s="133" t="s">
        <v>2417</v>
      </c>
      <c r="Y933" s="133" t="s">
        <v>2417</v>
      </c>
      <c r="Z933" s="133" t="s">
        <v>2417</v>
      </c>
      <c r="AA933" s="133" t="s">
        <v>2417</v>
      </c>
      <c r="AB933" s="133" t="s">
        <v>2417</v>
      </c>
      <c r="AC933" s="133" t="s">
        <v>2417</v>
      </c>
      <c r="AD933" s="133" t="s">
        <v>2417</v>
      </c>
      <c r="AE933" s="183"/>
    </row>
    <row r="934" spans="1:31" ht="13.2" outlineLevel="3">
      <c r="A934" s="68" t="s">
        <v>1956</v>
      </c>
      <c r="B934" s="65"/>
      <c r="C934" s="360" t="s">
        <v>1967</v>
      </c>
      <c r="D934" s="351"/>
      <c r="E934" s="133" t="s">
        <v>2417</v>
      </c>
      <c r="F934" s="133" t="s">
        <v>2396</v>
      </c>
      <c r="G934" s="133" t="s">
        <v>2417</v>
      </c>
      <c r="H934" s="133" t="s">
        <v>2417</v>
      </c>
      <c r="I934" s="134" t="s">
        <v>2418</v>
      </c>
      <c r="J934" s="133" t="s">
        <v>2417</v>
      </c>
      <c r="K934" s="133" t="s">
        <v>2417</v>
      </c>
      <c r="L934" s="133" t="s">
        <v>2417</v>
      </c>
      <c r="M934" s="133" t="s">
        <v>2417</v>
      </c>
      <c r="N934" s="133" t="s">
        <v>2417</v>
      </c>
      <c r="O934" s="133" t="s">
        <v>2417</v>
      </c>
      <c r="P934" s="133" t="s">
        <v>2417</v>
      </c>
      <c r="Q934" s="133" t="s">
        <v>2417</v>
      </c>
      <c r="R934" s="133" t="s">
        <v>2417</v>
      </c>
      <c r="S934" s="133" t="s">
        <v>2417</v>
      </c>
      <c r="T934" s="133" t="s">
        <v>2417</v>
      </c>
      <c r="U934" s="133" t="s">
        <v>2417</v>
      </c>
      <c r="V934" s="133" t="s">
        <v>2417</v>
      </c>
      <c r="W934" s="133" t="s">
        <v>2417</v>
      </c>
      <c r="X934" s="133" t="s">
        <v>2417</v>
      </c>
      <c r="Y934" s="133" t="s">
        <v>2417</v>
      </c>
      <c r="Z934" s="133" t="s">
        <v>2417</v>
      </c>
      <c r="AA934" s="133" t="s">
        <v>2417</v>
      </c>
      <c r="AB934" s="133" t="s">
        <v>2417</v>
      </c>
      <c r="AC934" s="133" t="s">
        <v>2417</v>
      </c>
      <c r="AD934" s="133" t="s">
        <v>2417</v>
      </c>
      <c r="AE934" s="123"/>
    </row>
    <row r="935" spans="1:31" ht="13.2" outlineLevel="3">
      <c r="A935" s="68" t="s">
        <v>1957</v>
      </c>
      <c r="B935" s="62" t="s">
        <v>1942</v>
      </c>
      <c r="C935" s="360" t="s">
        <v>2855</v>
      </c>
      <c r="D935" s="351"/>
      <c r="E935" s="133" t="s">
        <v>2417</v>
      </c>
      <c r="F935" s="133" t="s">
        <v>2396</v>
      </c>
      <c r="G935" s="133" t="s">
        <v>2417</v>
      </c>
      <c r="H935" s="133" t="s">
        <v>2417</v>
      </c>
      <c r="I935" s="133" t="s">
        <v>2417</v>
      </c>
      <c r="J935" s="133" t="s">
        <v>2417</v>
      </c>
      <c r="K935" s="133" t="s">
        <v>2417</v>
      </c>
      <c r="L935" s="133" t="s">
        <v>2417</v>
      </c>
      <c r="M935" s="133" t="s">
        <v>2417</v>
      </c>
      <c r="N935" s="133" t="s">
        <v>2417</v>
      </c>
      <c r="O935" s="133" t="s">
        <v>2417</v>
      </c>
      <c r="P935" s="133" t="s">
        <v>2417</v>
      </c>
      <c r="Q935" s="133" t="s">
        <v>2417</v>
      </c>
      <c r="R935" s="133" t="s">
        <v>2417</v>
      </c>
      <c r="S935" s="133" t="s">
        <v>2417</v>
      </c>
      <c r="T935" s="133" t="s">
        <v>2417</v>
      </c>
      <c r="U935" s="133" t="s">
        <v>2417</v>
      </c>
      <c r="V935" s="133" t="s">
        <v>2417</v>
      </c>
      <c r="W935" s="133" t="s">
        <v>2417</v>
      </c>
      <c r="X935" s="133" t="s">
        <v>2417</v>
      </c>
      <c r="Y935" s="133" t="s">
        <v>2417</v>
      </c>
      <c r="Z935" s="133" t="s">
        <v>2417</v>
      </c>
      <c r="AA935" s="133" t="s">
        <v>2417</v>
      </c>
      <c r="AB935" s="133" t="s">
        <v>2417</v>
      </c>
      <c r="AC935" s="133" t="s">
        <v>2417</v>
      </c>
      <c r="AD935" s="133" t="s">
        <v>2417</v>
      </c>
      <c r="AE935" s="123"/>
    </row>
    <row r="936" spans="1:31" ht="13.2" outlineLevel="3">
      <c r="A936" s="68" t="s">
        <v>1959</v>
      </c>
      <c r="B936" s="65" t="s">
        <v>1969</v>
      </c>
      <c r="C936" s="360" t="s">
        <v>1970</v>
      </c>
      <c r="D936" s="351"/>
      <c r="E936" s="133" t="s">
        <v>2417</v>
      </c>
      <c r="F936" s="133" t="s">
        <v>2396</v>
      </c>
      <c r="G936" s="133" t="s">
        <v>2417</v>
      </c>
      <c r="H936" s="133" t="s">
        <v>2417</v>
      </c>
      <c r="I936" s="133" t="s">
        <v>2417</v>
      </c>
      <c r="J936" s="133" t="s">
        <v>2417</v>
      </c>
      <c r="K936" s="133" t="s">
        <v>2417</v>
      </c>
      <c r="L936" s="133" t="s">
        <v>2417</v>
      </c>
      <c r="M936" s="133" t="s">
        <v>2417</v>
      </c>
      <c r="N936" s="133" t="s">
        <v>2417</v>
      </c>
      <c r="O936" s="133" t="s">
        <v>2417</v>
      </c>
      <c r="P936" s="133" t="s">
        <v>2417</v>
      </c>
      <c r="Q936" s="133" t="s">
        <v>2417</v>
      </c>
      <c r="R936" s="133" t="s">
        <v>2417</v>
      </c>
      <c r="S936" s="133" t="s">
        <v>2417</v>
      </c>
      <c r="T936" s="133" t="s">
        <v>2417</v>
      </c>
      <c r="U936" s="133" t="s">
        <v>2417</v>
      </c>
      <c r="V936" s="133" t="s">
        <v>2417</v>
      </c>
      <c r="W936" s="133" t="s">
        <v>2417</v>
      </c>
      <c r="X936" s="133" t="s">
        <v>2417</v>
      </c>
      <c r="Y936" s="133" t="s">
        <v>2417</v>
      </c>
      <c r="Z936" s="133" t="s">
        <v>2417</v>
      </c>
      <c r="AA936" s="133" t="s">
        <v>2417</v>
      </c>
      <c r="AB936" s="133" t="s">
        <v>2417</v>
      </c>
      <c r="AC936" s="133" t="s">
        <v>2417</v>
      </c>
      <c r="AD936" s="133" t="s">
        <v>2417</v>
      </c>
      <c r="AE936" s="123"/>
    </row>
    <row r="937" spans="1:31" ht="13.2" outlineLevel="3">
      <c r="A937" s="68" t="s">
        <v>1961</v>
      </c>
      <c r="B937" s="99" t="s">
        <v>1971</v>
      </c>
      <c r="C937" s="427" t="s">
        <v>1972</v>
      </c>
      <c r="D937" s="351"/>
      <c r="E937" s="133" t="s">
        <v>2417</v>
      </c>
      <c r="F937" s="133" t="s">
        <v>2396</v>
      </c>
      <c r="G937" s="133" t="s">
        <v>2417</v>
      </c>
      <c r="H937" s="133" t="s">
        <v>2417</v>
      </c>
      <c r="I937" s="133" t="s">
        <v>2417</v>
      </c>
      <c r="J937" s="133" t="s">
        <v>2417</v>
      </c>
      <c r="K937" s="133" t="s">
        <v>2417</v>
      </c>
      <c r="L937" s="133" t="s">
        <v>2417</v>
      </c>
      <c r="M937" s="133" t="s">
        <v>2417</v>
      </c>
      <c r="N937" s="133" t="s">
        <v>2417</v>
      </c>
      <c r="O937" s="133" t="s">
        <v>2417</v>
      </c>
      <c r="P937" s="133" t="s">
        <v>2417</v>
      </c>
      <c r="Q937" s="133" t="s">
        <v>2417</v>
      </c>
      <c r="R937" s="133" t="s">
        <v>2417</v>
      </c>
      <c r="S937" s="133" t="s">
        <v>2417</v>
      </c>
      <c r="T937" s="133" t="s">
        <v>2417</v>
      </c>
      <c r="U937" s="133" t="s">
        <v>2417</v>
      </c>
      <c r="V937" s="133" t="s">
        <v>2417</v>
      </c>
      <c r="W937" s="133" t="s">
        <v>2417</v>
      </c>
      <c r="X937" s="133" t="s">
        <v>2417</v>
      </c>
      <c r="Y937" s="133" t="s">
        <v>2417</v>
      </c>
      <c r="Z937" s="133" t="s">
        <v>2417</v>
      </c>
      <c r="AA937" s="133" t="s">
        <v>2417</v>
      </c>
      <c r="AB937" s="133" t="s">
        <v>2417</v>
      </c>
      <c r="AC937" s="133" t="s">
        <v>2417</v>
      </c>
      <c r="AD937" s="133" t="s">
        <v>2417</v>
      </c>
      <c r="AE937" s="180"/>
    </row>
    <row r="938" spans="1:31" ht="20.399999999999999" outlineLevel="3">
      <c r="A938" s="68" t="s">
        <v>1962</v>
      </c>
      <c r="B938" s="62" t="s">
        <v>1948</v>
      </c>
      <c r="C938" s="387" t="s">
        <v>1949</v>
      </c>
      <c r="D938" s="351"/>
      <c r="E938" s="133" t="s">
        <v>2417</v>
      </c>
      <c r="F938" s="133" t="s">
        <v>2396</v>
      </c>
      <c r="G938" s="133" t="s">
        <v>2417</v>
      </c>
      <c r="H938" s="133" t="s">
        <v>2417</v>
      </c>
      <c r="I938" s="133" t="s">
        <v>2417</v>
      </c>
      <c r="J938" s="133" t="s">
        <v>2417</v>
      </c>
      <c r="K938" s="133" t="s">
        <v>2417</v>
      </c>
      <c r="L938" s="133" t="s">
        <v>2417</v>
      </c>
      <c r="M938" s="133" t="s">
        <v>2417</v>
      </c>
      <c r="N938" s="133" t="s">
        <v>2417</v>
      </c>
      <c r="O938" s="133" t="s">
        <v>2417</v>
      </c>
      <c r="P938" s="133" t="s">
        <v>2417</v>
      </c>
      <c r="Q938" s="133" t="s">
        <v>2417</v>
      </c>
      <c r="R938" s="133" t="s">
        <v>2417</v>
      </c>
      <c r="S938" s="133" t="s">
        <v>2417</v>
      </c>
      <c r="T938" s="133" t="s">
        <v>2417</v>
      </c>
      <c r="U938" s="133" t="s">
        <v>2417</v>
      </c>
      <c r="V938" s="133" t="s">
        <v>2417</v>
      </c>
      <c r="W938" s="133" t="s">
        <v>2417</v>
      </c>
      <c r="X938" s="133" t="s">
        <v>2417</v>
      </c>
      <c r="Y938" s="133" t="s">
        <v>2417</v>
      </c>
      <c r="Z938" s="133" t="s">
        <v>2417</v>
      </c>
      <c r="AA938" s="133" t="s">
        <v>2417</v>
      </c>
      <c r="AB938" s="133" t="s">
        <v>2417</v>
      </c>
      <c r="AC938" s="133" t="s">
        <v>2417</v>
      </c>
      <c r="AD938" s="133" t="s">
        <v>2417</v>
      </c>
      <c r="AE938" s="57"/>
    </row>
    <row r="939" spans="1:31" ht="13.2" outlineLevel="3">
      <c r="A939" s="68" t="s">
        <v>1965</v>
      </c>
      <c r="B939" s="64" t="s">
        <v>1895</v>
      </c>
      <c r="C939" s="448" t="s">
        <v>1954</v>
      </c>
      <c r="D939" s="351"/>
      <c r="E939" s="133" t="s">
        <v>2417</v>
      </c>
      <c r="F939" s="133" t="s">
        <v>2396</v>
      </c>
      <c r="G939" s="133" t="s">
        <v>2417</v>
      </c>
      <c r="H939" s="133" t="s">
        <v>2417</v>
      </c>
      <c r="I939" s="133" t="s">
        <v>2417</v>
      </c>
      <c r="J939" s="133" t="s">
        <v>2417</v>
      </c>
      <c r="K939" s="133" t="s">
        <v>2417</v>
      </c>
      <c r="L939" s="133" t="s">
        <v>2417</v>
      </c>
      <c r="M939" s="133" t="s">
        <v>2417</v>
      </c>
      <c r="N939" s="133" t="s">
        <v>2417</v>
      </c>
      <c r="O939" s="133" t="s">
        <v>2417</v>
      </c>
      <c r="P939" s="133" t="s">
        <v>2417</v>
      </c>
      <c r="Q939" s="133" t="s">
        <v>2417</v>
      </c>
      <c r="R939" s="133" t="s">
        <v>2417</v>
      </c>
      <c r="S939" s="133" t="s">
        <v>2417</v>
      </c>
      <c r="T939" s="133" t="s">
        <v>2417</v>
      </c>
      <c r="U939" s="133" t="s">
        <v>2417</v>
      </c>
      <c r="V939" s="133" t="s">
        <v>2417</v>
      </c>
      <c r="W939" s="133" t="s">
        <v>2417</v>
      </c>
      <c r="X939" s="133" t="s">
        <v>2417</v>
      </c>
      <c r="Y939" s="133" t="s">
        <v>2417</v>
      </c>
      <c r="Z939" s="133" t="s">
        <v>2417</v>
      </c>
      <c r="AA939" s="133" t="s">
        <v>2417</v>
      </c>
      <c r="AB939" s="133" t="s">
        <v>2417</v>
      </c>
      <c r="AC939" s="133" t="s">
        <v>2417</v>
      </c>
      <c r="AD939" s="133" t="s">
        <v>2417</v>
      </c>
      <c r="AE939" s="59"/>
    </row>
    <row r="940" spans="1:31" ht="13.2" outlineLevel="1">
      <c r="A940" s="386" t="s">
        <v>1973</v>
      </c>
      <c r="B940" s="350"/>
      <c r="C940" s="350"/>
      <c r="D940" s="351"/>
      <c r="E940" s="133" t="s">
        <v>2417</v>
      </c>
      <c r="F940" s="133" t="s">
        <v>2417</v>
      </c>
      <c r="G940" s="133" t="s">
        <v>2417</v>
      </c>
      <c r="H940" s="133" t="s">
        <v>2417</v>
      </c>
      <c r="I940" s="134" t="s">
        <v>2418</v>
      </c>
      <c r="J940" s="133" t="s">
        <v>2417</v>
      </c>
      <c r="K940" s="133" t="s">
        <v>2417</v>
      </c>
      <c r="L940" s="133" t="s">
        <v>2417</v>
      </c>
      <c r="M940" s="133" t="s">
        <v>2417</v>
      </c>
      <c r="N940" s="133" t="s">
        <v>2417</v>
      </c>
      <c r="O940" s="133" t="s">
        <v>2417</v>
      </c>
      <c r="P940" s="133" t="s">
        <v>2417</v>
      </c>
      <c r="Q940" s="133" t="s">
        <v>2417</v>
      </c>
      <c r="R940" s="133" t="s">
        <v>2417</v>
      </c>
      <c r="S940" s="133" t="s">
        <v>2417</v>
      </c>
      <c r="T940" s="133" t="s">
        <v>2417</v>
      </c>
      <c r="U940" s="133" t="s">
        <v>2417</v>
      </c>
      <c r="V940" s="133" t="s">
        <v>2417</v>
      </c>
      <c r="W940" s="133" t="s">
        <v>2417</v>
      </c>
      <c r="X940" s="133" t="s">
        <v>2417</v>
      </c>
      <c r="Y940" s="133" t="s">
        <v>2417</v>
      </c>
      <c r="Z940" s="133" t="s">
        <v>2417</v>
      </c>
      <c r="AA940" s="133" t="s">
        <v>2417</v>
      </c>
      <c r="AB940" s="133" t="s">
        <v>2417</v>
      </c>
      <c r="AC940" s="133" t="s">
        <v>2417</v>
      </c>
      <c r="AD940" s="133" t="s">
        <v>2417</v>
      </c>
      <c r="AE940" s="139"/>
    </row>
    <row r="941" spans="1:31" ht="20.399999999999999" outlineLevel="2">
      <c r="A941" s="68" t="s">
        <v>1974</v>
      </c>
      <c r="B941" s="65" t="s">
        <v>1975</v>
      </c>
      <c r="C941" s="360" t="s">
        <v>1976</v>
      </c>
      <c r="D941" s="351"/>
      <c r="E941" s="133" t="s">
        <v>2417</v>
      </c>
      <c r="F941" s="133" t="s">
        <v>2417</v>
      </c>
      <c r="G941" s="133" t="s">
        <v>2417</v>
      </c>
      <c r="H941" s="133" t="s">
        <v>2417</v>
      </c>
      <c r="I941" s="133" t="s">
        <v>2417</v>
      </c>
      <c r="J941" s="133" t="s">
        <v>2417</v>
      </c>
      <c r="K941" s="133" t="s">
        <v>2417</v>
      </c>
      <c r="L941" s="133" t="s">
        <v>2417</v>
      </c>
      <c r="M941" s="133" t="s">
        <v>2417</v>
      </c>
      <c r="N941" s="133" t="s">
        <v>2417</v>
      </c>
      <c r="O941" s="133" t="s">
        <v>2417</v>
      </c>
      <c r="P941" s="133" t="s">
        <v>2417</v>
      </c>
      <c r="Q941" s="133" t="s">
        <v>2417</v>
      </c>
      <c r="R941" s="133" t="s">
        <v>2417</v>
      </c>
      <c r="S941" s="133" t="s">
        <v>2417</v>
      </c>
      <c r="T941" s="133" t="s">
        <v>2417</v>
      </c>
      <c r="U941" s="133" t="s">
        <v>2417</v>
      </c>
      <c r="V941" s="133" t="s">
        <v>2417</v>
      </c>
      <c r="W941" s="133" t="s">
        <v>2417</v>
      </c>
      <c r="X941" s="133" t="s">
        <v>2417</v>
      </c>
      <c r="Y941" s="133" t="s">
        <v>2417</v>
      </c>
      <c r="Z941" s="133" t="s">
        <v>2417</v>
      </c>
      <c r="AA941" s="133" t="s">
        <v>2417</v>
      </c>
      <c r="AB941" s="133" t="s">
        <v>2417</v>
      </c>
      <c r="AC941" s="133" t="s">
        <v>2417</v>
      </c>
      <c r="AD941" s="133" t="s">
        <v>2417</v>
      </c>
      <c r="AE941" s="123"/>
    </row>
    <row r="942" spans="1:31" ht="20.399999999999999" outlineLevel="2">
      <c r="A942" s="449" t="s">
        <v>1977</v>
      </c>
      <c r="B942" s="350"/>
      <c r="C942" s="350"/>
      <c r="D942" s="351"/>
      <c r="E942" s="133" t="s">
        <v>2856</v>
      </c>
      <c r="F942" s="133" t="s">
        <v>2417</v>
      </c>
      <c r="G942" s="133" t="s">
        <v>2417</v>
      </c>
      <c r="H942" s="133" t="s">
        <v>2417</v>
      </c>
      <c r="I942" s="134" t="s">
        <v>2418</v>
      </c>
      <c r="J942" s="133" t="s">
        <v>2417</v>
      </c>
      <c r="K942" s="133" t="s">
        <v>2417</v>
      </c>
      <c r="L942" s="133" t="s">
        <v>2417</v>
      </c>
      <c r="M942" s="133" t="s">
        <v>2417</v>
      </c>
      <c r="N942" s="133" t="s">
        <v>2417</v>
      </c>
      <c r="O942" s="133" t="s">
        <v>2417</v>
      </c>
      <c r="P942" s="133" t="s">
        <v>2417</v>
      </c>
      <c r="Q942" s="133" t="s">
        <v>2417</v>
      </c>
      <c r="R942" s="133" t="s">
        <v>2417</v>
      </c>
      <c r="S942" s="133" t="s">
        <v>2417</v>
      </c>
      <c r="T942" s="133" t="s">
        <v>2417</v>
      </c>
      <c r="U942" s="133" t="s">
        <v>2417</v>
      </c>
      <c r="V942" s="133" t="s">
        <v>2417</v>
      </c>
      <c r="W942" s="133" t="s">
        <v>2417</v>
      </c>
      <c r="X942" s="133" t="s">
        <v>2417</v>
      </c>
      <c r="Y942" s="133" t="s">
        <v>2417</v>
      </c>
      <c r="Z942" s="133" t="s">
        <v>2417</v>
      </c>
      <c r="AA942" s="133" t="s">
        <v>2417</v>
      </c>
      <c r="AB942" s="133" t="s">
        <v>2417</v>
      </c>
      <c r="AC942" s="133" t="s">
        <v>2417</v>
      </c>
      <c r="AD942" s="133" t="s">
        <v>2417</v>
      </c>
      <c r="AE942" s="187"/>
    </row>
    <row r="943" spans="1:31" ht="20.399999999999999" outlineLevel="3">
      <c r="A943" s="68" t="s">
        <v>1978</v>
      </c>
      <c r="B943" s="65"/>
      <c r="C943" s="387" t="s">
        <v>2857</v>
      </c>
      <c r="D943" s="351"/>
      <c r="E943" s="133" t="s">
        <v>2856</v>
      </c>
      <c r="F943" s="133" t="s">
        <v>2417</v>
      </c>
      <c r="G943" s="133" t="s">
        <v>2417</v>
      </c>
      <c r="H943" s="133" t="s">
        <v>2417</v>
      </c>
      <c r="I943" s="134" t="s">
        <v>2418</v>
      </c>
      <c r="J943" s="133" t="s">
        <v>2417</v>
      </c>
      <c r="K943" s="133" t="s">
        <v>2417</v>
      </c>
      <c r="L943" s="133" t="s">
        <v>2417</v>
      </c>
      <c r="M943" s="133" t="s">
        <v>2417</v>
      </c>
      <c r="N943" s="133" t="s">
        <v>2417</v>
      </c>
      <c r="O943" s="133" t="s">
        <v>2417</v>
      </c>
      <c r="P943" s="133" t="s">
        <v>2417</v>
      </c>
      <c r="Q943" s="133" t="s">
        <v>2417</v>
      </c>
      <c r="R943" s="133" t="s">
        <v>2417</v>
      </c>
      <c r="S943" s="133" t="s">
        <v>2417</v>
      </c>
      <c r="T943" s="133" t="s">
        <v>2417</v>
      </c>
      <c r="U943" s="133" t="s">
        <v>2417</v>
      </c>
      <c r="V943" s="133" t="s">
        <v>2417</v>
      </c>
      <c r="W943" s="133" t="s">
        <v>2417</v>
      </c>
      <c r="X943" s="133" t="s">
        <v>2417</v>
      </c>
      <c r="Y943" s="133" t="s">
        <v>2417</v>
      </c>
      <c r="Z943" s="133" t="s">
        <v>2417</v>
      </c>
      <c r="AA943" s="133" t="s">
        <v>2417</v>
      </c>
      <c r="AB943" s="133" t="s">
        <v>2417</v>
      </c>
      <c r="AC943" s="133" t="s">
        <v>2417</v>
      </c>
      <c r="AD943" s="133" t="s">
        <v>2417</v>
      </c>
      <c r="AE943" s="59"/>
    </row>
    <row r="944" spans="1:31" ht="20.399999999999999" outlineLevel="3">
      <c r="A944" s="68" t="s">
        <v>1980</v>
      </c>
      <c r="B944" s="97" t="s">
        <v>1981</v>
      </c>
      <c r="C944" s="360" t="s">
        <v>1982</v>
      </c>
      <c r="D944" s="351"/>
      <c r="E944" s="133" t="s">
        <v>2856</v>
      </c>
      <c r="F944" s="133" t="s">
        <v>2417</v>
      </c>
      <c r="G944" s="133" t="s">
        <v>2417</v>
      </c>
      <c r="H944" s="133" t="s">
        <v>2417</v>
      </c>
      <c r="I944" s="133" t="s">
        <v>2417</v>
      </c>
      <c r="J944" s="133" t="s">
        <v>2417</v>
      </c>
      <c r="K944" s="133" t="s">
        <v>2417</v>
      </c>
      <c r="L944" s="133" t="s">
        <v>2417</v>
      </c>
      <c r="M944" s="133" t="s">
        <v>2417</v>
      </c>
      <c r="N944" s="133" t="s">
        <v>2417</v>
      </c>
      <c r="O944" s="133" t="s">
        <v>2417</v>
      </c>
      <c r="P944" s="133" t="s">
        <v>2417</v>
      </c>
      <c r="Q944" s="133" t="s">
        <v>2417</v>
      </c>
      <c r="R944" s="133" t="s">
        <v>2417</v>
      </c>
      <c r="S944" s="133" t="s">
        <v>2417</v>
      </c>
      <c r="T944" s="133" t="s">
        <v>2417</v>
      </c>
      <c r="U944" s="133" t="s">
        <v>2417</v>
      </c>
      <c r="V944" s="133" t="s">
        <v>2417</v>
      </c>
      <c r="W944" s="133" t="s">
        <v>2417</v>
      </c>
      <c r="X944" s="133" t="s">
        <v>2417</v>
      </c>
      <c r="Y944" s="133" t="s">
        <v>2417</v>
      </c>
      <c r="Z944" s="133" t="s">
        <v>2417</v>
      </c>
      <c r="AA944" s="133" t="s">
        <v>2417</v>
      </c>
      <c r="AB944" s="133" t="s">
        <v>2417</v>
      </c>
      <c r="AC944" s="133" t="s">
        <v>2417</v>
      </c>
      <c r="AD944" s="133" t="s">
        <v>2417</v>
      </c>
      <c r="AE944" s="123"/>
    </row>
    <row r="945" spans="1:31" ht="20.399999999999999" outlineLevel="3">
      <c r="A945" s="68" t="s">
        <v>1983</v>
      </c>
      <c r="B945" s="97" t="s">
        <v>1984</v>
      </c>
      <c r="C945" s="447" t="s">
        <v>1985</v>
      </c>
      <c r="D945" s="351"/>
      <c r="E945" s="133" t="s">
        <v>2856</v>
      </c>
      <c r="F945" s="133" t="s">
        <v>2417</v>
      </c>
      <c r="G945" s="133" t="s">
        <v>2417</v>
      </c>
      <c r="H945" s="133" t="s">
        <v>2417</v>
      </c>
      <c r="I945" s="133" t="s">
        <v>2417</v>
      </c>
      <c r="J945" s="133" t="s">
        <v>2417</v>
      </c>
      <c r="K945" s="133" t="s">
        <v>2417</v>
      </c>
      <c r="L945" s="133" t="s">
        <v>2417</v>
      </c>
      <c r="M945" s="133" t="s">
        <v>2417</v>
      </c>
      <c r="N945" s="133" t="s">
        <v>2417</v>
      </c>
      <c r="O945" s="133" t="s">
        <v>2417</v>
      </c>
      <c r="P945" s="133" t="s">
        <v>2417</v>
      </c>
      <c r="Q945" s="133" t="s">
        <v>2417</v>
      </c>
      <c r="R945" s="133" t="s">
        <v>2417</v>
      </c>
      <c r="S945" s="133" t="s">
        <v>2417</v>
      </c>
      <c r="T945" s="133" t="s">
        <v>2417</v>
      </c>
      <c r="U945" s="133" t="s">
        <v>2417</v>
      </c>
      <c r="V945" s="133" t="s">
        <v>2417</v>
      </c>
      <c r="W945" s="133" t="s">
        <v>2417</v>
      </c>
      <c r="X945" s="133" t="s">
        <v>2417</v>
      </c>
      <c r="Y945" s="133" t="s">
        <v>2417</v>
      </c>
      <c r="Z945" s="133" t="s">
        <v>2417</v>
      </c>
      <c r="AA945" s="133" t="s">
        <v>2417</v>
      </c>
      <c r="AB945" s="133" t="s">
        <v>2417</v>
      </c>
      <c r="AC945" s="133" t="s">
        <v>2417</v>
      </c>
      <c r="AD945" s="133" t="s">
        <v>2417</v>
      </c>
      <c r="AE945" s="181"/>
    </row>
    <row r="946" spans="1:31" ht="20.399999999999999" outlineLevel="3">
      <c r="A946" s="68" t="s">
        <v>1986</v>
      </c>
      <c r="B946" s="97" t="s">
        <v>1987</v>
      </c>
      <c r="C946" s="431" t="s">
        <v>1988</v>
      </c>
      <c r="D946" s="351"/>
      <c r="E946" s="133" t="s">
        <v>2856</v>
      </c>
      <c r="F946" s="133" t="s">
        <v>2417</v>
      </c>
      <c r="G946" s="133" t="s">
        <v>2417</v>
      </c>
      <c r="H946" s="133" t="s">
        <v>2417</v>
      </c>
      <c r="I946" s="133" t="s">
        <v>2417</v>
      </c>
      <c r="J946" s="133" t="s">
        <v>2417</v>
      </c>
      <c r="K946" s="133" t="s">
        <v>2417</v>
      </c>
      <c r="L946" s="133" t="s">
        <v>2417</v>
      </c>
      <c r="M946" s="133" t="s">
        <v>2417</v>
      </c>
      <c r="N946" s="133" t="s">
        <v>2417</v>
      </c>
      <c r="O946" s="133" t="s">
        <v>2417</v>
      </c>
      <c r="P946" s="133" t="s">
        <v>2417</v>
      </c>
      <c r="Q946" s="133" t="s">
        <v>2417</v>
      </c>
      <c r="R946" s="133" t="s">
        <v>2417</v>
      </c>
      <c r="S946" s="133" t="s">
        <v>2417</v>
      </c>
      <c r="T946" s="133" t="s">
        <v>2417</v>
      </c>
      <c r="U946" s="133" t="s">
        <v>2417</v>
      </c>
      <c r="V946" s="133" t="s">
        <v>2417</v>
      </c>
      <c r="W946" s="133" t="s">
        <v>2417</v>
      </c>
      <c r="X946" s="133" t="s">
        <v>2417</v>
      </c>
      <c r="Y946" s="133" t="s">
        <v>2417</v>
      </c>
      <c r="Z946" s="133" t="s">
        <v>2417</v>
      </c>
      <c r="AA946" s="133" t="s">
        <v>2417</v>
      </c>
      <c r="AB946" s="133" t="s">
        <v>2417</v>
      </c>
      <c r="AC946" s="133" t="s">
        <v>2417</v>
      </c>
      <c r="AD946" s="133" t="s">
        <v>2417</v>
      </c>
      <c r="AE946" s="188"/>
    </row>
    <row r="947" spans="1:31" ht="21" outlineLevel="3">
      <c r="A947" s="68" t="s">
        <v>1989</v>
      </c>
      <c r="B947" s="99" t="s">
        <v>2858</v>
      </c>
      <c r="C947" s="447" t="s">
        <v>1991</v>
      </c>
      <c r="D947" s="351"/>
      <c r="E947" s="133" t="s">
        <v>2856</v>
      </c>
      <c r="F947" s="133" t="s">
        <v>2417</v>
      </c>
      <c r="G947" s="133" t="s">
        <v>2417</v>
      </c>
      <c r="H947" s="133" t="s">
        <v>2417</v>
      </c>
      <c r="I947" s="133" t="s">
        <v>2417</v>
      </c>
      <c r="J947" s="133" t="s">
        <v>2417</v>
      </c>
      <c r="K947" s="133" t="s">
        <v>2417</v>
      </c>
      <c r="L947" s="133" t="s">
        <v>2417</v>
      </c>
      <c r="M947" s="133" t="s">
        <v>2417</v>
      </c>
      <c r="N947" s="133" t="s">
        <v>2417</v>
      </c>
      <c r="O947" s="133" t="s">
        <v>2417</v>
      </c>
      <c r="P947" s="133" t="s">
        <v>2417</v>
      </c>
      <c r="Q947" s="133" t="s">
        <v>2417</v>
      </c>
      <c r="R947" s="133" t="s">
        <v>2417</v>
      </c>
      <c r="S947" s="133" t="s">
        <v>2417</v>
      </c>
      <c r="T947" s="133" t="s">
        <v>2417</v>
      </c>
      <c r="U947" s="133" t="s">
        <v>2417</v>
      </c>
      <c r="V947" s="133" t="s">
        <v>2417</v>
      </c>
      <c r="W947" s="133" t="s">
        <v>2417</v>
      </c>
      <c r="X947" s="133" t="s">
        <v>2417</v>
      </c>
      <c r="Y947" s="133" t="s">
        <v>2417</v>
      </c>
      <c r="Z947" s="133" t="s">
        <v>2417</v>
      </c>
      <c r="AA947" s="133" t="s">
        <v>2417</v>
      </c>
      <c r="AB947" s="133" t="s">
        <v>2417</v>
      </c>
      <c r="AC947" s="133" t="s">
        <v>2417</v>
      </c>
      <c r="AD947" s="133" t="s">
        <v>2417</v>
      </c>
      <c r="AE947" s="181"/>
    </row>
    <row r="948" spans="1:31" ht="20.399999999999999" outlineLevel="3">
      <c r="A948" s="68" t="s">
        <v>1992</v>
      </c>
      <c r="B948" s="97" t="s">
        <v>1993</v>
      </c>
      <c r="C948" s="447" t="s">
        <v>1994</v>
      </c>
      <c r="D948" s="351"/>
      <c r="E948" s="133" t="s">
        <v>2856</v>
      </c>
      <c r="F948" s="133" t="s">
        <v>2417</v>
      </c>
      <c r="G948" s="133" t="s">
        <v>2417</v>
      </c>
      <c r="H948" s="133" t="s">
        <v>2417</v>
      </c>
      <c r="I948" s="133" t="s">
        <v>2417</v>
      </c>
      <c r="J948" s="133" t="s">
        <v>2417</v>
      </c>
      <c r="K948" s="133" t="s">
        <v>2417</v>
      </c>
      <c r="L948" s="133" t="s">
        <v>2417</v>
      </c>
      <c r="M948" s="133" t="s">
        <v>2417</v>
      </c>
      <c r="N948" s="133" t="s">
        <v>2417</v>
      </c>
      <c r="O948" s="133" t="s">
        <v>2417</v>
      </c>
      <c r="P948" s="133" t="s">
        <v>2417</v>
      </c>
      <c r="Q948" s="133" t="s">
        <v>2417</v>
      </c>
      <c r="R948" s="133" t="s">
        <v>2417</v>
      </c>
      <c r="S948" s="133" t="s">
        <v>2417</v>
      </c>
      <c r="T948" s="133" t="s">
        <v>2417</v>
      </c>
      <c r="U948" s="133" t="s">
        <v>2417</v>
      </c>
      <c r="V948" s="133" t="s">
        <v>2417</v>
      </c>
      <c r="W948" s="133" t="s">
        <v>2417</v>
      </c>
      <c r="X948" s="133" t="s">
        <v>2417</v>
      </c>
      <c r="Y948" s="133" t="s">
        <v>2417</v>
      </c>
      <c r="Z948" s="133" t="s">
        <v>2417</v>
      </c>
      <c r="AA948" s="133" t="s">
        <v>2417</v>
      </c>
      <c r="AB948" s="133" t="s">
        <v>2417</v>
      </c>
      <c r="AC948" s="133" t="s">
        <v>2417</v>
      </c>
      <c r="AD948" s="133" t="s">
        <v>2417</v>
      </c>
      <c r="AE948" s="181"/>
    </row>
    <row r="949" spans="1:31" ht="21" outlineLevel="3">
      <c r="A949" s="68" t="s">
        <v>1995</v>
      </c>
      <c r="B949" s="99" t="s">
        <v>2859</v>
      </c>
      <c r="C949" s="447" t="s">
        <v>1997</v>
      </c>
      <c r="D949" s="351"/>
      <c r="E949" s="133" t="s">
        <v>2856</v>
      </c>
      <c r="F949" s="133" t="s">
        <v>2417</v>
      </c>
      <c r="G949" s="133" t="s">
        <v>2417</v>
      </c>
      <c r="H949" s="133" t="s">
        <v>2417</v>
      </c>
      <c r="I949" s="133" t="s">
        <v>2417</v>
      </c>
      <c r="J949" s="133" t="s">
        <v>2417</v>
      </c>
      <c r="K949" s="133" t="s">
        <v>2417</v>
      </c>
      <c r="L949" s="133" t="s">
        <v>2417</v>
      </c>
      <c r="M949" s="133" t="s">
        <v>2417</v>
      </c>
      <c r="N949" s="133" t="s">
        <v>2417</v>
      </c>
      <c r="O949" s="133" t="s">
        <v>2417</v>
      </c>
      <c r="P949" s="133" t="s">
        <v>2417</v>
      </c>
      <c r="Q949" s="133" t="s">
        <v>2417</v>
      </c>
      <c r="R949" s="133" t="s">
        <v>2417</v>
      </c>
      <c r="S949" s="133" t="s">
        <v>2417</v>
      </c>
      <c r="T949" s="133" t="s">
        <v>2417</v>
      </c>
      <c r="U949" s="133" t="s">
        <v>2417</v>
      </c>
      <c r="V949" s="133" t="s">
        <v>2417</v>
      </c>
      <c r="W949" s="133" t="s">
        <v>2417</v>
      </c>
      <c r="X949" s="133" t="s">
        <v>2417</v>
      </c>
      <c r="Y949" s="133" t="s">
        <v>2417</v>
      </c>
      <c r="Z949" s="133" t="s">
        <v>2417</v>
      </c>
      <c r="AA949" s="133" t="s">
        <v>2417</v>
      </c>
      <c r="AB949" s="133" t="s">
        <v>2417</v>
      </c>
      <c r="AC949" s="133" t="s">
        <v>2417</v>
      </c>
      <c r="AD949" s="133" t="s">
        <v>2417</v>
      </c>
      <c r="AE949" s="181"/>
    </row>
    <row r="950" spans="1:31" ht="13.2" hidden="1" outlineLevel="2">
      <c r="A950" s="390" t="s">
        <v>2860</v>
      </c>
      <c r="B950" s="350"/>
      <c r="C950" s="350"/>
      <c r="D950" s="351"/>
      <c r="E950" s="133" t="s">
        <v>2565</v>
      </c>
      <c r="F950" s="133" t="s">
        <v>2417</v>
      </c>
      <c r="G950" s="133" t="s">
        <v>2417</v>
      </c>
      <c r="H950" s="133" t="s">
        <v>2417</v>
      </c>
      <c r="I950" s="134" t="s">
        <v>2418</v>
      </c>
      <c r="J950" s="133" t="s">
        <v>2417</v>
      </c>
      <c r="K950" s="133" t="s">
        <v>2417</v>
      </c>
      <c r="L950" s="133" t="s">
        <v>2417</v>
      </c>
      <c r="M950" s="133" t="s">
        <v>2417</v>
      </c>
      <c r="N950" s="133" t="s">
        <v>2417</v>
      </c>
      <c r="O950" s="133" t="s">
        <v>2417</v>
      </c>
      <c r="P950" s="133" t="s">
        <v>2417</v>
      </c>
      <c r="Q950" s="133" t="s">
        <v>2417</v>
      </c>
      <c r="R950" s="133" t="s">
        <v>2417</v>
      </c>
      <c r="S950" s="133" t="s">
        <v>2417</v>
      </c>
      <c r="T950" s="133" t="s">
        <v>2417</v>
      </c>
      <c r="U950" s="133" t="s">
        <v>2417</v>
      </c>
      <c r="V950" s="133" t="s">
        <v>2417</v>
      </c>
      <c r="W950" s="133" t="s">
        <v>2417</v>
      </c>
      <c r="X950" s="133" t="s">
        <v>2417</v>
      </c>
      <c r="Y950" s="133" t="s">
        <v>2417</v>
      </c>
      <c r="Z950" s="133" t="s">
        <v>2417</v>
      </c>
      <c r="AA950" s="133" t="s">
        <v>2417</v>
      </c>
      <c r="AB950" s="133" t="s">
        <v>2417</v>
      </c>
      <c r="AC950" s="133" t="s">
        <v>2417</v>
      </c>
      <c r="AD950" s="133" t="s">
        <v>2417</v>
      </c>
      <c r="AE950" s="189"/>
    </row>
    <row r="951" spans="1:31" ht="13.8" hidden="1" outlineLevel="3">
      <c r="A951" s="61" t="s">
        <v>1999</v>
      </c>
      <c r="B951" s="190"/>
      <c r="C951" s="446" t="s">
        <v>2861</v>
      </c>
      <c r="D951" s="351"/>
      <c r="E951" s="133" t="s">
        <v>2565</v>
      </c>
      <c r="F951" s="133" t="s">
        <v>2417</v>
      </c>
      <c r="G951" s="133" t="s">
        <v>2417</v>
      </c>
      <c r="H951" s="133" t="s">
        <v>2417</v>
      </c>
      <c r="I951" s="134" t="s">
        <v>2418</v>
      </c>
      <c r="J951" s="133" t="s">
        <v>2417</v>
      </c>
      <c r="K951" s="133" t="s">
        <v>2417</v>
      </c>
      <c r="L951" s="133" t="s">
        <v>2417</v>
      </c>
      <c r="M951" s="133" t="s">
        <v>2417</v>
      </c>
      <c r="N951" s="133" t="s">
        <v>2417</v>
      </c>
      <c r="O951" s="133" t="s">
        <v>2417</v>
      </c>
      <c r="P951" s="133" t="s">
        <v>2417</v>
      </c>
      <c r="Q951" s="133" t="s">
        <v>2417</v>
      </c>
      <c r="R951" s="133" t="s">
        <v>2417</v>
      </c>
      <c r="S951" s="133" t="s">
        <v>2417</v>
      </c>
      <c r="T951" s="133" t="s">
        <v>2417</v>
      </c>
      <c r="U951" s="133" t="s">
        <v>2417</v>
      </c>
      <c r="V951" s="133" t="s">
        <v>2417</v>
      </c>
      <c r="W951" s="133" t="s">
        <v>2417</v>
      </c>
      <c r="X951" s="133" t="s">
        <v>2417</v>
      </c>
      <c r="Y951" s="133" t="s">
        <v>2417</v>
      </c>
      <c r="Z951" s="133" t="s">
        <v>2417</v>
      </c>
      <c r="AA951" s="133" t="s">
        <v>2417</v>
      </c>
      <c r="AB951" s="133" t="s">
        <v>2417</v>
      </c>
      <c r="AC951" s="133" t="s">
        <v>2417</v>
      </c>
      <c r="AD951" s="133" t="s">
        <v>2417</v>
      </c>
      <c r="AE951" s="191"/>
    </row>
    <row r="952" spans="1:31" ht="21" hidden="1" outlineLevel="3">
      <c r="A952" s="61" t="s">
        <v>2001</v>
      </c>
      <c r="B952" s="99" t="s">
        <v>1981</v>
      </c>
      <c r="C952" s="446" t="s">
        <v>2862</v>
      </c>
      <c r="D952" s="351"/>
      <c r="E952" s="133" t="s">
        <v>2565</v>
      </c>
      <c r="F952" s="133" t="s">
        <v>2417</v>
      </c>
      <c r="G952" s="133" t="s">
        <v>2417</v>
      </c>
      <c r="H952" s="133" t="s">
        <v>2417</v>
      </c>
      <c r="I952" s="133" t="s">
        <v>2417</v>
      </c>
      <c r="J952" s="133" t="s">
        <v>2417</v>
      </c>
      <c r="K952" s="133" t="s">
        <v>2417</v>
      </c>
      <c r="L952" s="133" t="s">
        <v>2417</v>
      </c>
      <c r="M952" s="133" t="s">
        <v>2417</v>
      </c>
      <c r="N952" s="133" t="s">
        <v>2417</v>
      </c>
      <c r="O952" s="133" t="s">
        <v>2417</v>
      </c>
      <c r="P952" s="133" t="s">
        <v>2417</v>
      </c>
      <c r="Q952" s="133" t="s">
        <v>2417</v>
      </c>
      <c r="R952" s="133" t="s">
        <v>2417</v>
      </c>
      <c r="S952" s="133" t="s">
        <v>2417</v>
      </c>
      <c r="T952" s="133" t="s">
        <v>2417</v>
      </c>
      <c r="U952" s="133" t="s">
        <v>2417</v>
      </c>
      <c r="V952" s="133" t="s">
        <v>2417</v>
      </c>
      <c r="W952" s="133" t="s">
        <v>2417</v>
      </c>
      <c r="X952" s="133" t="s">
        <v>2417</v>
      </c>
      <c r="Y952" s="133" t="s">
        <v>2417</v>
      </c>
      <c r="Z952" s="133" t="s">
        <v>2417</v>
      </c>
      <c r="AA952" s="133" t="s">
        <v>2417</v>
      </c>
      <c r="AB952" s="133" t="s">
        <v>2417</v>
      </c>
      <c r="AC952" s="133" t="s">
        <v>2417</v>
      </c>
      <c r="AD952" s="133" t="s">
        <v>2417</v>
      </c>
      <c r="AE952" s="191"/>
    </row>
    <row r="953" spans="1:31" ht="21" hidden="1" outlineLevel="3">
      <c r="A953" s="61" t="s">
        <v>2002</v>
      </c>
      <c r="B953" s="99" t="s">
        <v>2863</v>
      </c>
      <c r="C953" s="446" t="s">
        <v>2864</v>
      </c>
      <c r="D953" s="351"/>
      <c r="E953" s="133" t="s">
        <v>2565</v>
      </c>
      <c r="F953" s="133" t="s">
        <v>2417</v>
      </c>
      <c r="G953" s="133" t="s">
        <v>2417</v>
      </c>
      <c r="H953" s="133" t="s">
        <v>2417</v>
      </c>
      <c r="I953" s="133" t="s">
        <v>2417</v>
      </c>
      <c r="J953" s="133" t="s">
        <v>2417</v>
      </c>
      <c r="K953" s="133" t="s">
        <v>2417</v>
      </c>
      <c r="L953" s="133" t="s">
        <v>2417</v>
      </c>
      <c r="M953" s="133" t="s">
        <v>2417</v>
      </c>
      <c r="N953" s="133" t="s">
        <v>2417</v>
      </c>
      <c r="O953" s="133" t="s">
        <v>2417</v>
      </c>
      <c r="P953" s="133" t="s">
        <v>2417</v>
      </c>
      <c r="Q953" s="133" t="s">
        <v>2417</v>
      </c>
      <c r="R953" s="133" t="s">
        <v>2417</v>
      </c>
      <c r="S953" s="133" t="s">
        <v>2417</v>
      </c>
      <c r="T953" s="133" t="s">
        <v>2417</v>
      </c>
      <c r="U953" s="133" t="s">
        <v>2417</v>
      </c>
      <c r="V953" s="133" t="s">
        <v>2417</v>
      </c>
      <c r="W953" s="133" t="s">
        <v>2417</v>
      </c>
      <c r="X953" s="133" t="s">
        <v>2417</v>
      </c>
      <c r="Y953" s="133" t="s">
        <v>2417</v>
      </c>
      <c r="Z953" s="133" t="s">
        <v>2417</v>
      </c>
      <c r="AA953" s="133" t="s">
        <v>2417</v>
      </c>
      <c r="AB953" s="133" t="s">
        <v>2417</v>
      </c>
      <c r="AC953" s="133" t="s">
        <v>2417</v>
      </c>
      <c r="AD953" s="133" t="s">
        <v>2417</v>
      </c>
      <c r="AE953" s="180"/>
    </row>
    <row r="954" spans="1:31" ht="21" hidden="1" outlineLevel="3">
      <c r="A954" s="61" t="s">
        <v>2865</v>
      </c>
      <c r="B954" s="99" t="s">
        <v>1987</v>
      </c>
      <c r="C954" s="446" t="s">
        <v>2866</v>
      </c>
      <c r="D954" s="351"/>
      <c r="E954" s="133" t="s">
        <v>2565</v>
      </c>
      <c r="F954" s="133" t="s">
        <v>2417</v>
      </c>
      <c r="G954" s="133" t="s">
        <v>2417</v>
      </c>
      <c r="H954" s="133" t="s">
        <v>2417</v>
      </c>
      <c r="I954" s="133" t="s">
        <v>2417</v>
      </c>
      <c r="J954" s="133" t="s">
        <v>2417</v>
      </c>
      <c r="K954" s="133" t="s">
        <v>2417</v>
      </c>
      <c r="L954" s="133" t="s">
        <v>2417</v>
      </c>
      <c r="M954" s="133" t="s">
        <v>2417</v>
      </c>
      <c r="N954" s="133" t="s">
        <v>2417</v>
      </c>
      <c r="O954" s="133" t="s">
        <v>2417</v>
      </c>
      <c r="P954" s="133" t="s">
        <v>2417</v>
      </c>
      <c r="Q954" s="133" t="s">
        <v>2417</v>
      </c>
      <c r="R954" s="133" t="s">
        <v>2417</v>
      </c>
      <c r="S954" s="133" t="s">
        <v>2417</v>
      </c>
      <c r="T954" s="133" t="s">
        <v>2417</v>
      </c>
      <c r="U954" s="133" t="s">
        <v>2417</v>
      </c>
      <c r="V954" s="133" t="s">
        <v>2417</v>
      </c>
      <c r="W954" s="133" t="s">
        <v>2417</v>
      </c>
      <c r="X954" s="133" t="s">
        <v>2417</v>
      </c>
      <c r="Y954" s="133" t="s">
        <v>2417</v>
      </c>
      <c r="Z954" s="133" t="s">
        <v>2417</v>
      </c>
      <c r="AA954" s="133" t="s">
        <v>2417</v>
      </c>
      <c r="AB954" s="133" t="s">
        <v>2417</v>
      </c>
      <c r="AC954" s="133" t="s">
        <v>2417</v>
      </c>
      <c r="AD954" s="133" t="s">
        <v>2417</v>
      </c>
      <c r="AE954" s="180"/>
    </row>
    <row r="955" spans="1:31" ht="21" hidden="1" outlineLevel="3">
      <c r="A955" s="61" t="s">
        <v>2867</v>
      </c>
      <c r="B955" s="99" t="s">
        <v>2868</v>
      </c>
      <c r="C955" s="446" t="s">
        <v>2869</v>
      </c>
      <c r="D955" s="351"/>
      <c r="E955" s="133" t="s">
        <v>2565</v>
      </c>
      <c r="F955" s="133" t="s">
        <v>2417</v>
      </c>
      <c r="G955" s="133" t="s">
        <v>2417</v>
      </c>
      <c r="H955" s="133" t="s">
        <v>2417</v>
      </c>
      <c r="I955" s="133" t="s">
        <v>2417</v>
      </c>
      <c r="J955" s="133" t="s">
        <v>2417</v>
      </c>
      <c r="K955" s="133" t="s">
        <v>2417</v>
      </c>
      <c r="L955" s="133" t="s">
        <v>2417</v>
      </c>
      <c r="M955" s="133" t="s">
        <v>2417</v>
      </c>
      <c r="N955" s="133" t="s">
        <v>2417</v>
      </c>
      <c r="O955" s="133" t="s">
        <v>2417</v>
      </c>
      <c r="P955" s="133" t="s">
        <v>2417</v>
      </c>
      <c r="Q955" s="133" t="s">
        <v>2417</v>
      </c>
      <c r="R955" s="133" t="s">
        <v>2417</v>
      </c>
      <c r="S955" s="133" t="s">
        <v>2417</v>
      </c>
      <c r="T955" s="133" t="s">
        <v>2417</v>
      </c>
      <c r="U955" s="133" t="s">
        <v>2417</v>
      </c>
      <c r="V955" s="133" t="s">
        <v>2417</v>
      </c>
      <c r="W955" s="133" t="s">
        <v>2417</v>
      </c>
      <c r="X955" s="133" t="s">
        <v>2417</v>
      </c>
      <c r="Y955" s="133" t="s">
        <v>2417</v>
      </c>
      <c r="Z955" s="133" t="s">
        <v>2417</v>
      </c>
      <c r="AA955" s="133" t="s">
        <v>2417</v>
      </c>
      <c r="AB955" s="133" t="s">
        <v>2417</v>
      </c>
      <c r="AC955" s="133" t="s">
        <v>2417</v>
      </c>
      <c r="AD955" s="133" t="s">
        <v>2417</v>
      </c>
      <c r="AE955" s="180"/>
    </row>
    <row r="956" spans="1:31" ht="21" hidden="1" outlineLevel="3">
      <c r="A956" s="61" t="s">
        <v>2867</v>
      </c>
      <c r="B956" s="99" t="s">
        <v>2870</v>
      </c>
      <c r="C956" s="446" t="s">
        <v>2871</v>
      </c>
      <c r="D956" s="351"/>
      <c r="E956" s="133" t="s">
        <v>2565</v>
      </c>
      <c r="F956" s="133" t="s">
        <v>2417</v>
      </c>
      <c r="G956" s="133" t="s">
        <v>2417</v>
      </c>
      <c r="H956" s="133" t="s">
        <v>2417</v>
      </c>
      <c r="I956" s="133" t="s">
        <v>2417</v>
      </c>
      <c r="J956" s="133" t="s">
        <v>2417</v>
      </c>
      <c r="K956" s="133" t="s">
        <v>2417</v>
      </c>
      <c r="L956" s="133" t="s">
        <v>2417</v>
      </c>
      <c r="M956" s="133" t="s">
        <v>2417</v>
      </c>
      <c r="N956" s="133" t="s">
        <v>2417</v>
      </c>
      <c r="O956" s="133" t="s">
        <v>2417</v>
      </c>
      <c r="P956" s="133" t="s">
        <v>2417</v>
      </c>
      <c r="Q956" s="133" t="s">
        <v>2417</v>
      </c>
      <c r="R956" s="133" t="s">
        <v>2417</v>
      </c>
      <c r="S956" s="133" t="s">
        <v>2417</v>
      </c>
      <c r="T956" s="133" t="s">
        <v>2417</v>
      </c>
      <c r="U956" s="133" t="s">
        <v>2417</v>
      </c>
      <c r="V956" s="133" t="s">
        <v>2417</v>
      </c>
      <c r="W956" s="133" t="s">
        <v>2417</v>
      </c>
      <c r="X956" s="133" t="s">
        <v>2417</v>
      </c>
      <c r="Y956" s="133" t="s">
        <v>2417</v>
      </c>
      <c r="Z956" s="133" t="s">
        <v>2417</v>
      </c>
      <c r="AA956" s="133" t="s">
        <v>2417</v>
      </c>
      <c r="AB956" s="133" t="s">
        <v>2417</v>
      </c>
      <c r="AC956" s="133" t="s">
        <v>2417</v>
      </c>
      <c r="AD956" s="133" t="s">
        <v>2417</v>
      </c>
      <c r="AE956" s="180"/>
    </row>
    <row r="957" spans="1:31" ht="13.2" hidden="1" outlineLevel="3">
      <c r="A957" s="61" t="s">
        <v>2872</v>
      </c>
      <c r="B957" s="99" t="s">
        <v>1993</v>
      </c>
      <c r="C957" s="446" t="s">
        <v>1994</v>
      </c>
      <c r="D957" s="351"/>
      <c r="E957" s="133" t="s">
        <v>2565</v>
      </c>
      <c r="F957" s="133" t="s">
        <v>2417</v>
      </c>
      <c r="G957" s="133" t="s">
        <v>2417</v>
      </c>
      <c r="H957" s="133" t="s">
        <v>2417</v>
      </c>
      <c r="I957" s="133" t="s">
        <v>2417</v>
      </c>
      <c r="J957" s="133" t="s">
        <v>2417</v>
      </c>
      <c r="K957" s="133" t="s">
        <v>2417</v>
      </c>
      <c r="L957" s="133" t="s">
        <v>2417</v>
      </c>
      <c r="M957" s="133" t="s">
        <v>2417</v>
      </c>
      <c r="N957" s="133" t="s">
        <v>2417</v>
      </c>
      <c r="O957" s="133" t="s">
        <v>2417</v>
      </c>
      <c r="P957" s="133" t="s">
        <v>2417</v>
      </c>
      <c r="Q957" s="133" t="s">
        <v>2417</v>
      </c>
      <c r="R957" s="133" t="s">
        <v>2417</v>
      </c>
      <c r="S957" s="133" t="s">
        <v>2417</v>
      </c>
      <c r="T957" s="133" t="s">
        <v>2417</v>
      </c>
      <c r="U957" s="133" t="s">
        <v>2417</v>
      </c>
      <c r="V957" s="133" t="s">
        <v>2417</v>
      </c>
      <c r="W957" s="133" t="s">
        <v>2417</v>
      </c>
      <c r="X957" s="133" t="s">
        <v>2417</v>
      </c>
      <c r="Y957" s="133" t="s">
        <v>2417</v>
      </c>
      <c r="Z957" s="133" t="s">
        <v>2417</v>
      </c>
      <c r="AA957" s="133" t="s">
        <v>2417</v>
      </c>
      <c r="AB957" s="133" t="s">
        <v>2417</v>
      </c>
      <c r="AC957" s="133" t="s">
        <v>2417</v>
      </c>
      <c r="AD957" s="133" t="s">
        <v>2417</v>
      </c>
      <c r="AE957" s="180"/>
    </row>
    <row r="958" spans="1:31" ht="21" hidden="1" outlineLevel="3">
      <c r="A958" s="61" t="s">
        <v>2873</v>
      </c>
      <c r="B958" s="99" t="s">
        <v>2874</v>
      </c>
      <c r="C958" s="446" t="s">
        <v>1997</v>
      </c>
      <c r="D958" s="351"/>
      <c r="E958" s="133" t="s">
        <v>2565</v>
      </c>
      <c r="F958" s="133" t="s">
        <v>2417</v>
      </c>
      <c r="G958" s="133" t="s">
        <v>2417</v>
      </c>
      <c r="H958" s="133" t="s">
        <v>2417</v>
      </c>
      <c r="I958" s="133" t="s">
        <v>2417</v>
      </c>
      <c r="J958" s="133" t="s">
        <v>2417</v>
      </c>
      <c r="K958" s="133" t="s">
        <v>2417</v>
      </c>
      <c r="L958" s="133" t="s">
        <v>2417</v>
      </c>
      <c r="M958" s="133" t="s">
        <v>2417</v>
      </c>
      <c r="N958" s="133" t="s">
        <v>2417</v>
      </c>
      <c r="O958" s="133" t="s">
        <v>2417</v>
      </c>
      <c r="P958" s="133" t="s">
        <v>2417</v>
      </c>
      <c r="Q958" s="133" t="s">
        <v>2417</v>
      </c>
      <c r="R958" s="133" t="s">
        <v>2417</v>
      </c>
      <c r="S958" s="133" t="s">
        <v>2417</v>
      </c>
      <c r="T958" s="133" t="s">
        <v>2417</v>
      </c>
      <c r="U958" s="133" t="s">
        <v>2417</v>
      </c>
      <c r="V958" s="133" t="s">
        <v>2417</v>
      </c>
      <c r="W958" s="133" t="s">
        <v>2417</v>
      </c>
      <c r="X958" s="133" t="s">
        <v>2417</v>
      </c>
      <c r="Y958" s="133" t="s">
        <v>2417</v>
      </c>
      <c r="Z958" s="133" t="s">
        <v>2417</v>
      </c>
      <c r="AA958" s="133" t="s">
        <v>2417</v>
      </c>
      <c r="AB958" s="133" t="s">
        <v>2417</v>
      </c>
      <c r="AC958" s="133" t="s">
        <v>2417</v>
      </c>
      <c r="AD958" s="133" t="s">
        <v>2417</v>
      </c>
      <c r="AE958" s="180"/>
    </row>
    <row r="959" spans="1:31" ht="20.399999999999999" outlineLevel="2">
      <c r="A959" s="449" t="s">
        <v>1998</v>
      </c>
      <c r="B959" s="350"/>
      <c r="C959" s="350"/>
      <c r="D959" s="351"/>
      <c r="E959" s="133" t="s">
        <v>2417</v>
      </c>
      <c r="F959" s="133" t="s">
        <v>592</v>
      </c>
      <c r="G959" s="133" t="s">
        <v>2417</v>
      </c>
      <c r="H959" s="133" t="s">
        <v>2417</v>
      </c>
      <c r="I959" s="134" t="s">
        <v>2418</v>
      </c>
      <c r="J959" s="133" t="s">
        <v>2417</v>
      </c>
      <c r="K959" s="133" t="s">
        <v>2417</v>
      </c>
      <c r="L959" s="133" t="s">
        <v>2417</v>
      </c>
      <c r="M959" s="133" t="s">
        <v>2417</v>
      </c>
      <c r="N959" s="133" t="s">
        <v>2417</v>
      </c>
      <c r="O959" s="133" t="s">
        <v>2417</v>
      </c>
      <c r="P959" s="133" t="s">
        <v>2417</v>
      </c>
      <c r="Q959" s="133" t="s">
        <v>2417</v>
      </c>
      <c r="R959" s="133" t="s">
        <v>2417</v>
      </c>
      <c r="S959" s="133" t="s">
        <v>2417</v>
      </c>
      <c r="T959" s="133" t="s">
        <v>2417</v>
      </c>
      <c r="U959" s="133" t="s">
        <v>2417</v>
      </c>
      <c r="V959" s="133" t="s">
        <v>2417</v>
      </c>
      <c r="W959" s="133" t="s">
        <v>2417</v>
      </c>
      <c r="X959" s="133" t="s">
        <v>2417</v>
      </c>
      <c r="Y959" s="133" t="s">
        <v>2417</v>
      </c>
      <c r="Z959" s="133" t="s">
        <v>2417</v>
      </c>
      <c r="AA959" s="133" t="s">
        <v>2417</v>
      </c>
      <c r="AB959" s="133" t="s">
        <v>2417</v>
      </c>
      <c r="AC959" s="133" t="s">
        <v>2417</v>
      </c>
      <c r="AD959" s="133" t="s">
        <v>2417</v>
      </c>
      <c r="AE959" s="187"/>
    </row>
    <row r="960" spans="1:31" ht="20.399999999999999" outlineLevel="3">
      <c r="A960" s="68" t="s">
        <v>1999</v>
      </c>
      <c r="B960" s="65"/>
      <c r="C960" s="360" t="s">
        <v>2000</v>
      </c>
      <c r="D960" s="351"/>
      <c r="E960" s="133" t="s">
        <v>2417</v>
      </c>
      <c r="F960" s="133" t="s">
        <v>592</v>
      </c>
      <c r="G960" s="133" t="s">
        <v>2417</v>
      </c>
      <c r="H960" s="133" t="s">
        <v>2417</v>
      </c>
      <c r="I960" s="134" t="s">
        <v>2418</v>
      </c>
      <c r="J960" s="133" t="s">
        <v>2417</v>
      </c>
      <c r="K960" s="133" t="s">
        <v>2417</v>
      </c>
      <c r="L960" s="133" t="s">
        <v>2417</v>
      </c>
      <c r="M960" s="133" t="s">
        <v>2417</v>
      </c>
      <c r="N960" s="133" t="s">
        <v>2417</v>
      </c>
      <c r="O960" s="133" t="s">
        <v>2417</v>
      </c>
      <c r="P960" s="133" t="s">
        <v>2417</v>
      </c>
      <c r="Q960" s="133" t="s">
        <v>2417</v>
      </c>
      <c r="R960" s="133" t="s">
        <v>2417</v>
      </c>
      <c r="S960" s="133" t="s">
        <v>2417</v>
      </c>
      <c r="T960" s="133" t="s">
        <v>2417</v>
      </c>
      <c r="U960" s="133" t="s">
        <v>2417</v>
      </c>
      <c r="V960" s="133" t="s">
        <v>2417</v>
      </c>
      <c r="W960" s="133" t="s">
        <v>2417</v>
      </c>
      <c r="X960" s="133" t="s">
        <v>2417</v>
      </c>
      <c r="Y960" s="133" t="s">
        <v>2417</v>
      </c>
      <c r="Z960" s="133" t="s">
        <v>2417</v>
      </c>
      <c r="AA960" s="133" t="s">
        <v>2417</v>
      </c>
      <c r="AB960" s="133" t="s">
        <v>2417</v>
      </c>
      <c r="AC960" s="133" t="s">
        <v>2417</v>
      </c>
      <c r="AD960" s="133" t="s">
        <v>2417</v>
      </c>
      <c r="AE960" s="123"/>
    </row>
    <row r="961" spans="1:31" ht="20.399999999999999" outlineLevel="3">
      <c r="A961" s="68" t="s">
        <v>2001</v>
      </c>
      <c r="B961" s="97" t="s">
        <v>1984</v>
      </c>
      <c r="C961" s="429" t="s">
        <v>1985</v>
      </c>
      <c r="D961" s="351"/>
      <c r="E961" s="133" t="s">
        <v>2417</v>
      </c>
      <c r="F961" s="133" t="s">
        <v>592</v>
      </c>
      <c r="G961" s="133" t="s">
        <v>2417</v>
      </c>
      <c r="H961" s="133" t="s">
        <v>2417</v>
      </c>
      <c r="I961" s="133" t="s">
        <v>2417</v>
      </c>
      <c r="J961" s="133" t="s">
        <v>2417</v>
      </c>
      <c r="K961" s="133" t="s">
        <v>2417</v>
      </c>
      <c r="L961" s="133" t="s">
        <v>2417</v>
      </c>
      <c r="M961" s="133" t="s">
        <v>2417</v>
      </c>
      <c r="N961" s="133" t="s">
        <v>2417</v>
      </c>
      <c r="O961" s="133" t="s">
        <v>2417</v>
      </c>
      <c r="P961" s="133" t="s">
        <v>2417</v>
      </c>
      <c r="Q961" s="133" t="s">
        <v>2417</v>
      </c>
      <c r="R961" s="133" t="s">
        <v>2417</v>
      </c>
      <c r="S961" s="133" t="s">
        <v>2417</v>
      </c>
      <c r="T961" s="133" t="s">
        <v>2417</v>
      </c>
      <c r="U961" s="133" t="s">
        <v>2417</v>
      </c>
      <c r="V961" s="133" t="s">
        <v>2417</v>
      </c>
      <c r="W961" s="133" t="s">
        <v>2417</v>
      </c>
      <c r="X961" s="133" t="s">
        <v>2417</v>
      </c>
      <c r="Y961" s="133" t="s">
        <v>2417</v>
      </c>
      <c r="Z961" s="133" t="s">
        <v>2417</v>
      </c>
      <c r="AA961" s="133" t="s">
        <v>2417</v>
      </c>
      <c r="AB961" s="133" t="s">
        <v>2417</v>
      </c>
      <c r="AC961" s="133" t="s">
        <v>2417</v>
      </c>
      <c r="AD961" s="133" t="s">
        <v>2417</v>
      </c>
      <c r="AE961" s="181"/>
    </row>
    <row r="962" spans="1:31" ht="20.399999999999999" outlineLevel="3">
      <c r="A962" s="68" t="s">
        <v>2002</v>
      </c>
      <c r="B962" s="97" t="s">
        <v>1987</v>
      </c>
      <c r="C962" s="429" t="s">
        <v>1988</v>
      </c>
      <c r="D962" s="351"/>
      <c r="E962" s="133" t="s">
        <v>2417</v>
      </c>
      <c r="F962" s="133" t="s">
        <v>592</v>
      </c>
      <c r="G962" s="133" t="s">
        <v>2417</v>
      </c>
      <c r="H962" s="133" t="s">
        <v>2417</v>
      </c>
      <c r="I962" s="133" t="s">
        <v>2417</v>
      </c>
      <c r="J962" s="133" t="s">
        <v>2417</v>
      </c>
      <c r="K962" s="133" t="s">
        <v>2417</v>
      </c>
      <c r="L962" s="133" t="s">
        <v>2417</v>
      </c>
      <c r="M962" s="133" t="s">
        <v>2417</v>
      </c>
      <c r="N962" s="133" t="s">
        <v>2417</v>
      </c>
      <c r="O962" s="133" t="s">
        <v>2417</v>
      </c>
      <c r="P962" s="133" t="s">
        <v>2417</v>
      </c>
      <c r="Q962" s="133" t="s">
        <v>2417</v>
      </c>
      <c r="R962" s="133" t="s">
        <v>2417</v>
      </c>
      <c r="S962" s="133" t="s">
        <v>2417</v>
      </c>
      <c r="T962" s="133" t="s">
        <v>2417</v>
      </c>
      <c r="U962" s="133" t="s">
        <v>2417</v>
      </c>
      <c r="V962" s="133" t="s">
        <v>2417</v>
      </c>
      <c r="W962" s="133" t="s">
        <v>2417</v>
      </c>
      <c r="X962" s="133" t="s">
        <v>2417</v>
      </c>
      <c r="Y962" s="133" t="s">
        <v>2417</v>
      </c>
      <c r="Z962" s="133" t="s">
        <v>2417</v>
      </c>
      <c r="AA962" s="133" t="s">
        <v>2417</v>
      </c>
      <c r="AB962" s="133" t="s">
        <v>2417</v>
      </c>
      <c r="AC962" s="133" t="s">
        <v>2417</v>
      </c>
      <c r="AD962" s="133" t="s">
        <v>2417</v>
      </c>
      <c r="AE962" s="184"/>
    </row>
    <row r="963" spans="1:31" ht="13.2" outlineLevel="2">
      <c r="A963" s="449" t="s">
        <v>2003</v>
      </c>
      <c r="B963" s="350"/>
      <c r="C963" s="350"/>
      <c r="D963" s="351"/>
      <c r="E963" s="133" t="s">
        <v>2417</v>
      </c>
      <c r="F963" s="133" t="s">
        <v>2417</v>
      </c>
      <c r="G963" s="133" t="s">
        <v>2417</v>
      </c>
      <c r="H963" s="133" t="s">
        <v>2417</v>
      </c>
      <c r="I963" s="134" t="s">
        <v>2418</v>
      </c>
      <c r="J963" s="133" t="s">
        <v>2417</v>
      </c>
      <c r="K963" s="133" t="s">
        <v>2417</v>
      </c>
      <c r="L963" s="133" t="s">
        <v>2417</v>
      </c>
      <c r="M963" s="133" t="s">
        <v>2417</v>
      </c>
      <c r="N963" s="133" t="s">
        <v>2417</v>
      </c>
      <c r="O963" s="133" t="s">
        <v>2417</v>
      </c>
      <c r="P963" s="133" t="s">
        <v>2417</v>
      </c>
      <c r="Q963" s="133" t="s">
        <v>2417</v>
      </c>
      <c r="R963" s="133" t="s">
        <v>2417</v>
      </c>
      <c r="S963" s="133" t="s">
        <v>2417</v>
      </c>
      <c r="T963" s="133" t="s">
        <v>2417</v>
      </c>
      <c r="U963" s="133" t="s">
        <v>2417</v>
      </c>
      <c r="V963" s="133" t="s">
        <v>2417</v>
      </c>
      <c r="W963" s="133" t="s">
        <v>2417</v>
      </c>
      <c r="X963" s="133" t="s">
        <v>2417</v>
      </c>
      <c r="Y963" s="133" t="s">
        <v>2417</v>
      </c>
      <c r="Z963" s="133" t="s">
        <v>2417</v>
      </c>
      <c r="AA963" s="133" t="s">
        <v>2417</v>
      </c>
      <c r="AB963" s="133" t="s">
        <v>2417</v>
      </c>
      <c r="AC963" s="133" t="s">
        <v>2417</v>
      </c>
      <c r="AD963" s="133" t="s">
        <v>2417</v>
      </c>
      <c r="AE963" s="187"/>
    </row>
    <row r="964" spans="1:31" ht="13.2" outlineLevel="3">
      <c r="A964" s="68" t="s">
        <v>2004</v>
      </c>
      <c r="B964" s="64"/>
      <c r="C964" s="360" t="s">
        <v>2875</v>
      </c>
      <c r="D964" s="351"/>
      <c r="E964" s="133" t="s">
        <v>2417</v>
      </c>
      <c r="F964" s="133" t="s">
        <v>2417</v>
      </c>
      <c r="G964" s="133" t="s">
        <v>2417</v>
      </c>
      <c r="H964" s="133" t="s">
        <v>2417</v>
      </c>
      <c r="I964" s="134" t="s">
        <v>2418</v>
      </c>
      <c r="J964" s="133" t="s">
        <v>2417</v>
      </c>
      <c r="K964" s="133" t="s">
        <v>2417</v>
      </c>
      <c r="L964" s="133" t="s">
        <v>2417</v>
      </c>
      <c r="M964" s="133" t="s">
        <v>2417</v>
      </c>
      <c r="N964" s="133" t="s">
        <v>2417</v>
      </c>
      <c r="O964" s="133" t="s">
        <v>2417</v>
      </c>
      <c r="P964" s="133" t="s">
        <v>2417</v>
      </c>
      <c r="Q964" s="133" t="s">
        <v>2417</v>
      </c>
      <c r="R964" s="133" t="s">
        <v>2417</v>
      </c>
      <c r="S964" s="133" t="s">
        <v>2417</v>
      </c>
      <c r="T964" s="133" t="s">
        <v>2417</v>
      </c>
      <c r="U964" s="133" t="s">
        <v>2417</v>
      </c>
      <c r="V964" s="133" t="s">
        <v>2417</v>
      </c>
      <c r="W964" s="133" t="s">
        <v>2417</v>
      </c>
      <c r="X964" s="133" t="s">
        <v>2417</v>
      </c>
      <c r="Y964" s="133" t="s">
        <v>2417</v>
      </c>
      <c r="Z964" s="133" t="s">
        <v>2417</v>
      </c>
      <c r="AA964" s="133" t="s">
        <v>2417</v>
      </c>
      <c r="AB964" s="133" t="s">
        <v>2417</v>
      </c>
      <c r="AC964" s="133" t="s">
        <v>2417</v>
      </c>
      <c r="AD964" s="133" t="s">
        <v>2417</v>
      </c>
      <c r="AE964" s="123"/>
    </row>
    <row r="965" spans="1:31" ht="13.2" outlineLevel="3">
      <c r="A965" s="68" t="s">
        <v>2006</v>
      </c>
      <c r="B965" s="97" t="s">
        <v>2007</v>
      </c>
      <c r="C965" s="360" t="s">
        <v>2876</v>
      </c>
      <c r="D965" s="351"/>
      <c r="E965" s="133" t="s">
        <v>2417</v>
      </c>
      <c r="F965" s="133" t="s">
        <v>2417</v>
      </c>
      <c r="G965" s="133" t="s">
        <v>2417</v>
      </c>
      <c r="H965" s="133" t="s">
        <v>2417</v>
      </c>
      <c r="I965" s="133" t="s">
        <v>2417</v>
      </c>
      <c r="J965" s="133" t="s">
        <v>2417</v>
      </c>
      <c r="K965" s="133" t="s">
        <v>2417</v>
      </c>
      <c r="L965" s="133" t="s">
        <v>2417</v>
      </c>
      <c r="M965" s="133" t="s">
        <v>2417</v>
      </c>
      <c r="N965" s="133" t="s">
        <v>2417</v>
      </c>
      <c r="O965" s="133" t="s">
        <v>2417</v>
      </c>
      <c r="P965" s="133" t="s">
        <v>2417</v>
      </c>
      <c r="Q965" s="133" t="s">
        <v>2417</v>
      </c>
      <c r="R965" s="133" t="s">
        <v>2417</v>
      </c>
      <c r="S965" s="133" t="s">
        <v>2417</v>
      </c>
      <c r="T965" s="133" t="s">
        <v>2417</v>
      </c>
      <c r="U965" s="133" t="s">
        <v>2417</v>
      </c>
      <c r="V965" s="133" t="s">
        <v>2417</v>
      </c>
      <c r="W965" s="133" t="s">
        <v>2417</v>
      </c>
      <c r="X965" s="133" t="s">
        <v>2417</v>
      </c>
      <c r="Y965" s="133" t="s">
        <v>2417</v>
      </c>
      <c r="Z965" s="133" t="s">
        <v>2417</v>
      </c>
      <c r="AA965" s="133" t="s">
        <v>2417</v>
      </c>
      <c r="AB965" s="133" t="s">
        <v>2417</v>
      </c>
      <c r="AC965" s="133" t="s">
        <v>2417</v>
      </c>
      <c r="AD965" s="133" t="s">
        <v>2417</v>
      </c>
      <c r="AE965" s="123"/>
    </row>
    <row r="966" spans="1:31" ht="13.2" outlineLevel="3">
      <c r="A966" s="68" t="s">
        <v>2009</v>
      </c>
      <c r="B966" s="99" t="s">
        <v>2877</v>
      </c>
      <c r="C966" s="427" t="s">
        <v>2011</v>
      </c>
      <c r="D966" s="351"/>
      <c r="E966" s="133" t="s">
        <v>2417</v>
      </c>
      <c r="F966" s="133" t="s">
        <v>2417</v>
      </c>
      <c r="G966" s="133" t="s">
        <v>2417</v>
      </c>
      <c r="H966" s="133" t="s">
        <v>2417</v>
      </c>
      <c r="I966" s="133" t="s">
        <v>2417</v>
      </c>
      <c r="J966" s="133" t="s">
        <v>2417</v>
      </c>
      <c r="K966" s="133" t="s">
        <v>2417</v>
      </c>
      <c r="L966" s="133" t="s">
        <v>2417</v>
      </c>
      <c r="M966" s="133" t="s">
        <v>2417</v>
      </c>
      <c r="N966" s="133" t="s">
        <v>2417</v>
      </c>
      <c r="O966" s="133" t="s">
        <v>2417</v>
      </c>
      <c r="P966" s="133" t="s">
        <v>2417</v>
      </c>
      <c r="Q966" s="133" t="s">
        <v>2417</v>
      </c>
      <c r="R966" s="133" t="s">
        <v>2417</v>
      </c>
      <c r="S966" s="133" t="s">
        <v>2417</v>
      </c>
      <c r="T966" s="133" t="s">
        <v>2417</v>
      </c>
      <c r="U966" s="133" t="s">
        <v>2417</v>
      </c>
      <c r="V966" s="133" t="s">
        <v>2417</v>
      </c>
      <c r="W966" s="133" t="s">
        <v>2417</v>
      </c>
      <c r="X966" s="133" t="s">
        <v>2417</v>
      </c>
      <c r="Y966" s="133" t="s">
        <v>2417</v>
      </c>
      <c r="Z966" s="133" t="s">
        <v>2417</v>
      </c>
      <c r="AA966" s="133" t="s">
        <v>2417</v>
      </c>
      <c r="AB966" s="133" t="s">
        <v>2417</v>
      </c>
      <c r="AC966" s="133" t="s">
        <v>2417</v>
      </c>
      <c r="AD966" s="133" t="s">
        <v>2417</v>
      </c>
      <c r="AE966" s="180"/>
    </row>
    <row r="967" spans="1:31" ht="30.6" outlineLevel="3">
      <c r="A967" s="68" t="s">
        <v>2012</v>
      </c>
      <c r="B967" s="100" t="s">
        <v>2013</v>
      </c>
      <c r="C967" s="427" t="s">
        <v>2014</v>
      </c>
      <c r="D967" s="351"/>
      <c r="E967" s="133" t="s">
        <v>2417</v>
      </c>
      <c r="F967" s="133" t="s">
        <v>2417</v>
      </c>
      <c r="G967" s="133" t="s">
        <v>2417</v>
      </c>
      <c r="H967" s="133" t="s">
        <v>2417</v>
      </c>
      <c r="I967" s="133" t="s">
        <v>2417</v>
      </c>
      <c r="J967" s="133" t="s">
        <v>2417</v>
      </c>
      <c r="K967" s="133" t="s">
        <v>2417</v>
      </c>
      <c r="L967" s="133" t="s">
        <v>2417</v>
      </c>
      <c r="M967" s="133" t="s">
        <v>2417</v>
      </c>
      <c r="N967" s="133" t="s">
        <v>2417</v>
      </c>
      <c r="O967" s="133" t="s">
        <v>2417</v>
      </c>
      <c r="P967" s="133" t="s">
        <v>2417</v>
      </c>
      <c r="Q967" s="133" t="s">
        <v>2417</v>
      </c>
      <c r="R967" s="133" t="s">
        <v>2417</v>
      </c>
      <c r="S967" s="133" t="s">
        <v>2417</v>
      </c>
      <c r="T967" s="133" t="s">
        <v>2417</v>
      </c>
      <c r="U967" s="133" t="s">
        <v>2417</v>
      </c>
      <c r="V967" s="133" t="s">
        <v>2417</v>
      </c>
      <c r="W967" s="133" t="s">
        <v>2417</v>
      </c>
      <c r="X967" s="133" t="s">
        <v>2417</v>
      </c>
      <c r="Y967" s="133" t="s">
        <v>2417</v>
      </c>
      <c r="Z967" s="133" t="s">
        <v>2417</v>
      </c>
      <c r="AA967" s="133" t="s">
        <v>2417</v>
      </c>
      <c r="AB967" s="133" t="s">
        <v>2417</v>
      </c>
      <c r="AC967" s="133" t="s">
        <v>2417</v>
      </c>
      <c r="AD967" s="133" t="s">
        <v>2417</v>
      </c>
      <c r="AE967" s="180"/>
    </row>
    <row r="968" spans="1:31" ht="13.2" outlineLevel="2">
      <c r="A968" s="428" t="s">
        <v>2015</v>
      </c>
      <c r="B968" s="350"/>
      <c r="C968" s="350"/>
      <c r="D968" s="351"/>
      <c r="E968" s="133" t="s">
        <v>2417</v>
      </c>
      <c r="F968" s="133" t="s">
        <v>2396</v>
      </c>
      <c r="G968" s="133" t="s">
        <v>2417</v>
      </c>
      <c r="H968" s="133" t="s">
        <v>2417</v>
      </c>
      <c r="I968" s="134" t="s">
        <v>2418</v>
      </c>
      <c r="J968" s="133" t="s">
        <v>2417</v>
      </c>
      <c r="K968" s="133" t="s">
        <v>2417</v>
      </c>
      <c r="L968" s="133" t="s">
        <v>2417</v>
      </c>
      <c r="M968" s="133" t="s">
        <v>2417</v>
      </c>
      <c r="N968" s="133" t="s">
        <v>2417</v>
      </c>
      <c r="O968" s="133" t="s">
        <v>2417</v>
      </c>
      <c r="P968" s="133" t="s">
        <v>2417</v>
      </c>
      <c r="Q968" s="133" t="s">
        <v>2417</v>
      </c>
      <c r="R968" s="133" t="s">
        <v>2417</v>
      </c>
      <c r="S968" s="133" t="s">
        <v>2417</v>
      </c>
      <c r="T968" s="133" t="s">
        <v>2417</v>
      </c>
      <c r="U968" s="133" t="s">
        <v>2417</v>
      </c>
      <c r="V968" s="133" t="s">
        <v>2417</v>
      </c>
      <c r="W968" s="133" t="s">
        <v>2417</v>
      </c>
      <c r="X968" s="133" t="s">
        <v>2417</v>
      </c>
      <c r="Y968" s="133" t="s">
        <v>2417</v>
      </c>
      <c r="Z968" s="133" t="s">
        <v>2417</v>
      </c>
      <c r="AA968" s="133" t="s">
        <v>2417</v>
      </c>
      <c r="AB968" s="133" t="s">
        <v>2417</v>
      </c>
      <c r="AC968" s="133" t="s">
        <v>2417</v>
      </c>
      <c r="AD968" s="133" t="s">
        <v>2417</v>
      </c>
      <c r="AE968" s="183"/>
    </row>
    <row r="969" spans="1:31" ht="13.2" outlineLevel="3">
      <c r="A969" s="68" t="s">
        <v>2016</v>
      </c>
      <c r="B969" s="64"/>
      <c r="C969" s="387" t="s">
        <v>2017</v>
      </c>
      <c r="D969" s="351"/>
      <c r="E969" s="133" t="s">
        <v>2417</v>
      </c>
      <c r="F969" s="133" t="s">
        <v>2396</v>
      </c>
      <c r="G969" s="133" t="s">
        <v>2417</v>
      </c>
      <c r="H969" s="133" t="s">
        <v>2417</v>
      </c>
      <c r="I969" s="134" t="s">
        <v>2418</v>
      </c>
      <c r="J969" s="133" t="s">
        <v>2417</v>
      </c>
      <c r="K969" s="133" t="s">
        <v>2417</v>
      </c>
      <c r="L969" s="133" t="s">
        <v>2417</v>
      </c>
      <c r="M969" s="133" t="s">
        <v>2417</v>
      </c>
      <c r="N969" s="133" t="s">
        <v>2417</v>
      </c>
      <c r="O969" s="133" t="s">
        <v>2417</v>
      </c>
      <c r="P969" s="133" t="s">
        <v>2417</v>
      </c>
      <c r="Q969" s="133" t="s">
        <v>2417</v>
      </c>
      <c r="R969" s="133" t="s">
        <v>2417</v>
      </c>
      <c r="S969" s="133" t="s">
        <v>2417</v>
      </c>
      <c r="T969" s="133" t="s">
        <v>2417</v>
      </c>
      <c r="U969" s="133" t="s">
        <v>2417</v>
      </c>
      <c r="V969" s="133" t="s">
        <v>2417</v>
      </c>
      <c r="W969" s="133" t="s">
        <v>2417</v>
      </c>
      <c r="X969" s="133" t="s">
        <v>2417</v>
      </c>
      <c r="Y969" s="133" t="s">
        <v>2417</v>
      </c>
      <c r="Z969" s="133" t="s">
        <v>2417</v>
      </c>
      <c r="AA969" s="133" t="s">
        <v>2417</v>
      </c>
      <c r="AB969" s="133" t="s">
        <v>2417</v>
      </c>
      <c r="AC969" s="133" t="s">
        <v>2417</v>
      </c>
      <c r="AD969" s="133" t="s">
        <v>2417</v>
      </c>
      <c r="AE969" s="59"/>
    </row>
    <row r="970" spans="1:31" ht="20.399999999999999" outlineLevel="3">
      <c r="A970" s="68" t="s">
        <v>2018</v>
      </c>
      <c r="B970" s="97" t="s">
        <v>2019</v>
      </c>
      <c r="C970" s="429" t="s">
        <v>2020</v>
      </c>
      <c r="D970" s="351"/>
      <c r="E970" s="133" t="s">
        <v>2417</v>
      </c>
      <c r="F970" s="133" t="s">
        <v>2396</v>
      </c>
      <c r="G970" s="133" t="s">
        <v>2417</v>
      </c>
      <c r="H970" s="133" t="s">
        <v>2417</v>
      </c>
      <c r="I970" s="133" t="s">
        <v>2417</v>
      </c>
      <c r="J970" s="133" t="s">
        <v>2417</v>
      </c>
      <c r="K970" s="133" t="s">
        <v>2417</v>
      </c>
      <c r="L970" s="133" t="s">
        <v>2417</v>
      </c>
      <c r="M970" s="133" t="s">
        <v>2417</v>
      </c>
      <c r="N970" s="133" t="s">
        <v>2417</v>
      </c>
      <c r="O970" s="133" t="s">
        <v>2417</v>
      </c>
      <c r="P970" s="133" t="s">
        <v>2417</v>
      </c>
      <c r="Q970" s="133" t="s">
        <v>2417</v>
      </c>
      <c r="R970" s="133" t="s">
        <v>2417</v>
      </c>
      <c r="S970" s="133" t="s">
        <v>2417</v>
      </c>
      <c r="T970" s="133" t="s">
        <v>2417</v>
      </c>
      <c r="U970" s="133" t="s">
        <v>2417</v>
      </c>
      <c r="V970" s="133" t="s">
        <v>2417</v>
      </c>
      <c r="W970" s="133" t="s">
        <v>2417</v>
      </c>
      <c r="X970" s="133" t="s">
        <v>2417</v>
      </c>
      <c r="Y970" s="133" t="s">
        <v>2417</v>
      </c>
      <c r="Z970" s="133" t="s">
        <v>2417</v>
      </c>
      <c r="AA970" s="133" t="s">
        <v>2417</v>
      </c>
      <c r="AB970" s="133" t="s">
        <v>2417</v>
      </c>
      <c r="AC970" s="133" t="s">
        <v>2417</v>
      </c>
      <c r="AD970" s="133" t="s">
        <v>2417</v>
      </c>
      <c r="AE970" s="181"/>
    </row>
    <row r="971" spans="1:31" ht="13.2" outlineLevel="2">
      <c r="A971" s="428" t="s">
        <v>2021</v>
      </c>
      <c r="B971" s="350"/>
      <c r="C971" s="350"/>
      <c r="D971" s="351"/>
      <c r="E971" s="133" t="s">
        <v>2417</v>
      </c>
      <c r="F971" s="133" t="s">
        <v>2421</v>
      </c>
      <c r="G971" s="133" t="s">
        <v>2417</v>
      </c>
      <c r="H971" s="133" t="s">
        <v>2417</v>
      </c>
      <c r="I971" s="134" t="s">
        <v>2418</v>
      </c>
      <c r="J971" s="133" t="s">
        <v>2417</v>
      </c>
      <c r="K971" s="133" t="s">
        <v>2417</v>
      </c>
      <c r="L971" s="133" t="s">
        <v>2417</v>
      </c>
      <c r="M971" s="133" t="s">
        <v>2417</v>
      </c>
      <c r="N971" s="133" t="s">
        <v>2417</v>
      </c>
      <c r="O971" s="133" t="s">
        <v>2417</v>
      </c>
      <c r="P971" s="133" t="s">
        <v>2417</v>
      </c>
      <c r="Q971" s="133" t="s">
        <v>2417</v>
      </c>
      <c r="R971" s="133" t="s">
        <v>2417</v>
      </c>
      <c r="S971" s="133" t="s">
        <v>2417</v>
      </c>
      <c r="T971" s="133" t="s">
        <v>2417</v>
      </c>
      <c r="U971" s="133" t="s">
        <v>2417</v>
      </c>
      <c r="V971" s="133" t="s">
        <v>2417</v>
      </c>
      <c r="W971" s="133" t="s">
        <v>2417</v>
      </c>
      <c r="X971" s="133" t="s">
        <v>2417</v>
      </c>
      <c r="Y971" s="133" t="s">
        <v>2417</v>
      </c>
      <c r="Z971" s="133" t="s">
        <v>2417</v>
      </c>
      <c r="AA971" s="133" t="s">
        <v>2417</v>
      </c>
      <c r="AB971" s="133" t="s">
        <v>2417</v>
      </c>
      <c r="AC971" s="133" t="s">
        <v>2417</v>
      </c>
      <c r="AD971" s="133" t="s">
        <v>2417</v>
      </c>
      <c r="AE971" s="183"/>
    </row>
    <row r="972" spans="1:31" ht="13.2" outlineLevel="3">
      <c r="A972" s="61" t="s">
        <v>2022</v>
      </c>
      <c r="B972" s="69"/>
      <c r="C972" s="360" t="s">
        <v>2878</v>
      </c>
      <c r="D972" s="351"/>
      <c r="E972" s="133" t="s">
        <v>2417</v>
      </c>
      <c r="F972" s="133" t="s">
        <v>2417</v>
      </c>
      <c r="G972" s="133" t="s">
        <v>2417</v>
      </c>
      <c r="H972" s="133" t="s">
        <v>2417</v>
      </c>
      <c r="I972" s="134" t="s">
        <v>2418</v>
      </c>
      <c r="J972" s="133" t="s">
        <v>2417</v>
      </c>
      <c r="K972" s="133" t="s">
        <v>2417</v>
      </c>
      <c r="L972" s="133" t="s">
        <v>2417</v>
      </c>
      <c r="M972" s="133" t="s">
        <v>2417</v>
      </c>
      <c r="N972" s="133" t="s">
        <v>2417</v>
      </c>
      <c r="O972" s="133" t="s">
        <v>2417</v>
      </c>
      <c r="P972" s="133" t="s">
        <v>2417</v>
      </c>
      <c r="Q972" s="133" t="s">
        <v>2417</v>
      </c>
      <c r="R972" s="133" t="s">
        <v>2417</v>
      </c>
      <c r="S972" s="133" t="s">
        <v>2417</v>
      </c>
      <c r="T972" s="133" t="s">
        <v>2417</v>
      </c>
      <c r="U972" s="133" t="s">
        <v>2417</v>
      </c>
      <c r="V972" s="133" t="s">
        <v>2417</v>
      </c>
      <c r="W972" s="133" t="s">
        <v>2417</v>
      </c>
      <c r="X972" s="133" t="s">
        <v>2417</v>
      </c>
      <c r="Y972" s="133" t="s">
        <v>2417</v>
      </c>
      <c r="Z972" s="133" t="s">
        <v>2417</v>
      </c>
      <c r="AA972" s="133" t="s">
        <v>2417</v>
      </c>
      <c r="AB972" s="133" t="s">
        <v>2417</v>
      </c>
      <c r="AC972" s="133" t="s">
        <v>2417</v>
      </c>
      <c r="AD972" s="133" t="s">
        <v>2417</v>
      </c>
      <c r="AE972" s="123"/>
    </row>
    <row r="973" spans="1:31" ht="13.2" outlineLevel="3">
      <c r="A973" s="61" t="s">
        <v>2024</v>
      </c>
      <c r="B973" s="100" t="s">
        <v>2025</v>
      </c>
      <c r="C973" s="427" t="s">
        <v>2879</v>
      </c>
      <c r="D973" s="351"/>
      <c r="E973" s="133" t="s">
        <v>2417</v>
      </c>
      <c r="F973" s="133" t="s">
        <v>2417</v>
      </c>
      <c r="G973" s="133" t="s">
        <v>2417</v>
      </c>
      <c r="H973" s="133" t="s">
        <v>2417</v>
      </c>
      <c r="I973" s="133" t="s">
        <v>2417</v>
      </c>
      <c r="J973" s="133" t="s">
        <v>2417</v>
      </c>
      <c r="K973" s="133" t="s">
        <v>2417</v>
      </c>
      <c r="L973" s="133" t="s">
        <v>2417</v>
      </c>
      <c r="M973" s="133" t="s">
        <v>2417</v>
      </c>
      <c r="N973" s="133" t="s">
        <v>2417</v>
      </c>
      <c r="O973" s="133" t="s">
        <v>2417</v>
      </c>
      <c r="P973" s="133" t="s">
        <v>2417</v>
      </c>
      <c r="Q973" s="133" t="s">
        <v>2417</v>
      </c>
      <c r="R973" s="133" t="s">
        <v>2417</v>
      </c>
      <c r="S973" s="133" t="s">
        <v>2417</v>
      </c>
      <c r="T973" s="133" t="s">
        <v>2417</v>
      </c>
      <c r="U973" s="133" t="s">
        <v>2417</v>
      </c>
      <c r="V973" s="133" t="s">
        <v>2417</v>
      </c>
      <c r="W973" s="133" t="s">
        <v>2417</v>
      </c>
      <c r="X973" s="133" t="s">
        <v>2417</v>
      </c>
      <c r="Y973" s="133" t="s">
        <v>2417</v>
      </c>
      <c r="Z973" s="133" t="s">
        <v>2417</v>
      </c>
      <c r="AA973" s="133" t="s">
        <v>2417</v>
      </c>
      <c r="AB973" s="133" t="s">
        <v>2417</v>
      </c>
      <c r="AC973" s="133" t="s">
        <v>2417</v>
      </c>
      <c r="AD973" s="133" t="s">
        <v>2417</v>
      </c>
      <c r="AE973" s="180"/>
    </row>
    <row r="974" spans="1:31" ht="30.6" outlineLevel="3">
      <c r="A974" s="61" t="s">
        <v>2027</v>
      </c>
      <c r="B974" s="97" t="s">
        <v>2028</v>
      </c>
      <c r="C974" s="360" t="s">
        <v>2029</v>
      </c>
      <c r="D974" s="351"/>
      <c r="E974" s="133" t="s">
        <v>2417</v>
      </c>
      <c r="F974" s="133" t="s">
        <v>2417</v>
      </c>
      <c r="G974" s="133" t="s">
        <v>2417</v>
      </c>
      <c r="H974" s="133" t="s">
        <v>2417</v>
      </c>
      <c r="I974" s="133" t="s">
        <v>2417</v>
      </c>
      <c r="J974" s="133" t="s">
        <v>2417</v>
      </c>
      <c r="K974" s="133" t="s">
        <v>2417</v>
      </c>
      <c r="L974" s="133" t="s">
        <v>2417</v>
      </c>
      <c r="M974" s="133" t="s">
        <v>2417</v>
      </c>
      <c r="N974" s="133" t="s">
        <v>2417</v>
      </c>
      <c r="O974" s="133" t="s">
        <v>2417</v>
      </c>
      <c r="P974" s="133" t="s">
        <v>2417</v>
      </c>
      <c r="Q974" s="133" t="s">
        <v>2417</v>
      </c>
      <c r="R974" s="133" t="s">
        <v>2417</v>
      </c>
      <c r="S974" s="133" t="s">
        <v>2417</v>
      </c>
      <c r="T974" s="133" t="s">
        <v>2417</v>
      </c>
      <c r="U974" s="133" t="s">
        <v>2417</v>
      </c>
      <c r="V974" s="133" t="s">
        <v>2417</v>
      </c>
      <c r="W974" s="133" t="s">
        <v>2417</v>
      </c>
      <c r="X974" s="133" t="s">
        <v>2417</v>
      </c>
      <c r="Y974" s="133" t="s">
        <v>2417</v>
      </c>
      <c r="Z974" s="133" t="s">
        <v>2417</v>
      </c>
      <c r="AA974" s="133" t="s">
        <v>2417</v>
      </c>
      <c r="AB974" s="133" t="s">
        <v>2417</v>
      </c>
      <c r="AC974" s="133" t="s">
        <v>2417</v>
      </c>
      <c r="AD974" s="133" t="s">
        <v>2417</v>
      </c>
      <c r="AE974" s="123"/>
    </row>
    <row r="975" spans="1:31" ht="13.2" outlineLevel="2">
      <c r="A975" s="428" t="s">
        <v>2030</v>
      </c>
      <c r="B975" s="350"/>
      <c r="C975" s="350"/>
      <c r="D975" s="351"/>
      <c r="E975" s="133" t="s">
        <v>2417</v>
      </c>
      <c r="F975" s="133" t="s">
        <v>2417</v>
      </c>
      <c r="G975" s="133" t="s">
        <v>2417</v>
      </c>
      <c r="H975" s="133" t="s">
        <v>2417</v>
      </c>
      <c r="I975" s="134" t="s">
        <v>2418</v>
      </c>
      <c r="J975" s="133" t="s">
        <v>2417</v>
      </c>
      <c r="K975" s="133" t="s">
        <v>2417</v>
      </c>
      <c r="L975" s="133" t="s">
        <v>2417</v>
      </c>
      <c r="M975" s="133" t="s">
        <v>2417</v>
      </c>
      <c r="N975" s="133" t="s">
        <v>2417</v>
      </c>
      <c r="O975" s="133" t="s">
        <v>2417</v>
      </c>
      <c r="P975" s="133" t="s">
        <v>2417</v>
      </c>
      <c r="Q975" s="133" t="s">
        <v>2417</v>
      </c>
      <c r="R975" s="133" t="s">
        <v>2417</v>
      </c>
      <c r="S975" s="133" t="s">
        <v>2417</v>
      </c>
      <c r="T975" s="133" t="s">
        <v>2417</v>
      </c>
      <c r="U975" s="133" t="s">
        <v>2417</v>
      </c>
      <c r="V975" s="133" t="s">
        <v>2417</v>
      </c>
      <c r="W975" s="133" t="s">
        <v>2417</v>
      </c>
      <c r="X975" s="133" t="s">
        <v>2417</v>
      </c>
      <c r="Y975" s="133" t="s">
        <v>2417</v>
      </c>
      <c r="Z975" s="133" t="s">
        <v>2417</v>
      </c>
      <c r="AA975" s="133" t="s">
        <v>2417</v>
      </c>
      <c r="AB975" s="133" t="s">
        <v>2417</v>
      </c>
      <c r="AC975" s="133" t="s">
        <v>2417</v>
      </c>
      <c r="AD975" s="133" t="s">
        <v>2417</v>
      </c>
      <c r="AE975" s="183"/>
    </row>
    <row r="976" spans="1:31" ht="13.2" outlineLevel="3">
      <c r="A976" s="68" t="s">
        <v>2031</v>
      </c>
      <c r="B976" s="64"/>
      <c r="C976" s="360" t="s">
        <v>2032</v>
      </c>
      <c r="D976" s="351"/>
      <c r="E976" s="133" t="s">
        <v>2417</v>
      </c>
      <c r="F976" s="133" t="s">
        <v>2417</v>
      </c>
      <c r="G976" s="133" t="s">
        <v>2417</v>
      </c>
      <c r="H976" s="133" t="s">
        <v>2417</v>
      </c>
      <c r="I976" s="134" t="s">
        <v>2418</v>
      </c>
      <c r="J976" s="133" t="s">
        <v>2417</v>
      </c>
      <c r="K976" s="133" t="s">
        <v>2417</v>
      </c>
      <c r="L976" s="133" t="s">
        <v>2417</v>
      </c>
      <c r="M976" s="133" t="s">
        <v>2417</v>
      </c>
      <c r="N976" s="133" t="s">
        <v>2417</v>
      </c>
      <c r="O976" s="133" t="s">
        <v>2417</v>
      </c>
      <c r="P976" s="133" t="s">
        <v>2417</v>
      </c>
      <c r="Q976" s="133" t="s">
        <v>2417</v>
      </c>
      <c r="R976" s="133" t="s">
        <v>2417</v>
      </c>
      <c r="S976" s="133" t="s">
        <v>2417</v>
      </c>
      <c r="T976" s="133" t="s">
        <v>2417</v>
      </c>
      <c r="U976" s="133" t="s">
        <v>2417</v>
      </c>
      <c r="V976" s="133" t="s">
        <v>2417</v>
      </c>
      <c r="W976" s="133" t="s">
        <v>2417</v>
      </c>
      <c r="X976" s="133" t="s">
        <v>2417</v>
      </c>
      <c r="Y976" s="133" t="s">
        <v>2417</v>
      </c>
      <c r="Z976" s="133" t="s">
        <v>2417</v>
      </c>
      <c r="AA976" s="133" t="s">
        <v>2417</v>
      </c>
      <c r="AB976" s="133" t="s">
        <v>2417</v>
      </c>
      <c r="AC976" s="133" t="s">
        <v>2417</v>
      </c>
      <c r="AD976" s="133" t="s">
        <v>2417</v>
      </c>
      <c r="AE976" s="123"/>
    </row>
    <row r="977" spans="1:31" ht="30.6" outlineLevel="3">
      <c r="A977" s="68" t="s">
        <v>2033</v>
      </c>
      <c r="B977" s="97" t="s">
        <v>2034</v>
      </c>
      <c r="C977" s="429" t="s">
        <v>2035</v>
      </c>
      <c r="D977" s="351"/>
      <c r="E977" s="133" t="s">
        <v>2417</v>
      </c>
      <c r="F977" s="133" t="s">
        <v>2417</v>
      </c>
      <c r="G977" s="133" t="s">
        <v>2417</v>
      </c>
      <c r="H977" s="133" t="s">
        <v>2417</v>
      </c>
      <c r="I977" s="133" t="s">
        <v>2417</v>
      </c>
      <c r="J977" s="133" t="s">
        <v>2417</v>
      </c>
      <c r="K977" s="133" t="s">
        <v>2417</v>
      </c>
      <c r="L977" s="133" t="s">
        <v>2417</v>
      </c>
      <c r="M977" s="133" t="s">
        <v>2417</v>
      </c>
      <c r="N977" s="133" t="s">
        <v>2417</v>
      </c>
      <c r="O977" s="133" t="s">
        <v>2417</v>
      </c>
      <c r="P977" s="133" t="s">
        <v>2417</v>
      </c>
      <c r="Q977" s="133" t="s">
        <v>2417</v>
      </c>
      <c r="R977" s="133" t="s">
        <v>2417</v>
      </c>
      <c r="S977" s="133" t="s">
        <v>2417</v>
      </c>
      <c r="T977" s="133" t="s">
        <v>2417</v>
      </c>
      <c r="U977" s="133" t="s">
        <v>2417</v>
      </c>
      <c r="V977" s="133" t="s">
        <v>2417</v>
      </c>
      <c r="W977" s="133" t="s">
        <v>2417</v>
      </c>
      <c r="X977" s="133" t="s">
        <v>2417</v>
      </c>
      <c r="Y977" s="133" t="s">
        <v>2417</v>
      </c>
      <c r="Z977" s="133" t="s">
        <v>2417</v>
      </c>
      <c r="AA977" s="133" t="s">
        <v>2417</v>
      </c>
      <c r="AB977" s="133" t="s">
        <v>2417</v>
      </c>
      <c r="AC977" s="133" t="s">
        <v>2417</v>
      </c>
      <c r="AD977" s="133" t="s">
        <v>2417</v>
      </c>
      <c r="AE977" s="181"/>
    </row>
    <row r="978" spans="1:31" ht="30.6" outlineLevel="3">
      <c r="A978" s="68" t="s">
        <v>2036</v>
      </c>
      <c r="B978" s="97" t="s">
        <v>2037</v>
      </c>
      <c r="C978" s="429" t="s">
        <v>2038</v>
      </c>
      <c r="D978" s="351"/>
      <c r="E978" s="133" t="s">
        <v>2821</v>
      </c>
      <c r="F978" s="133" t="s">
        <v>2417</v>
      </c>
      <c r="G978" s="133" t="s">
        <v>2417</v>
      </c>
      <c r="H978" s="133" t="s">
        <v>2417</v>
      </c>
      <c r="I978" s="133" t="s">
        <v>2417</v>
      </c>
      <c r="J978" s="133" t="s">
        <v>2417</v>
      </c>
      <c r="K978" s="133" t="s">
        <v>2417</v>
      </c>
      <c r="L978" s="133" t="s">
        <v>2417</v>
      </c>
      <c r="M978" s="133" t="s">
        <v>2417</v>
      </c>
      <c r="N978" s="133" t="s">
        <v>2417</v>
      </c>
      <c r="O978" s="133" t="s">
        <v>2417</v>
      </c>
      <c r="P978" s="133" t="s">
        <v>2417</v>
      </c>
      <c r="Q978" s="133" t="s">
        <v>2417</v>
      </c>
      <c r="R978" s="133" t="s">
        <v>2417</v>
      </c>
      <c r="S978" s="133" t="s">
        <v>2417</v>
      </c>
      <c r="T978" s="133" t="s">
        <v>2417</v>
      </c>
      <c r="U978" s="133" t="s">
        <v>2417</v>
      </c>
      <c r="V978" s="133" t="s">
        <v>2417</v>
      </c>
      <c r="W978" s="133" t="s">
        <v>2417</v>
      </c>
      <c r="X978" s="133" t="s">
        <v>2417</v>
      </c>
      <c r="Y978" s="133" t="s">
        <v>2417</v>
      </c>
      <c r="Z978" s="133" t="s">
        <v>2417</v>
      </c>
      <c r="AA978" s="133" t="s">
        <v>2417</v>
      </c>
      <c r="AB978" s="133" t="s">
        <v>2417</v>
      </c>
      <c r="AC978" s="133" t="s">
        <v>2417</v>
      </c>
      <c r="AD978" s="133" t="s">
        <v>2417</v>
      </c>
      <c r="AE978" s="181"/>
    </row>
    <row r="979" spans="1:31" ht="30.6" outlineLevel="3">
      <c r="A979" s="68" t="s">
        <v>2039</v>
      </c>
      <c r="B979" s="97" t="s">
        <v>2040</v>
      </c>
      <c r="C979" s="429" t="s">
        <v>2041</v>
      </c>
      <c r="D979" s="351"/>
      <c r="E979" s="133" t="s">
        <v>2880</v>
      </c>
      <c r="F979" s="133" t="s">
        <v>2417</v>
      </c>
      <c r="G979" s="133" t="s">
        <v>2417</v>
      </c>
      <c r="H979" s="133" t="s">
        <v>2417</v>
      </c>
      <c r="I979" s="133" t="s">
        <v>2417</v>
      </c>
      <c r="J979" s="133" t="s">
        <v>2417</v>
      </c>
      <c r="K979" s="133" t="s">
        <v>2417</v>
      </c>
      <c r="L979" s="133" t="s">
        <v>2417</v>
      </c>
      <c r="M979" s="133" t="s">
        <v>2417</v>
      </c>
      <c r="N979" s="133" t="s">
        <v>2417</v>
      </c>
      <c r="O979" s="133" t="s">
        <v>2417</v>
      </c>
      <c r="P979" s="133" t="s">
        <v>2417</v>
      </c>
      <c r="Q979" s="133" t="s">
        <v>2417</v>
      </c>
      <c r="R979" s="133" t="s">
        <v>2417</v>
      </c>
      <c r="S979" s="133" t="s">
        <v>2417</v>
      </c>
      <c r="T979" s="133" t="s">
        <v>2417</v>
      </c>
      <c r="U979" s="133" t="s">
        <v>2417</v>
      </c>
      <c r="V979" s="133" t="s">
        <v>2417</v>
      </c>
      <c r="W979" s="133" t="s">
        <v>2417</v>
      </c>
      <c r="X979" s="133" t="s">
        <v>2417</v>
      </c>
      <c r="Y979" s="133" t="s">
        <v>2417</v>
      </c>
      <c r="Z979" s="133" t="s">
        <v>2417</v>
      </c>
      <c r="AA979" s="133" t="s">
        <v>2417</v>
      </c>
      <c r="AB979" s="133" t="s">
        <v>2417</v>
      </c>
      <c r="AC979" s="133" t="s">
        <v>2417</v>
      </c>
      <c r="AD979" s="133" t="s">
        <v>2417</v>
      </c>
      <c r="AE979" s="181"/>
    </row>
    <row r="980" spans="1:31" ht="13.2" hidden="1" outlineLevel="2">
      <c r="A980" s="428" t="s">
        <v>2881</v>
      </c>
      <c r="B980" s="350"/>
      <c r="C980" s="350"/>
      <c r="D980" s="351"/>
      <c r="E980" s="133" t="s">
        <v>2565</v>
      </c>
      <c r="F980" s="133" t="s">
        <v>2417</v>
      </c>
      <c r="G980" s="133" t="s">
        <v>2417</v>
      </c>
      <c r="H980" s="133" t="s">
        <v>2417</v>
      </c>
      <c r="I980" s="134" t="s">
        <v>2418</v>
      </c>
      <c r="J980" s="133" t="s">
        <v>2417</v>
      </c>
      <c r="K980" s="133" t="s">
        <v>2417</v>
      </c>
      <c r="L980" s="133" t="s">
        <v>2417</v>
      </c>
      <c r="M980" s="133" t="s">
        <v>2417</v>
      </c>
      <c r="N980" s="133" t="s">
        <v>2417</v>
      </c>
      <c r="O980" s="133" t="s">
        <v>2417</v>
      </c>
      <c r="P980" s="133" t="s">
        <v>2417</v>
      </c>
      <c r="Q980" s="133" t="s">
        <v>2417</v>
      </c>
      <c r="R980" s="133" t="s">
        <v>2417</v>
      </c>
      <c r="S980" s="133" t="s">
        <v>2417</v>
      </c>
      <c r="T980" s="133" t="s">
        <v>2417</v>
      </c>
      <c r="U980" s="133" t="s">
        <v>2417</v>
      </c>
      <c r="V980" s="133" t="s">
        <v>2417</v>
      </c>
      <c r="W980" s="133" t="s">
        <v>2417</v>
      </c>
      <c r="X980" s="133" t="s">
        <v>2417</v>
      </c>
      <c r="Y980" s="133" t="s">
        <v>2417</v>
      </c>
      <c r="Z980" s="133" t="s">
        <v>2417</v>
      </c>
      <c r="AA980" s="133" t="s">
        <v>2417</v>
      </c>
      <c r="AB980" s="133" t="s">
        <v>2417</v>
      </c>
      <c r="AC980" s="133" t="s">
        <v>2417</v>
      </c>
      <c r="AD980" s="133" t="s">
        <v>2417</v>
      </c>
      <c r="AE980" s="192"/>
    </row>
    <row r="981" spans="1:31" ht="13.2" hidden="1" outlineLevel="3">
      <c r="A981" s="61" t="s">
        <v>2043</v>
      </c>
      <c r="B981" s="65"/>
      <c r="C981" s="360" t="s">
        <v>2882</v>
      </c>
      <c r="D981" s="351"/>
      <c r="E981" s="133" t="s">
        <v>2565</v>
      </c>
      <c r="F981" s="133" t="s">
        <v>2417</v>
      </c>
      <c r="G981" s="133" t="s">
        <v>2417</v>
      </c>
      <c r="H981" s="133" t="s">
        <v>2417</v>
      </c>
      <c r="I981" s="134" t="s">
        <v>2418</v>
      </c>
      <c r="J981" s="133" t="s">
        <v>2417</v>
      </c>
      <c r="K981" s="133" t="s">
        <v>2417</v>
      </c>
      <c r="L981" s="133" t="s">
        <v>2417</v>
      </c>
      <c r="M981" s="133" t="s">
        <v>2417</v>
      </c>
      <c r="N981" s="133" t="s">
        <v>2417</v>
      </c>
      <c r="O981" s="133" t="s">
        <v>2417</v>
      </c>
      <c r="P981" s="133" t="s">
        <v>2417</v>
      </c>
      <c r="Q981" s="133" t="s">
        <v>2417</v>
      </c>
      <c r="R981" s="133" t="s">
        <v>2417</v>
      </c>
      <c r="S981" s="133" t="s">
        <v>2417</v>
      </c>
      <c r="T981" s="133" t="s">
        <v>2417</v>
      </c>
      <c r="U981" s="133" t="s">
        <v>2417</v>
      </c>
      <c r="V981" s="133" t="s">
        <v>2417</v>
      </c>
      <c r="W981" s="133" t="s">
        <v>2417</v>
      </c>
      <c r="X981" s="133" t="s">
        <v>2417</v>
      </c>
      <c r="Y981" s="133" t="s">
        <v>2417</v>
      </c>
      <c r="Z981" s="133" t="s">
        <v>2417</v>
      </c>
      <c r="AA981" s="133" t="s">
        <v>2417</v>
      </c>
      <c r="AB981" s="133" t="s">
        <v>2417</v>
      </c>
      <c r="AC981" s="133" t="s">
        <v>2417</v>
      </c>
      <c r="AD981" s="133" t="s">
        <v>2417</v>
      </c>
      <c r="AE981" s="137"/>
    </row>
    <row r="982" spans="1:31" ht="13.2" outlineLevel="2">
      <c r="A982" s="428" t="s">
        <v>2042</v>
      </c>
      <c r="B982" s="350"/>
      <c r="C982" s="350"/>
      <c r="D982" s="351"/>
      <c r="E982" s="133" t="s">
        <v>2417</v>
      </c>
      <c r="F982" s="133" t="s">
        <v>2396</v>
      </c>
      <c r="G982" s="133" t="s">
        <v>2417</v>
      </c>
      <c r="H982" s="133" t="s">
        <v>2417</v>
      </c>
      <c r="I982" s="134" t="s">
        <v>2418</v>
      </c>
      <c r="J982" s="133" t="s">
        <v>2417</v>
      </c>
      <c r="K982" s="133" t="s">
        <v>2417</v>
      </c>
      <c r="L982" s="133" t="s">
        <v>2417</v>
      </c>
      <c r="M982" s="133" t="s">
        <v>2417</v>
      </c>
      <c r="N982" s="133" t="s">
        <v>2417</v>
      </c>
      <c r="O982" s="133" t="s">
        <v>2417</v>
      </c>
      <c r="P982" s="133" t="s">
        <v>2417</v>
      </c>
      <c r="Q982" s="133" t="s">
        <v>2417</v>
      </c>
      <c r="R982" s="133" t="s">
        <v>2417</v>
      </c>
      <c r="S982" s="133" t="s">
        <v>2417</v>
      </c>
      <c r="T982" s="133" t="s">
        <v>2417</v>
      </c>
      <c r="U982" s="133" t="s">
        <v>2417</v>
      </c>
      <c r="V982" s="133" t="s">
        <v>2417</v>
      </c>
      <c r="W982" s="133" t="s">
        <v>2417</v>
      </c>
      <c r="X982" s="133" t="s">
        <v>2417</v>
      </c>
      <c r="Y982" s="133" t="s">
        <v>2417</v>
      </c>
      <c r="Z982" s="133" t="s">
        <v>2417</v>
      </c>
      <c r="AA982" s="133" t="s">
        <v>2417</v>
      </c>
      <c r="AB982" s="133" t="s">
        <v>2417</v>
      </c>
      <c r="AC982" s="133" t="s">
        <v>2417</v>
      </c>
      <c r="AD982" s="133" t="s">
        <v>2417</v>
      </c>
      <c r="AE982" s="183"/>
    </row>
    <row r="983" spans="1:31" ht="13.2" outlineLevel="3">
      <c r="A983" s="68" t="s">
        <v>2043</v>
      </c>
      <c r="B983" s="65"/>
      <c r="C983" s="387" t="s">
        <v>2044</v>
      </c>
      <c r="D983" s="351"/>
      <c r="E983" s="133" t="s">
        <v>2417</v>
      </c>
      <c r="F983" s="133" t="s">
        <v>2396</v>
      </c>
      <c r="G983" s="133" t="s">
        <v>2417</v>
      </c>
      <c r="H983" s="133" t="s">
        <v>2417</v>
      </c>
      <c r="I983" s="134" t="s">
        <v>2418</v>
      </c>
      <c r="J983" s="133" t="s">
        <v>2417</v>
      </c>
      <c r="K983" s="133" t="s">
        <v>2417</v>
      </c>
      <c r="L983" s="133" t="s">
        <v>2417</v>
      </c>
      <c r="M983" s="133" t="s">
        <v>2417</v>
      </c>
      <c r="N983" s="133" t="s">
        <v>2417</v>
      </c>
      <c r="O983" s="133" t="s">
        <v>2417</v>
      </c>
      <c r="P983" s="133" t="s">
        <v>2417</v>
      </c>
      <c r="Q983" s="133" t="s">
        <v>2417</v>
      </c>
      <c r="R983" s="133" t="s">
        <v>2417</v>
      </c>
      <c r="S983" s="133" t="s">
        <v>2417</v>
      </c>
      <c r="T983" s="133" t="s">
        <v>2417</v>
      </c>
      <c r="U983" s="133" t="s">
        <v>2417</v>
      </c>
      <c r="V983" s="133" t="s">
        <v>2417</v>
      </c>
      <c r="W983" s="133" t="s">
        <v>2417</v>
      </c>
      <c r="X983" s="133" t="s">
        <v>2417</v>
      </c>
      <c r="Y983" s="133" t="s">
        <v>2417</v>
      </c>
      <c r="Z983" s="133" t="s">
        <v>2417</v>
      </c>
      <c r="AA983" s="133" t="s">
        <v>2417</v>
      </c>
      <c r="AB983" s="133" t="s">
        <v>2417</v>
      </c>
      <c r="AC983" s="133" t="s">
        <v>2417</v>
      </c>
      <c r="AD983" s="133" t="s">
        <v>2417</v>
      </c>
      <c r="AE983" s="59"/>
    </row>
    <row r="984" spans="1:31" ht="13.2" outlineLevel="3">
      <c r="A984" s="68" t="s">
        <v>2045</v>
      </c>
      <c r="B984" s="62" t="s">
        <v>2025</v>
      </c>
      <c r="C984" s="387" t="s">
        <v>2046</v>
      </c>
      <c r="D984" s="351"/>
      <c r="E984" s="133" t="s">
        <v>2417</v>
      </c>
      <c r="F984" s="133" t="s">
        <v>2396</v>
      </c>
      <c r="G984" s="133" t="s">
        <v>2417</v>
      </c>
      <c r="H984" s="133" t="s">
        <v>2417</v>
      </c>
      <c r="I984" s="133" t="s">
        <v>2417</v>
      </c>
      <c r="J984" s="133" t="s">
        <v>2417</v>
      </c>
      <c r="K984" s="133" t="s">
        <v>2417</v>
      </c>
      <c r="L984" s="133" t="s">
        <v>2417</v>
      </c>
      <c r="M984" s="133" t="s">
        <v>2417</v>
      </c>
      <c r="N984" s="133" t="s">
        <v>2417</v>
      </c>
      <c r="O984" s="133" t="s">
        <v>2417</v>
      </c>
      <c r="P984" s="133" t="s">
        <v>2417</v>
      </c>
      <c r="Q984" s="133" t="s">
        <v>2417</v>
      </c>
      <c r="R984" s="133" t="s">
        <v>2417</v>
      </c>
      <c r="S984" s="133" t="s">
        <v>2417</v>
      </c>
      <c r="T984" s="133" t="s">
        <v>2417</v>
      </c>
      <c r="U984" s="133" t="s">
        <v>2417</v>
      </c>
      <c r="V984" s="133" t="s">
        <v>2417</v>
      </c>
      <c r="W984" s="133" t="s">
        <v>2417</v>
      </c>
      <c r="X984" s="133" t="s">
        <v>2417</v>
      </c>
      <c r="Y984" s="133" t="s">
        <v>2417</v>
      </c>
      <c r="Z984" s="133" t="s">
        <v>2417</v>
      </c>
      <c r="AA984" s="133" t="s">
        <v>2417</v>
      </c>
      <c r="AB984" s="133" t="s">
        <v>2417</v>
      </c>
      <c r="AC984" s="133" t="s">
        <v>2417</v>
      </c>
      <c r="AD984" s="133" t="s">
        <v>2417</v>
      </c>
      <c r="AE984" s="57"/>
    </row>
    <row r="985" spans="1:31" ht="30.6" outlineLevel="3">
      <c r="A985" s="68" t="s">
        <v>2047</v>
      </c>
      <c r="B985" s="62" t="s">
        <v>2028</v>
      </c>
      <c r="C985" s="387" t="s">
        <v>2048</v>
      </c>
      <c r="D985" s="351"/>
      <c r="E985" s="133" t="s">
        <v>2417</v>
      </c>
      <c r="F985" s="133" t="s">
        <v>2396</v>
      </c>
      <c r="G985" s="133" t="s">
        <v>2417</v>
      </c>
      <c r="H985" s="133" t="s">
        <v>2417</v>
      </c>
      <c r="I985" s="133" t="s">
        <v>2417</v>
      </c>
      <c r="J985" s="133" t="s">
        <v>2417</v>
      </c>
      <c r="K985" s="133" t="s">
        <v>2417</v>
      </c>
      <c r="L985" s="133" t="s">
        <v>2417</v>
      </c>
      <c r="M985" s="133" t="s">
        <v>2417</v>
      </c>
      <c r="N985" s="133" t="s">
        <v>2417</v>
      </c>
      <c r="O985" s="133" t="s">
        <v>2417</v>
      </c>
      <c r="P985" s="133" t="s">
        <v>2417</v>
      </c>
      <c r="Q985" s="133" t="s">
        <v>2417</v>
      </c>
      <c r="R985" s="133" t="s">
        <v>2417</v>
      </c>
      <c r="S985" s="133" t="s">
        <v>2417</v>
      </c>
      <c r="T985" s="133" t="s">
        <v>2417</v>
      </c>
      <c r="U985" s="133" t="s">
        <v>2417</v>
      </c>
      <c r="V985" s="133" t="s">
        <v>2417</v>
      </c>
      <c r="W985" s="133" t="s">
        <v>2417</v>
      </c>
      <c r="X985" s="133" t="s">
        <v>2417</v>
      </c>
      <c r="Y985" s="133" t="s">
        <v>2417</v>
      </c>
      <c r="Z985" s="133" t="s">
        <v>2417</v>
      </c>
      <c r="AA985" s="133" t="s">
        <v>2417</v>
      </c>
      <c r="AB985" s="133" t="s">
        <v>2417</v>
      </c>
      <c r="AC985" s="133" t="s">
        <v>2417</v>
      </c>
      <c r="AD985" s="133" t="s">
        <v>2417</v>
      </c>
      <c r="AE985" s="57"/>
    </row>
    <row r="986" spans="1:31" ht="13.2">
      <c r="A986" s="430" t="s">
        <v>522</v>
      </c>
      <c r="B986" s="350"/>
      <c r="C986" s="350"/>
      <c r="D986" s="351"/>
      <c r="E986" s="133" t="s">
        <v>2417</v>
      </c>
      <c r="F986" s="133" t="s">
        <v>2417</v>
      </c>
      <c r="G986" s="133" t="s">
        <v>2417</v>
      </c>
      <c r="H986" s="133" t="s">
        <v>2417</v>
      </c>
      <c r="I986" s="134" t="s">
        <v>2418</v>
      </c>
      <c r="J986" s="133" t="s">
        <v>2417</v>
      </c>
      <c r="K986" s="133" t="s">
        <v>2417</v>
      </c>
      <c r="L986" s="133" t="s">
        <v>2417</v>
      </c>
      <c r="M986" s="133" t="s">
        <v>2417</v>
      </c>
      <c r="N986" s="133" t="s">
        <v>2417</v>
      </c>
      <c r="O986" s="133" t="s">
        <v>2417</v>
      </c>
      <c r="P986" s="133" t="s">
        <v>2417</v>
      </c>
      <c r="Q986" s="133" t="s">
        <v>2417</v>
      </c>
      <c r="R986" s="133" t="s">
        <v>2417</v>
      </c>
      <c r="S986" s="133" t="s">
        <v>2417</v>
      </c>
      <c r="T986" s="133" t="s">
        <v>2417</v>
      </c>
      <c r="U986" s="133" t="s">
        <v>2417</v>
      </c>
      <c r="V986" s="133" t="s">
        <v>2417</v>
      </c>
      <c r="W986" s="133" t="s">
        <v>2417</v>
      </c>
      <c r="X986" s="133" t="s">
        <v>2417</v>
      </c>
      <c r="Y986" s="133" t="s">
        <v>2417</v>
      </c>
      <c r="Z986" s="133" t="s">
        <v>2417</v>
      </c>
      <c r="AA986" s="133" t="s">
        <v>2417</v>
      </c>
      <c r="AB986" s="133" t="s">
        <v>2417</v>
      </c>
      <c r="AC986" s="133" t="s">
        <v>2417</v>
      </c>
      <c r="AD986" s="133" t="s">
        <v>2417</v>
      </c>
      <c r="AE986" s="138"/>
    </row>
    <row r="987" spans="1:31" ht="13.2" outlineLevel="1">
      <c r="A987" s="386" t="s">
        <v>2049</v>
      </c>
      <c r="B987" s="350"/>
      <c r="C987" s="350"/>
      <c r="D987" s="351"/>
      <c r="E987" s="133" t="s">
        <v>2417</v>
      </c>
      <c r="F987" s="133" t="s">
        <v>2417</v>
      </c>
      <c r="G987" s="133" t="s">
        <v>2417</v>
      </c>
      <c r="H987" s="133" t="s">
        <v>2417</v>
      </c>
      <c r="I987" s="134" t="s">
        <v>2418</v>
      </c>
      <c r="J987" s="133" t="s">
        <v>2417</v>
      </c>
      <c r="K987" s="133" t="s">
        <v>2417</v>
      </c>
      <c r="L987" s="133" t="s">
        <v>2417</v>
      </c>
      <c r="M987" s="133" t="s">
        <v>2417</v>
      </c>
      <c r="N987" s="133" t="s">
        <v>2417</v>
      </c>
      <c r="O987" s="133" t="s">
        <v>2417</v>
      </c>
      <c r="P987" s="133" t="s">
        <v>2417</v>
      </c>
      <c r="Q987" s="133" t="s">
        <v>2417</v>
      </c>
      <c r="R987" s="133" t="s">
        <v>2417</v>
      </c>
      <c r="S987" s="133" t="s">
        <v>2417</v>
      </c>
      <c r="T987" s="133" t="s">
        <v>2417</v>
      </c>
      <c r="U987" s="133" t="s">
        <v>2417</v>
      </c>
      <c r="V987" s="133" t="s">
        <v>2417</v>
      </c>
      <c r="W987" s="133" t="s">
        <v>2417</v>
      </c>
      <c r="X987" s="133" t="s">
        <v>2417</v>
      </c>
      <c r="Y987" s="133" t="s">
        <v>2417</v>
      </c>
      <c r="Z987" s="133" t="s">
        <v>2417</v>
      </c>
      <c r="AA987" s="133" t="s">
        <v>2417</v>
      </c>
      <c r="AB987" s="133" t="s">
        <v>2417</v>
      </c>
      <c r="AC987" s="133" t="s">
        <v>2417</v>
      </c>
      <c r="AD987" s="133" t="s">
        <v>2417</v>
      </c>
      <c r="AE987" s="139"/>
    </row>
    <row r="988" spans="1:31" ht="13.2" outlineLevel="2">
      <c r="A988" s="68" t="s">
        <v>2050</v>
      </c>
      <c r="B988" s="65" t="s">
        <v>2051</v>
      </c>
      <c r="C988" s="360" t="s">
        <v>2052</v>
      </c>
      <c r="D988" s="351"/>
      <c r="E988" s="133" t="s">
        <v>2417</v>
      </c>
      <c r="F988" s="133" t="s">
        <v>2417</v>
      </c>
      <c r="G988" s="133" t="s">
        <v>2417</v>
      </c>
      <c r="H988" s="133" t="s">
        <v>2417</v>
      </c>
      <c r="I988" s="133" t="s">
        <v>2417</v>
      </c>
      <c r="J988" s="133" t="s">
        <v>2417</v>
      </c>
      <c r="K988" s="133" t="s">
        <v>2417</v>
      </c>
      <c r="L988" s="133" t="s">
        <v>2417</v>
      </c>
      <c r="M988" s="133" t="s">
        <v>2417</v>
      </c>
      <c r="N988" s="133" t="s">
        <v>2417</v>
      </c>
      <c r="O988" s="133" t="s">
        <v>2417</v>
      </c>
      <c r="P988" s="133" t="s">
        <v>2417</v>
      </c>
      <c r="Q988" s="133" t="s">
        <v>2417</v>
      </c>
      <c r="R988" s="133" t="s">
        <v>2417</v>
      </c>
      <c r="S988" s="133" t="s">
        <v>2417</v>
      </c>
      <c r="T988" s="133" t="s">
        <v>2417</v>
      </c>
      <c r="U988" s="133" t="s">
        <v>2417</v>
      </c>
      <c r="V988" s="133" t="s">
        <v>2417</v>
      </c>
      <c r="W988" s="133" t="s">
        <v>2417</v>
      </c>
      <c r="X988" s="133" t="s">
        <v>2417</v>
      </c>
      <c r="Y988" s="133" t="s">
        <v>2417</v>
      </c>
      <c r="Z988" s="133" t="s">
        <v>2417</v>
      </c>
      <c r="AA988" s="133" t="s">
        <v>2417</v>
      </c>
      <c r="AB988" s="133" t="s">
        <v>2417</v>
      </c>
      <c r="AC988" s="133" t="s">
        <v>2417</v>
      </c>
      <c r="AD988" s="133" t="s">
        <v>2417</v>
      </c>
      <c r="AE988" s="123"/>
    </row>
    <row r="989" spans="1:31" ht="13.2" outlineLevel="2">
      <c r="A989" s="68" t="s">
        <v>2053</v>
      </c>
      <c r="B989" s="65" t="s">
        <v>2054</v>
      </c>
      <c r="C989" s="360" t="s">
        <v>2883</v>
      </c>
      <c r="D989" s="351"/>
      <c r="E989" s="133" t="s">
        <v>2417</v>
      </c>
      <c r="F989" s="133" t="s">
        <v>2417</v>
      </c>
      <c r="G989" s="133" t="s">
        <v>2417</v>
      </c>
      <c r="H989" s="133" t="s">
        <v>2417</v>
      </c>
      <c r="I989" s="133" t="s">
        <v>2417</v>
      </c>
      <c r="J989" s="133" t="s">
        <v>2417</v>
      </c>
      <c r="K989" s="133" t="s">
        <v>2417</v>
      </c>
      <c r="L989" s="133" t="s">
        <v>2417</v>
      </c>
      <c r="M989" s="133" t="s">
        <v>2797</v>
      </c>
      <c r="N989" s="133" t="s">
        <v>2417</v>
      </c>
      <c r="O989" s="133" t="s">
        <v>2417</v>
      </c>
      <c r="P989" s="133" t="s">
        <v>2417</v>
      </c>
      <c r="Q989" s="133" t="s">
        <v>2417</v>
      </c>
      <c r="R989" s="133" t="s">
        <v>2417</v>
      </c>
      <c r="S989" s="133" t="s">
        <v>2417</v>
      </c>
      <c r="T989" s="133" t="s">
        <v>2417</v>
      </c>
      <c r="U989" s="133" t="s">
        <v>2417</v>
      </c>
      <c r="V989" s="133" t="s">
        <v>2417</v>
      </c>
      <c r="W989" s="133" t="s">
        <v>2417</v>
      </c>
      <c r="X989" s="133" t="s">
        <v>2417</v>
      </c>
      <c r="Y989" s="133" t="s">
        <v>2417</v>
      </c>
      <c r="Z989" s="133" t="s">
        <v>2417</v>
      </c>
      <c r="AA989" s="133" t="s">
        <v>2417</v>
      </c>
      <c r="AB989" s="133" t="s">
        <v>2417</v>
      </c>
      <c r="AC989" s="133" t="s">
        <v>2417</v>
      </c>
      <c r="AD989" s="133" t="s">
        <v>2417</v>
      </c>
      <c r="AE989" s="123"/>
    </row>
    <row r="990" spans="1:31" ht="13.2" hidden="1" outlineLevel="2">
      <c r="A990" s="68" t="s">
        <v>2884</v>
      </c>
      <c r="B990" s="103"/>
      <c r="C990" s="429" t="s">
        <v>2885</v>
      </c>
      <c r="D990" s="351"/>
      <c r="E990" s="132" t="s">
        <v>2417</v>
      </c>
      <c r="F990" s="132" t="s">
        <v>2417</v>
      </c>
      <c r="G990" s="132" t="s">
        <v>2417</v>
      </c>
      <c r="H990" s="132" t="s">
        <v>2417</v>
      </c>
      <c r="I990" s="132" t="s">
        <v>2417</v>
      </c>
      <c r="J990" s="132" t="s">
        <v>2417</v>
      </c>
      <c r="K990" s="132" t="s">
        <v>2417</v>
      </c>
      <c r="L990" s="132" t="s">
        <v>2417</v>
      </c>
      <c r="M990" s="132" t="s">
        <v>2417</v>
      </c>
      <c r="N990" s="132" t="s">
        <v>2417</v>
      </c>
      <c r="O990" s="132" t="s">
        <v>2417</v>
      </c>
      <c r="P990" s="132" t="s">
        <v>2417</v>
      </c>
      <c r="Q990" s="132" t="s">
        <v>2417</v>
      </c>
      <c r="R990" s="132" t="s">
        <v>2417</v>
      </c>
      <c r="S990" s="132" t="s">
        <v>2417</v>
      </c>
      <c r="T990" s="132" t="s">
        <v>2417</v>
      </c>
      <c r="U990" s="132" t="s">
        <v>2417</v>
      </c>
      <c r="V990" s="132" t="s">
        <v>2417</v>
      </c>
      <c r="W990" s="132" t="s">
        <v>2417</v>
      </c>
      <c r="X990" s="132" t="s">
        <v>2417</v>
      </c>
      <c r="Y990" s="132" t="s">
        <v>2417</v>
      </c>
      <c r="Z990" s="132" t="s">
        <v>2417</v>
      </c>
      <c r="AA990" s="132" t="s">
        <v>2417</v>
      </c>
      <c r="AB990" s="132" t="s">
        <v>2417</v>
      </c>
      <c r="AC990" s="132" t="s">
        <v>2417</v>
      </c>
      <c r="AD990" s="133" t="s">
        <v>2441</v>
      </c>
      <c r="AE990" s="183"/>
    </row>
    <row r="991" spans="1:31" ht="13.2" outlineLevel="2">
      <c r="A991" s="428" t="s">
        <v>2056</v>
      </c>
      <c r="B991" s="350"/>
      <c r="C991" s="350"/>
      <c r="D991" s="351"/>
      <c r="E991" s="133" t="s">
        <v>2821</v>
      </c>
      <c r="F991" s="133" t="s">
        <v>2421</v>
      </c>
      <c r="G991" s="133" t="s">
        <v>2417</v>
      </c>
      <c r="H991" s="133" t="s">
        <v>2417</v>
      </c>
      <c r="I991" s="134" t="s">
        <v>2418</v>
      </c>
      <c r="J991" s="133" t="s">
        <v>2417</v>
      </c>
      <c r="K991" s="133" t="s">
        <v>2417</v>
      </c>
      <c r="L991" s="133" t="s">
        <v>2417</v>
      </c>
      <c r="M991" s="133" t="s">
        <v>2417</v>
      </c>
      <c r="N991" s="133" t="s">
        <v>2417</v>
      </c>
      <c r="O991" s="133" t="s">
        <v>2417</v>
      </c>
      <c r="P991" s="133" t="s">
        <v>2417</v>
      </c>
      <c r="Q991" s="133" t="s">
        <v>2417</v>
      </c>
      <c r="R991" s="133" t="s">
        <v>2417</v>
      </c>
      <c r="S991" s="133" t="s">
        <v>2417</v>
      </c>
      <c r="T991" s="133" t="s">
        <v>2417</v>
      </c>
      <c r="U991" s="133" t="s">
        <v>2417</v>
      </c>
      <c r="V991" s="133" t="s">
        <v>2417</v>
      </c>
      <c r="W991" s="133" t="s">
        <v>2417</v>
      </c>
      <c r="X991" s="133" t="s">
        <v>2417</v>
      </c>
      <c r="Y991" s="133" t="s">
        <v>2417</v>
      </c>
      <c r="Z991" s="133" t="s">
        <v>2417</v>
      </c>
      <c r="AA991" s="133" t="s">
        <v>2417</v>
      </c>
      <c r="AB991" s="133" t="s">
        <v>2417</v>
      </c>
      <c r="AC991" s="133" t="s">
        <v>2417</v>
      </c>
      <c r="AD991" s="133" t="s">
        <v>2417</v>
      </c>
      <c r="AE991" s="183"/>
    </row>
    <row r="992" spans="1:31" ht="13.2" outlineLevel="3">
      <c r="A992" s="68" t="s">
        <v>2057</v>
      </c>
      <c r="B992" s="64"/>
      <c r="C992" s="360" t="s">
        <v>2886</v>
      </c>
      <c r="D992" s="351"/>
      <c r="E992" s="133" t="s">
        <v>2821</v>
      </c>
      <c r="F992" s="133" t="s">
        <v>2421</v>
      </c>
      <c r="G992" s="133" t="s">
        <v>2417</v>
      </c>
      <c r="H992" s="133" t="s">
        <v>2417</v>
      </c>
      <c r="I992" s="134" t="s">
        <v>2418</v>
      </c>
      <c r="J992" s="133" t="s">
        <v>2417</v>
      </c>
      <c r="K992" s="133" t="s">
        <v>2417</v>
      </c>
      <c r="L992" s="133" t="s">
        <v>2417</v>
      </c>
      <c r="M992" s="133" t="s">
        <v>2417</v>
      </c>
      <c r="N992" s="133" t="s">
        <v>2417</v>
      </c>
      <c r="O992" s="133" t="s">
        <v>2417</v>
      </c>
      <c r="P992" s="133" t="s">
        <v>2417</v>
      </c>
      <c r="Q992" s="133" t="s">
        <v>2417</v>
      </c>
      <c r="R992" s="133" t="s">
        <v>2417</v>
      </c>
      <c r="S992" s="133" t="s">
        <v>2417</v>
      </c>
      <c r="T992" s="133" t="s">
        <v>2417</v>
      </c>
      <c r="U992" s="133" t="s">
        <v>2417</v>
      </c>
      <c r="V992" s="133" t="s">
        <v>2417</v>
      </c>
      <c r="W992" s="133" t="s">
        <v>2417</v>
      </c>
      <c r="X992" s="133" t="s">
        <v>2417</v>
      </c>
      <c r="Y992" s="133" t="s">
        <v>2417</v>
      </c>
      <c r="Z992" s="133" t="s">
        <v>2417</v>
      </c>
      <c r="AA992" s="133" t="s">
        <v>2417</v>
      </c>
      <c r="AB992" s="133" t="s">
        <v>2417</v>
      </c>
      <c r="AC992" s="133" t="s">
        <v>2417</v>
      </c>
      <c r="AD992" s="133" t="s">
        <v>2417</v>
      </c>
      <c r="AE992" s="123"/>
    </row>
    <row r="993" spans="1:31" ht="13.2" outlineLevel="3">
      <c r="A993" s="68" t="s">
        <v>2059</v>
      </c>
      <c r="B993" s="97" t="s">
        <v>2060</v>
      </c>
      <c r="C993" s="429" t="s">
        <v>2061</v>
      </c>
      <c r="D993" s="351"/>
      <c r="E993" s="133" t="s">
        <v>2821</v>
      </c>
      <c r="F993" s="133" t="s">
        <v>2421</v>
      </c>
      <c r="G993" s="133" t="s">
        <v>2417</v>
      </c>
      <c r="H993" s="133" t="s">
        <v>2417</v>
      </c>
      <c r="I993" s="133" t="s">
        <v>2417</v>
      </c>
      <c r="J993" s="133" t="s">
        <v>2417</v>
      </c>
      <c r="K993" s="133" t="s">
        <v>2417</v>
      </c>
      <c r="L993" s="133" t="s">
        <v>2417</v>
      </c>
      <c r="M993" s="133" t="s">
        <v>2417</v>
      </c>
      <c r="N993" s="133" t="s">
        <v>2417</v>
      </c>
      <c r="O993" s="133" t="s">
        <v>2417</v>
      </c>
      <c r="P993" s="133" t="s">
        <v>2417</v>
      </c>
      <c r="Q993" s="133" t="s">
        <v>2417</v>
      </c>
      <c r="R993" s="133" t="s">
        <v>2417</v>
      </c>
      <c r="S993" s="133" t="s">
        <v>2417</v>
      </c>
      <c r="T993" s="133" t="s">
        <v>2417</v>
      </c>
      <c r="U993" s="133" t="s">
        <v>2417</v>
      </c>
      <c r="V993" s="133" t="s">
        <v>2417</v>
      </c>
      <c r="W993" s="133" t="s">
        <v>2417</v>
      </c>
      <c r="X993" s="133" t="s">
        <v>2417</v>
      </c>
      <c r="Y993" s="133" t="s">
        <v>2417</v>
      </c>
      <c r="Z993" s="133" t="s">
        <v>2417</v>
      </c>
      <c r="AA993" s="133" t="s">
        <v>2417</v>
      </c>
      <c r="AB993" s="133" t="s">
        <v>2417</v>
      </c>
      <c r="AC993" s="133" t="s">
        <v>2417</v>
      </c>
      <c r="AD993" s="133" t="s">
        <v>2417</v>
      </c>
      <c r="AE993" s="181"/>
    </row>
    <row r="994" spans="1:31" ht="13.2" outlineLevel="3">
      <c r="A994" s="68" t="s">
        <v>2062</v>
      </c>
      <c r="B994" s="97" t="s">
        <v>2063</v>
      </c>
      <c r="C994" s="427" t="s">
        <v>2887</v>
      </c>
      <c r="D994" s="351"/>
      <c r="E994" s="133" t="s">
        <v>2821</v>
      </c>
      <c r="F994" s="133" t="s">
        <v>2421</v>
      </c>
      <c r="G994" s="133" t="s">
        <v>2417</v>
      </c>
      <c r="H994" s="133" t="s">
        <v>2417</v>
      </c>
      <c r="I994" s="133" t="s">
        <v>2417</v>
      </c>
      <c r="J994" s="133" t="s">
        <v>2417</v>
      </c>
      <c r="K994" s="133" t="s">
        <v>2417</v>
      </c>
      <c r="L994" s="133" t="s">
        <v>2417</v>
      </c>
      <c r="M994" s="133" t="s">
        <v>2417</v>
      </c>
      <c r="N994" s="133" t="s">
        <v>2417</v>
      </c>
      <c r="O994" s="133" t="s">
        <v>2417</v>
      </c>
      <c r="P994" s="133" t="s">
        <v>2417</v>
      </c>
      <c r="Q994" s="133" t="s">
        <v>2417</v>
      </c>
      <c r="R994" s="133" t="s">
        <v>2417</v>
      </c>
      <c r="S994" s="133" t="s">
        <v>2417</v>
      </c>
      <c r="T994" s="133" t="s">
        <v>2417</v>
      </c>
      <c r="U994" s="133" t="s">
        <v>2417</v>
      </c>
      <c r="V994" s="133" t="s">
        <v>2417</v>
      </c>
      <c r="W994" s="133" t="s">
        <v>2417</v>
      </c>
      <c r="X994" s="133" t="s">
        <v>2417</v>
      </c>
      <c r="Y994" s="133" t="s">
        <v>2417</v>
      </c>
      <c r="Z994" s="133" t="s">
        <v>2417</v>
      </c>
      <c r="AA994" s="133" t="s">
        <v>2417</v>
      </c>
      <c r="AB994" s="133" t="s">
        <v>2417</v>
      </c>
      <c r="AC994" s="133" t="s">
        <v>2417</v>
      </c>
      <c r="AD994" s="133" t="s">
        <v>2417</v>
      </c>
      <c r="AE994" s="180"/>
    </row>
    <row r="995" spans="1:31" ht="20.399999999999999" outlineLevel="3">
      <c r="A995" s="68" t="s">
        <v>2065</v>
      </c>
      <c r="B995" s="101" t="s">
        <v>2066</v>
      </c>
      <c r="C995" s="427" t="s">
        <v>2888</v>
      </c>
      <c r="D995" s="351"/>
      <c r="E995" s="133" t="s">
        <v>2821</v>
      </c>
      <c r="F995" s="133" t="s">
        <v>2421</v>
      </c>
      <c r="G995" s="133" t="s">
        <v>2417</v>
      </c>
      <c r="H995" s="133" t="s">
        <v>2417</v>
      </c>
      <c r="I995" s="133" t="s">
        <v>2417</v>
      </c>
      <c r="J995" s="133" t="s">
        <v>2417</v>
      </c>
      <c r="K995" s="133" t="s">
        <v>2417</v>
      </c>
      <c r="L995" s="133" t="s">
        <v>2417</v>
      </c>
      <c r="M995" s="133" t="s">
        <v>2417</v>
      </c>
      <c r="N995" s="133" t="s">
        <v>2417</v>
      </c>
      <c r="O995" s="133" t="s">
        <v>2417</v>
      </c>
      <c r="P995" s="133" t="s">
        <v>2417</v>
      </c>
      <c r="Q995" s="133" t="s">
        <v>2417</v>
      </c>
      <c r="R995" s="133" t="s">
        <v>2417</v>
      </c>
      <c r="S995" s="133" t="s">
        <v>2417</v>
      </c>
      <c r="T995" s="133" t="s">
        <v>2417</v>
      </c>
      <c r="U995" s="133" t="s">
        <v>2417</v>
      </c>
      <c r="V995" s="133" t="s">
        <v>2417</v>
      </c>
      <c r="W995" s="133" t="s">
        <v>2417</v>
      </c>
      <c r="X995" s="133" t="s">
        <v>2417</v>
      </c>
      <c r="Y995" s="133" t="s">
        <v>2417</v>
      </c>
      <c r="Z995" s="133" t="s">
        <v>2417</v>
      </c>
      <c r="AA995" s="133" t="s">
        <v>2417</v>
      </c>
      <c r="AB995" s="133" t="s">
        <v>2417</v>
      </c>
      <c r="AC995" s="133" t="s">
        <v>2417</v>
      </c>
      <c r="AD995" s="133" t="s">
        <v>2417</v>
      </c>
      <c r="AE995" s="180"/>
    </row>
    <row r="996" spans="1:31" ht="13.2" outlineLevel="3">
      <c r="A996" s="68" t="s">
        <v>2068</v>
      </c>
      <c r="B996" s="97" t="s">
        <v>2069</v>
      </c>
      <c r="C996" s="429" t="s">
        <v>2070</v>
      </c>
      <c r="D996" s="351"/>
      <c r="E996" s="133" t="s">
        <v>2821</v>
      </c>
      <c r="F996" s="133" t="s">
        <v>2421</v>
      </c>
      <c r="G996" s="133" t="s">
        <v>2417</v>
      </c>
      <c r="H996" s="133" t="s">
        <v>2417</v>
      </c>
      <c r="I996" s="133" t="s">
        <v>2417</v>
      </c>
      <c r="J996" s="133" t="s">
        <v>2417</v>
      </c>
      <c r="K996" s="133" t="s">
        <v>2417</v>
      </c>
      <c r="L996" s="133" t="s">
        <v>2417</v>
      </c>
      <c r="M996" s="133" t="s">
        <v>2417</v>
      </c>
      <c r="N996" s="133" t="s">
        <v>2417</v>
      </c>
      <c r="O996" s="133" t="s">
        <v>2417</v>
      </c>
      <c r="P996" s="133" t="s">
        <v>2417</v>
      </c>
      <c r="Q996" s="133" t="s">
        <v>2417</v>
      </c>
      <c r="R996" s="133" t="s">
        <v>2417</v>
      </c>
      <c r="S996" s="133" t="s">
        <v>2417</v>
      </c>
      <c r="T996" s="133" t="s">
        <v>2417</v>
      </c>
      <c r="U996" s="133" t="s">
        <v>2417</v>
      </c>
      <c r="V996" s="133" t="s">
        <v>2417</v>
      </c>
      <c r="W996" s="133" t="s">
        <v>2417</v>
      </c>
      <c r="X996" s="133" t="s">
        <v>2417</v>
      </c>
      <c r="Y996" s="133" t="s">
        <v>2417</v>
      </c>
      <c r="Z996" s="133" t="s">
        <v>2417</v>
      </c>
      <c r="AA996" s="133" t="s">
        <v>2417</v>
      </c>
      <c r="AB996" s="133" t="s">
        <v>2417</v>
      </c>
      <c r="AC996" s="133" t="s">
        <v>2417</v>
      </c>
      <c r="AD996" s="133" t="s">
        <v>2417</v>
      </c>
      <c r="AE996" s="181"/>
    </row>
    <row r="997" spans="1:31" ht="13.2" outlineLevel="3">
      <c r="A997" s="68" t="s">
        <v>2071</v>
      </c>
      <c r="B997" s="97" t="s">
        <v>2072</v>
      </c>
      <c r="C997" s="427" t="s">
        <v>2889</v>
      </c>
      <c r="D997" s="351"/>
      <c r="E997" s="133" t="s">
        <v>2821</v>
      </c>
      <c r="F997" s="133" t="s">
        <v>2421</v>
      </c>
      <c r="G997" s="133" t="s">
        <v>2417</v>
      </c>
      <c r="H997" s="133" t="s">
        <v>2417</v>
      </c>
      <c r="I997" s="133" t="s">
        <v>2417</v>
      </c>
      <c r="J997" s="133" t="s">
        <v>2417</v>
      </c>
      <c r="K997" s="133" t="s">
        <v>2417</v>
      </c>
      <c r="L997" s="133" t="s">
        <v>2417</v>
      </c>
      <c r="M997" s="133" t="s">
        <v>2417</v>
      </c>
      <c r="N997" s="133" t="s">
        <v>2417</v>
      </c>
      <c r="O997" s="133" t="s">
        <v>2417</v>
      </c>
      <c r="P997" s="133" t="s">
        <v>2417</v>
      </c>
      <c r="Q997" s="133" t="s">
        <v>2417</v>
      </c>
      <c r="R997" s="133" t="s">
        <v>2417</v>
      </c>
      <c r="S997" s="133" t="s">
        <v>2417</v>
      </c>
      <c r="T997" s="133" t="s">
        <v>2417</v>
      </c>
      <c r="U997" s="133" t="s">
        <v>2417</v>
      </c>
      <c r="V997" s="133" t="s">
        <v>2417</v>
      </c>
      <c r="W997" s="133" t="s">
        <v>2417</v>
      </c>
      <c r="X997" s="133" t="s">
        <v>2417</v>
      </c>
      <c r="Y997" s="133" t="s">
        <v>2417</v>
      </c>
      <c r="Z997" s="133" t="s">
        <v>2417</v>
      </c>
      <c r="AA997" s="133" t="s">
        <v>2417</v>
      </c>
      <c r="AB997" s="133" t="s">
        <v>2417</v>
      </c>
      <c r="AC997" s="133" t="s">
        <v>2417</v>
      </c>
      <c r="AD997" s="133" t="s">
        <v>2417</v>
      </c>
      <c r="AE997" s="180"/>
    </row>
    <row r="998" spans="1:31" ht="20.399999999999999" outlineLevel="3">
      <c r="A998" s="68" t="s">
        <v>2074</v>
      </c>
      <c r="B998" s="97" t="s">
        <v>2075</v>
      </c>
      <c r="C998" s="427" t="s">
        <v>2076</v>
      </c>
      <c r="D998" s="351"/>
      <c r="E998" s="133" t="s">
        <v>2823</v>
      </c>
      <c r="F998" s="133" t="s">
        <v>2421</v>
      </c>
      <c r="G998" s="133" t="s">
        <v>2417</v>
      </c>
      <c r="H998" s="133" t="s">
        <v>2417</v>
      </c>
      <c r="I998" s="133" t="s">
        <v>2417</v>
      </c>
      <c r="J998" s="133" t="s">
        <v>2417</v>
      </c>
      <c r="K998" s="133" t="s">
        <v>2417</v>
      </c>
      <c r="L998" s="133" t="s">
        <v>2417</v>
      </c>
      <c r="M998" s="133" t="s">
        <v>2417</v>
      </c>
      <c r="N998" s="133" t="s">
        <v>2417</v>
      </c>
      <c r="O998" s="133" t="s">
        <v>2417</v>
      </c>
      <c r="P998" s="133" t="s">
        <v>2417</v>
      </c>
      <c r="Q998" s="133" t="s">
        <v>2417</v>
      </c>
      <c r="R998" s="133" t="s">
        <v>2417</v>
      </c>
      <c r="S998" s="133" t="s">
        <v>2417</v>
      </c>
      <c r="T998" s="133" t="s">
        <v>2417</v>
      </c>
      <c r="U998" s="133" t="s">
        <v>2417</v>
      </c>
      <c r="V998" s="133" t="s">
        <v>2417</v>
      </c>
      <c r="W998" s="133" t="s">
        <v>2417</v>
      </c>
      <c r="X998" s="133" t="s">
        <v>2417</v>
      </c>
      <c r="Y998" s="133" t="s">
        <v>2417</v>
      </c>
      <c r="Z998" s="133" t="s">
        <v>2417</v>
      </c>
      <c r="AA998" s="133" t="s">
        <v>2417</v>
      </c>
      <c r="AB998" s="133" t="s">
        <v>2417</v>
      </c>
      <c r="AC998" s="133" t="s">
        <v>2417</v>
      </c>
      <c r="AD998" s="133" t="s">
        <v>2417</v>
      </c>
      <c r="AE998" s="180"/>
    </row>
    <row r="999" spans="1:31" ht="20.399999999999999" outlineLevel="3">
      <c r="A999" s="68" t="s">
        <v>2077</v>
      </c>
      <c r="B999" s="97" t="s">
        <v>2078</v>
      </c>
      <c r="C999" s="427" t="s">
        <v>2890</v>
      </c>
      <c r="D999" s="351"/>
      <c r="E999" s="133" t="s">
        <v>2824</v>
      </c>
      <c r="F999" s="133" t="s">
        <v>2421</v>
      </c>
      <c r="G999" s="133" t="s">
        <v>2417</v>
      </c>
      <c r="H999" s="133" t="s">
        <v>2417</v>
      </c>
      <c r="I999" s="133" t="s">
        <v>2417</v>
      </c>
      <c r="J999" s="133" t="s">
        <v>2417</v>
      </c>
      <c r="K999" s="133" t="s">
        <v>2417</v>
      </c>
      <c r="L999" s="133" t="s">
        <v>2417</v>
      </c>
      <c r="M999" s="133" t="s">
        <v>2417</v>
      </c>
      <c r="N999" s="133" t="s">
        <v>2417</v>
      </c>
      <c r="O999" s="133" t="s">
        <v>2417</v>
      </c>
      <c r="P999" s="133" t="s">
        <v>2417</v>
      </c>
      <c r="Q999" s="133" t="s">
        <v>2417</v>
      </c>
      <c r="R999" s="133" t="s">
        <v>2417</v>
      </c>
      <c r="S999" s="133" t="s">
        <v>2417</v>
      </c>
      <c r="T999" s="133" t="s">
        <v>2417</v>
      </c>
      <c r="U999" s="133" t="s">
        <v>2417</v>
      </c>
      <c r="V999" s="133" t="s">
        <v>2417</v>
      </c>
      <c r="W999" s="133" t="s">
        <v>2417</v>
      </c>
      <c r="X999" s="133" t="s">
        <v>2417</v>
      </c>
      <c r="Y999" s="133" t="s">
        <v>2417</v>
      </c>
      <c r="Z999" s="133" t="s">
        <v>2417</v>
      </c>
      <c r="AA999" s="133" t="s">
        <v>2417</v>
      </c>
      <c r="AB999" s="133" t="s">
        <v>2417</v>
      </c>
      <c r="AC999" s="133" t="s">
        <v>2417</v>
      </c>
      <c r="AD999" s="133" t="s">
        <v>2417</v>
      </c>
      <c r="AE999" s="180"/>
    </row>
    <row r="1000" spans="1:31" ht="20.399999999999999" outlineLevel="3">
      <c r="A1000" s="68" t="s">
        <v>2080</v>
      </c>
      <c r="B1000" s="97" t="s">
        <v>2081</v>
      </c>
      <c r="C1000" s="427" t="s">
        <v>2891</v>
      </c>
      <c r="D1000" s="351"/>
      <c r="E1000" s="133" t="s">
        <v>2821</v>
      </c>
      <c r="F1000" s="133" t="s">
        <v>2421</v>
      </c>
      <c r="G1000" s="133" t="s">
        <v>2417</v>
      </c>
      <c r="H1000" s="133" t="s">
        <v>2417</v>
      </c>
      <c r="I1000" s="133" t="s">
        <v>2417</v>
      </c>
      <c r="J1000" s="133" t="s">
        <v>2417</v>
      </c>
      <c r="K1000" s="133" t="s">
        <v>2417</v>
      </c>
      <c r="L1000" s="133" t="s">
        <v>2417</v>
      </c>
      <c r="M1000" s="133" t="s">
        <v>2417</v>
      </c>
      <c r="N1000" s="133" t="s">
        <v>2417</v>
      </c>
      <c r="O1000" s="133" t="s">
        <v>2417</v>
      </c>
      <c r="P1000" s="133" t="s">
        <v>2417</v>
      </c>
      <c r="Q1000" s="133" t="s">
        <v>2417</v>
      </c>
      <c r="R1000" s="133" t="s">
        <v>2417</v>
      </c>
      <c r="S1000" s="133" t="s">
        <v>2417</v>
      </c>
      <c r="T1000" s="133" t="s">
        <v>2417</v>
      </c>
      <c r="U1000" s="133" t="s">
        <v>2417</v>
      </c>
      <c r="V1000" s="133" t="s">
        <v>2417</v>
      </c>
      <c r="W1000" s="133" t="s">
        <v>2417</v>
      </c>
      <c r="X1000" s="133" t="s">
        <v>2417</v>
      </c>
      <c r="Y1000" s="133" t="s">
        <v>2417</v>
      </c>
      <c r="Z1000" s="133" t="s">
        <v>2417</v>
      </c>
      <c r="AA1000" s="133" t="s">
        <v>2417</v>
      </c>
      <c r="AB1000" s="133" t="s">
        <v>2417</v>
      </c>
      <c r="AC1000" s="133" t="s">
        <v>2417</v>
      </c>
      <c r="AD1000" s="133" t="s">
        <v>2417</v>
      </c>
      <c r="AE1000" s="180"/>
    </row>
    <row r="1001" spans="1:31" ht="13.2" outlineLevel="3">
      <c r="A1001" s="68" t="s">
        <v>2083</v>
      </c>
      <c r="B1001" s="69" t="s">
        <v>1895</v>
      </c>
      <c r="C1001" s="389" t="s">
        <v>1954</v>
      </c>
      <c r="D1001" s="351"/>
      <c r="E1001" s="133" t="s">
        <v>2821</v>
      </c>
      <c r="F1001" s="133" t="s">
        <v>2421</v>
      </c>
      <c r="G1001" s="133" t="s">
        <v>2417</v>
      </c>
      <c r="H1001" s="133" t="s">
        <v>2417</v>
      </c>
      <c r="I1001" s="133" t="s">
        <v>2417</v>
      </c>
      <c r="J1001" s="133" t="s">
        <v>2417</v>
      </c>
      <c r="K1001" s="133" t="s">
        <v>2417</v>
      </c>
      <c r="L1001" s="133" t="s">
        <v>2417</v>
      </c>
      <c r="M1001" s="133" t="s">
        <v>2417</v>
      </c>
      <c r="N1001" s="133" t="s">
        <v>2417</v>
      </c>
      <c r="O1001" s="133" t="s">
        <v>2417</v>
      </c>
      <c r="P1001" s="133" t="s">
        <v>2417</v>
      </c>
      <c r="Q1001" s="133" t="s">
        <v>2417</v>
      </c>
      <c r="R1001" s="133" t="s">
        <v>2417</v>
      </c>
      <c r="S1001" s="133" t="s">
        <v>2417</v>
      </c>
      <c r="T1001" s="133" t="s">
        <v>2417</v>
      </c>
      <c r="U1001" s="133" t="s">
        <v>2417</v>
      </c>
      <c r="V1001" s="133" t="s">
        <v>2417</v>
      </c>
      <c r="W1001" s="133" t="s">
        <v>2417</v>
      </c>
      <c r="X1001" s="133" t="s">
        <v>2417</v>
      </c>
      <c r="Y1001" s="133" t="s">
        <v>2417</v>
      </c>
      <c r="Z1001" s="133" t="s">
        <v>2417</v>
      </c>
      <c r="AA1001" s="133" t="s">
        <v>2417</v>
      </c>
      <c r="AB1001" s="133" t="s">
        <v>2417</v>
      </c>
      <c r="AC1001" s="133" t="s">
        <v>2417</v>
      </c>
      <c r="AD1001" s="133" t="s">
        <v>2417</v>
      </c>
      <c r="AE1001" s="193"/>
    </row>
    <row r="1002" spans="1:31" ht="13.2" outlineLevel="2">
      <c r="A1002" s="428" t="s">
        <v>2084</v>
      </c>
      <c r="B1002" s="350"/>
      <c r="C1002" s="350"/>
      <c r="D1002" s="351"/>
      <c r="E1002" s="133" t="s">
        <v>2880</v>
      </c>
      <c r="F1002" s="133" t="s">
        <v>2421</v>
      </c>
      <c r="G1002" s="133" t="s">
        <v>2417</v>
      </c>
      <c r="H1002" s="133" t="s">
        <v>2417</v>
      </c>
      <c r="I1002" s="134" t="s">
        <v>2418</v>
      </c>
      <c r="J1002" s="133" t="s">
        <v>2417</v>
      </c>
      <c r="K1002" s="133" t="s">
        <v>2417</v>
      </c>
      <c r="L1002" s="133" t="s">
        <v>2417</v>
      </c>
      <c r="M1002" s="133" t="s">
        <v>2417</v>
      </c>
      <c r="N1002" s="133" t="s">
        <v>2417</v>
      </c>
      <c r="O1002" s="133" t="s">
        <v>2417</v>
      </c>
      <c r="P1002" s="133" t="s">
        <v>2417</v>
      </c>
      <c r="Q1002" s="133" t="s">
        <v>2417</v>
      </c>
      <c r="R1002" s="133" t="s">
        <v>2417</v>
      </c>
      <c r="S1002" s="133" t="s">
        <v>2417</v>
      </c>
      <c r="T1002" s="133" t="s">
        <v>2417</v>
      </c>
      <c r="U1002" s="133" t="s">
        <v>2417</v>
      </c>
      <c r="V1002" s="133" t="s">
        <v>2417</v>
      </c>
      <c r="W1002" s="133" t="s">
        <v>2417</v>
      </c>
      <c r="X1002" s="133" t="s">
        <v>2417</v>
      </c>
      <c r="Y1002" s="133" t="s">
        <v>2417</v>
      </c>
      <c r="Z1002" s="133" t="s">
        <v>2417</v>
      </c>
      <c r="AA1002" s="133" t="s">
        <v>2417</v>
      </c>
      <c r="AB1002" s="133" t="s">
        <v>2417</v>
      </c>
      <c r="AC1002" s="133" t="s">
        <v>2417</v>
      </c>
      <c r="AD1002" s="133" t="s">
        <v>2417</v>
      </c>
      <c r="AE1002" s="183"/>
    </row>
    <row r="1003" spans="1:31" ht="13.2" outlineLevel="3">
      <c r="A1003" s="68" t="s">
        <v>2085</v>
      </c>
      <c r="B1003" s="64"/>
      <c r="C1003" s="360" t="s">
        <v>2892</v>
      </c>
      <c r="D1003" s="351"/>
      <c r="E1003" s="133" t="s">
        <v>2880</v>
      </c>
      <c r="F1003" s="133" t="s">
        <v>2421</v>
      </c>
      <c r="G1003" s="133" t="s">
        <v>2417</v>
      </c>
      <c r="H1003" s="133" t="s">
        <v>2417</v>
      </c>
      <c r="I1003" s="134" t="s">
        <v>2418</v>
      </c>
      <c r="J1003" s="133" t="s">
        <v>2417</v>
      </c>
      <c r="K1003" s="133" t="s">
        <v>2417</v>
      </c>
      <c r="L1003" s="133" t="s">
        <v>2417</v>
      </c>
      <c r="M1003" s="133" t="s">
        <v>2417</v>
      </c>
      <c r="N1003" s="133" t="s">
        <v>2417</v>
      </c>
      <c r="O1003" s="133" t="s">
        <v>2417</v>
      </c>
      <c r="P1003" s="133" t="s">
        <v>2417</v>
      </c>
      <c r="Q1003" s="133" t="s">
        <v>2417</v>
      </c>
      <c r="R1003" s="133" t="s">
        <v>2417</v>
      </c>
      <c r="S1003" s="133" t="s">
        <v>2417</v>
      </c>
      <c r="T1003" s="133" t="s">
        <v>2417</v>
      </c>
      <c r="U1003" s="133" t="s">
        <v>2417</v>
      </c>
      <c r="V1003" s="133" t="s">
        <v>2417</v>
      </c>
      <c r="W1003" s="133" t="s">
        <v>2417</v>
      </c>
      <c r="X1003" s="133" t="s">
        <v>2417</v>
      </c>
      <c r="Y1003" s="133" t="s">
        <v>2417</v>
      </c>
      <c r="Z1003" s="133" t="s">
        <v>2417</v>
      </c>
      <c r="AA1003" s="133" t="s">
        <v>2417</v>
      </c>
      <c r="AB1003" s="133" t="s">
        <v>2417</v>
      </c>
      <c r="AC1003" s="133" t="s">
        <v>2417</v>
      </c>
      <c r="AD1003" s="133" t="s">
        <v>2417</v>
      </c>
      <c r="AE1003" s="123"/>
    </row>
    <row r="1004" spans="1:31" ht="13.2" outlineLevel="3">
      <c r="A1004" s="68" t="s">
        <v>2087</v>
      </c>
      <c r="B1004" s="97" t="s">
        <v>2060</v>
      </c>
      <c r="C1004" s="429" t="s">
        <v>2061</v>
      </c>
      <c r="D1004" s="351"/>
      <c r="E1004" s="133" t="s">
        <v>2880</v>
      </c>
      <c r="F1004" s="133" t="s">
        <v>2421</v>
      </c>
      <c r="G1004" s="133" t="s">
        <v>2417</v>
      </c>
      <c r="H1004" s="133" t="s">
        <v>2417</v>
      </c>
      <c r="I1004" s="133" t="s">
        <v>2417</v>
      </c>
      <c r="J1004" s="133" t="s">
        <v>2417</v>
      </c>
      <c r="K1004" s="133" t="s">
        <v>2417</v>
      </c>
      <c r="L1004" s="133" t="s">
        <v>2417</v>
      </c>
      <c r="M1004" s="133" t="s">
        <v>2417</v>
      </c>
      <c r="N1004" s="133" t="s">
        <v>2417</v>
      </c>
      <c r="O1004" s="133" t="s">
        <v>2417</v>
      </c>
      <c r="P1004" s="133" t="s">
        <v>2417</v>
      </c>
      <c r="Q1004" s="133" t="s">
        <v>2417</v>
      </c>
      <c r="R1004" s="133" t="s">
        <v>2417</v>
      </c>
      <c r="S1004" s="133" t="s">
        <v>2417</v>
      </c>
      <c r="T1004" s="133" t="s">
        <v>2417</v>
      </c>
      <c r="U1004" s="133" t="s">
        <v>2417</v>
      </c>
      <c r="V1004" s="133" t="s">
        <v>2417</v>
      </c>
      <c r="W1004" s="133" t="s">
        <v>2417</v>
      </c>
      <c r="X1004" s="133" t="s">
        <v>2417</v>
      </c>
      <c r="Y1004" s="133" t="s">
        <v>2417</v>
      </c>
      <c r="Z1004" s="133" t="s">
        <v>2417</v>
      </c>
      <c r="AA1004" s="133" t="s">
        <v>2417</v>
      </c>
      <c r="AB1004" s="133" t="s">
        <v>2417</v>
      </c>
      <c r="AC1004" s="133" t="s">
        <v>2417</v>
      </c>
      <c r="AD1004" s="133" t="s">
        <v>2417</v>
      </c>
      <c r="AE1004" s="181"/>
    </row>
    <row r="1005" spans="1:31" ht="13.2" outlineLevel="3">
      <c r="A1005" s="68" t="s">
        <v>2088</v>
      </c>
      <c r="B1005" s="97" t="s">
        <v>2063</v>
      </c>
      <c r="C1005" s="427" t="s">
        <v>2893</v>
      </c>
      <c r="D1005" s="351"/>
      <c r="E1005" s="133" t="s">
        <v>2880</v>
      </c>
      <c r="F1005" s="133" t="s">
        <v>2421</v>
      </c>
      <c r="G1005" s="133" t="s">
        <v>2417</v>
      </c>
      <c r="H1005" s="133" t="s">
        <v>2417</v>
      </c>
      <c r="I1005" s="133" t="s">
        <v>2417</v>
      </c>
      <c r="J1005" s="133" t="s">
        <v>2417</v>
      </c>
      <c r="K1005" s="133" t="s">
        <v>2417</v>
      </c>
      <c r="L1005" s="133" t="s">
        <v>2417</v>
      </c>
      <c r="M1005" s="133" t="s">
        <v>2417</v>
      </c>
      <c r="N1005" s="133" t="s">
        <v>2417</v>
      </c>
      <c r="O1005" s="133" t="s">
        <v>2417</v>
      </c>
      <c r="P1005" s="133" t="s">
        <v>2417</v>
      </c>
      <c r="Q1005" s="133" t="s">
        <v>2417</v>
      </c>
      <c r="R1005" s="133" t="s">
        <v>2417</v>
      </c>
      <c r="S1005" s="133" t="s">
        <v>2417</v>
      </c>
      <c r="T1005" s="133" t="s">
        <v>2417</v>
      </c>
      <c r="U1005" s="133" t="s">
        <v>2417</v>
      </c>
      <c r="V1005" s="133" t="s">
        <v>2417</v>
      </c>
      <c r="W1005" s="133" t="s">
        <v>2417</v>
      </c>
      <c r="X1005" s="133" t="s">
        <v>2417</v>
      </c>
      <c r="Y1005" s="133" t="s">
        <v>2417</v>
      </c>
      <c r="Z1005" s="133" t="s">
        <v>2417</v>
      </c>
      <c r="AA1005" s="133" t="s">
        <v>2417</v>
      </c>
      <c r="AB1005" s="133" t="s">
        <v>2417</v>
      </c>
      <c r="AC1005" s="133" t="s">
        <v>2417</v>
      </c>
      <c r="AD1005" s="133" t="s">
        <v>2417</v>
      </c>
      <c r="AE1005" s="180"/>
    </row>
    <row r="1006" spans="1:31" ht="20.399999999999999" outlineLevel="3">
      <c r="A1006" s="68" t="s">
        <v>2090</v>
      </c>
      <c r="B1006" s="101" t="s">
        <v>2066</v>
      </c>
      <c r="C1006" s="427" t="s">
        <v>2894</v>
      </c>
      <c r="D1006" s="351"/>
      <c r="E1006" s="133" t="s">
        <v>2880</v>
      </c>
      <c r="F1006" s="133" t="s">
        <v>2421</v>
      </c>
      <c r="G1006" s="133" t="s">
        <v>2417</v>
      </c>
      <c r="H1006" s="133" t="s">
        <v>2417</v>
      </c>
      <c r="I1006" s="133" t="s">
        <v>2417</v>
      </c>
      <c r="J1006" s="133" t="s">
        <v>2417</v>
      </c>
      <c r="K1006" s="133" t="s">
        <v>2417</v>
      </c>
      <c r="L1006" s="133" t="s">
        <v>2417</v>
      </c>
      <c r="M1006" s="133" t="s">
        <v>2417</v>
      </c>
      <c r="N1006" s="133" t="s">
        <v>2417</v>
      </c>
      <c r="O1006" s="133" t="s">
        <v>2417</v>
      </c>
      <c r="P1006" s="133" t="s">
        <v>2417</v>
      </c>
      <c r="Q1006" s="133" t="s">
        <v>2417</v>
      </c>
      <c r="R1006" s="133" t="s">
        <v>2417</v>
      </c>
      <c r="S1006" s="133" t="s">
        <v>2417</v>
      </c>
      <c r="T1006" s="133" t="s">
        <v>2417</v>
      </c>
      <c r="U1006" s="133" t="s">
        <v>2417</v>
      </c>
      <c r="V1006" s="133" t="s">
        <v>2417</v>
      </c>
      <c r="W1006" s="133" t="s">
        <v>2417</v>
      </c>
      <c r="X1006" s="133" t="s">
        <v>2417</v>
      </c>
      <c r="Y1006" s="133" t="s">
        <v>2417</v>
      </c>
      <c r="Z1006" s="133" t="s">
        <v>2417</v>
      </c>
      <c r="AA1006" s="133" t="s">
        <v>2417</v>
      </c>
      <c r="AB1006" s="133" t="s">
        <v>2417</v>
      </c>
      <c r="AC1006" s="133" t="s">
        <v>2417</v>
      </c>
      <c r="AD1006" s="133" t="s">
        <v>2417</v>
      </c>
      <c r="AE1006" s="180"/>
    </row>
    <row r="1007" spans="1:31" ht="13.2" outlineLevel="3">
      <c r="A1007" s="68" t="s">
        <v>2092</v>
      </c>
      <c r="B1007" s="97" t="s">
        <v>2069</v>
      </c>
      <c r="C1007" s="429" t="s">
        <v>2070</v>
      </c>
      <c r="D1007" s="351"/>
      <c r="E1007" s="133" t="s">
        <v>2880</v>
      </c>
      <c r="F1007" s="133" t="s">
        <v>2421</v>
      </c>
      <c r="G1007" s="133" t="s">
        <v>2417</v>
      </c>
      <c r="H1007" s="133" t="s">
        <v>2417</v>
      </c>
      <c r="I1007" s="133" t="s">
        <v>2417</v>
      </c>
      <c r="J1007" s="133" t="s">
        <v>2417</v>
      </c>
      <c r="K1007" s="133" t="s">
        <v>2417</v>
      </c>
      <c r="L1007" s="133" t="s">
        <v>2417</v>
      </c>
      <c r="M1007" s="133" t="s">
        <v>2417</v>
      </c>
      <c r="N1007" s="133" t="s">
        <v>2417</v>
      </c>
      <c r="O1007" s="133" t="s">
        <v>2417</v>
      </c>
      <c r="P1007" s="133" t="s">
        <v>2417</v>
      </c>
      <c r="Q1007" s="133" t="s">
        <v>2417</v>
      </c>
      <c r="R1007" s="133" t="s">
        <v>2417</v>
      </c>
      <c r="S1007" s="133" t="s">
        <v>2417</v>
      </c>
      <c r="T1007" s="133" t="s">
        <v>2417</v>
      </c>
      <c r="U1007" s="133" t="s">
        <v>2417</v>
      </c>
      <c r="V1007" s="133" t="s">
        <v>2417</v>
      </c>
      <c r="W1007" s="133" t="s">
        <v>2417</v>
      </c>
      <c r="X1007" s="133" t="s">
        <v>2417</v>
      </c>
      <c r="Y1007" s="133" t="s">
        <v>2417</v>
      </c>
      <c r="Z1007" s="133" t="s">
        <v>2417</v>
      </c>
      <c r="AA1007" s="133" t="s">
        <v>2417</v>
      </c>
      <c r="AB1007" s="133" t="s">
        <v>2417</v>
      </c>
      <c r="AC1007" s="133" t="s">
        <v>2417</v>
      </c>
      <c r="AD1007" s="133" t="s">
        <v>2417</v>
      </c>
      <c r="AE1007" s="181"/>
    </row>
    <row r="1008" spans="1:31" ht="13.2" outlineLevel="3">
      <c r="A1008" s="68" t="s">
        <v>2093</v>
      </c>
      <c r="B1008" s="97" t="s">
        <v>2072</v>
      </c>
      <c r="C1008" s="427" t="s">
        <v>2895</v>
      </c>
      <c r="D1008" s="351"/>
      <c r="E1008" s="133" t="s">
        <v>2880</v>
      </c>
      <c r="F1008" s="133" t="s">
        <v>2421</v>
      </c>
      <c r="G1008" s="133" t="s">
        <v>2417</v>
      </c>
      <c r="H1008" s="133" t="s">
        <v>2417</v>
      </c>
      <c r="I1008" s="133" t="s">
        <v>2417</v>
      </c>
      <c r="J1008" s="133" t="s">
        <v>2417</v>
      </c>
      <c r="K1008" s="133" t="s">
        <v>2417</v>
      </c>
      <c r="L1008" s="133" t="s">
        <v>2417</v>
      </c>
      <c r="M1008" s="133" t="s">
        <v>2417</v>
      </c>
      <c r="N1008" s="133" t="s">
        <v>2417</v>
      </c>
      <c r="O1008" s="133" t="s">
        <v>2417</v>
      </c>
      <c r="P1008" s="133" t="s">
        <v>2417</v>
      </c>
      <c r="Q1008" s="133" t="s">
        <v>2417</v>
      </c>
      <c r="R1008" s="133" t="s">
        <v>2417</v>
      </c>
      <c r="S1008" s="133" t="s">
        <v>2417</v>
      </c>
      <c r="T1008" s="133" t="s">
        <v>2417</v>
      </c>
      <c r="U1008" s="133" t="s">
        <v>2417</v>
      </c>
      <c r="V1008" s="133" t="s">
        <v>2417</v>
      </c>
      <c r="W1008" s="133" t="s">
        <v>2417</v>
      </c>
      <c r="X1008" s="133" t="s">
        <v>2417</v>
      </c>
      <c r="Y1008" s="133" t="s">
        <v>2417</v>
      </c>
      <c r="Z1008" s="133" t="s">
        <v>2417</v>
      </c>
      <c r="AA1008" s="133" t="s">
        <v>2417</v>
      </c>
      <c r="AB1008" s="133" t="s">
        <v>2417</v>
      </c>
      <c r="AC1008" s="133" t="s">
        <v>2417</v>
      </c>
      <c r="AD1008" s="133" t="s">
        <v>2417</v>
      </c>
      <c r="AE1008" s="180"/>
    </row>
    <row r="1009" spans="1:31" ht="20.399999999999999" outlineLevel="3">
      <c r="A1009" s="68" t="s">
        <v>2095</v>
      </c>
      <c r="B1009" s="98" t="s">
        <v>2096</v>
      </c>
      <c r="C1009" s="427" t="s">
        <v>2097</v>
      </c>
      <c r="D1009" s="351"/>
      <c r="E1009" s="133" t="s">
        <v>2546</v>
      </c>
      <c r="F1009" s="133" t="s">
        <v>2421</v>
      </c>
      <c r="G1009" s="133" t="s">
        <v>2417</v>
      </c>
      <c r="H1009" s="133" t="s">
        <v>2417</v>
      </c>
      <c r="I1009" s="133" t="s">
        <v>2417</v>
      </c>
      <c r="J1009" s="133" t="s">
        <v>2417</v>
      </c>
      <c r="K1009" s="133" t="s">
        <v>2417</v>
      </c>
      <c r="L1009" s="133" t="s">
        <v>2417</v>
      </c>
      <c r="M1009" s="133" t="s">
        <v>2417</v>
      </c>
      <c r="N1009" s="133" t="s">
        <v>2417</v>
      </c>
      <c r="O1009" s="133" t="s">
        <v>2417</v>
      </c>
      <c r="P1009" s="133" t="s">
        <v>2417</v>
      </c>
      <c r="Q1009" s="133" t="s">
        <v>2417</v>
      </c>
      <c r="R1009" s="133" t="s">
        <v>2417</v>
      </c>
      <c r="S1009" s="133" t="s">
        <v>2417</v>
      </c>
      <c r="T1009" s="133" t="s">
        <v>2417</v>
      </c>
      <c r="U1009" s="133" t="s">
        <v>2417</v>
      </c>
      <c r="V1009" s="133" t="s">
        <v>2417</v>
      </c>
      <c r="W1009" s="133" t="s">
        <v>2417</v>
      </c>
      <c r="X1009" s="133" t="s">
        <v>2417</v>
      </c>
      <c r="Y1009" s="133" t="s">
        <v>2417</v>
      </c>
      <c r="Z1009" s="133" t="s">
        <v>2417</v>
      </c>
      <c r="AA1009" s="133" t="s">
        <v>2417</v>
      </c>
      <c r="AB1009" s="133" t="s">
        <v>2417</v>
      </c>
      <c r="AC1009" s="133" t="s">
        <v>2417</v>
      </c>
      <c r="AD1009" s="133" t="s">
        <v>2417</v>
      </c>
      <c r="AE1009" s="180"/>
    </row>
    <row r="1010" spans="1:31" ht="20.399999999999999" hidden="1" outlineLevel="3">
      <c r="A1010" s="68" t="s">
        <v>2896</v>
      </c>
      <c r="B1010" s="98" t="s">
        <v>2897</v>
      </c>
      <c r="C1010" s="427" t="s">
        <v>2898</v>
      </c>
      <c r="D1010" s="351"/>
      <c r="E1010" s="133" t="s">
        <v>2565</v>
      </c>
      <c r="F1010" s="133" t="s">
        <v>2421</v>
      </c>
      <c r="G1010" s="133" t="s">
        <v>2417</v>
      </c>
      <c r="H1010" s="133" t="s">
        <v>2417</v>
      </c>
      <c r="I1010" s="133" t="s">
        <v>2417</v>
      </c>
      <c r="J1010" s="133" t="s">
        <v>2417</v>
      </c>
      <c r="K1010" s="133" t="s">
        <v>2417</v>
      </c>
      <c r="L1010" s="133" t="s">
        <v>2417</v>
      </c>
      <c r="M1010" s="133" t="s">
        <v>2417</v>
      </c>
      <c r="N1010" s="133" t="s">
        <v>2417</v>
      </c>
      <c r="O1010" s="133" t="s">
        <v>2417</v>
      </c>
      <c r="P1010" s="133" t="s">
        <v>2417</v>
      </c>
      <c r="Q1010" s="133" t="s">
        <v>2417</v>
      </c>
      <c r="R1010" s="133" t="s">
        <v>2417</v>
      </c>
      <c r="S1010" s="133" t="s">
        <v>2417</v>
      </c>
      <c r="T1010" s="133" t="s">
        <v>2417</v>
      </c>
      <c r="U1010" s="133" t="s">
        <v>2417</v>
      </c>
      <c r="V1010" s="133" t="s">
        <v>2417</v>
      </c>
      <c r="W1010" s="133" t="s">
        <v>2417</v>
      </c>
      <c r="X1010" s="133" t="s">
        <v>2417</v>
      </c>
      <c r="Y1010" s="133" t="s">
        <v>2417</v>
      </c>
      <c r="Z1010" s="133" t="s">
        <v>2417</v>
      </c>
      <c r="AA1010" s="133" t="s">
        <v>2417</v>
      </c>
      <c r="AB1010" s="133" t="s">
        <v>2417</v>
      </c>
      <c r="AC1010" s="133" t="s">
        <v>2417</v>
      </c>
      <c r="AD1010" s="133" t="s">
        <v>2417</v>
      </c>
      <c r="AE1010" s="180"/>
    </row>
    <row r="1011" spans="1:31" ht="20.399999999999999" outlineLevel="3">
      <c r="A1011" s="68" t="s">
        <v>2098</v>
      </c>
      <c r="B1011" s="97" t="s">
        <v>2081</v>
      </c>
      <c r="C1011" s="427" t="s">
        <v>2899</v>
      </c>
      <c r="D1011" s="351"/>
      <c r="E1011" s="133" t="s">
        <v>2880</v>
      </c>
      <c r="F1011" s="133" t="s">
        <v>2421</v>
      </c>
      <c r="G1011" s="133" t="s">
        <v>2417</v>
      </c>
      <c r="H1011" s="133" t="s">
        <v>2417</v>
      </c>
      <c r="I1011" s="133" t="s">
        <v>2417</v>
      </c>
      <c r="J1011" s="133" t="s">
        <v>2417</v>
      </c>
      <c r="K1011" s="133" t="s">
        <v>2417</v>
      </c>
      <c r="L1011" s="133" t="s">
        <v>2417</v>
      </c>
      <c r="M1011" s="133" t="s">
        <v>2417</v>
      </c>
      <c r="N1011" s="133" t="s">
        <v>2417</v>
      </c>
      <c r="O1011" s="133" t="s">
        <v>2417</v>
      </c>
      <c r="P1011" s="133" t="s">
        <v>2417</v>
      </c>
      <c r="Q1011" s="133" t="s">
        <v>2417</v>
      </c>
      <c r="R1011" s="133" t="s">
        <v>2417</v>
      </c>
      <c r="S1011" s="133" t="s">
        <v>2417</v>
      </c>
      <c r="T1011" s="133" t="s">
        <v>2417</v>
      </c>
      <c r="U1011" s="133" t="s">
        <v>2417</v>
      </c>
      <c r="V1011" s="133" t="s">
        <v>2417</v>
      </c>
      <c r="W1011" s="133" t="s">
        <v>2417</v>
      </c>
      <c r="X1011" s="133" t="s">
        <v>2417</v>
      </c>
      <c r="Y1011" s="133" t="s">
        <v>2417</v>
      </c>
      <c r="Z1011" s="133" t="s">
        <v>2417</v>
      </c>
      <c r="AA1011" s="133" t="s">
        <v>2417</v>
      </c>
      <c r="AB1011" s="133" t="s">
        <v>2417</v>
      </c>
      <c r="AC1011" s="133" t="s">
        <v>2417</v>
      </c>
      <c r="AD1011" s="133" t="s">
        <v>2417</v>
      </c>
      <c r="AE1011" s="180"/>
    </row>
    <row r="1012" spans="1:31" ht="13.2" outlineLevel="3">
      <c r="A1012" s="68" t="s">
        <v>2100</v>
      </c>
      <c r="B1012" s="69" t="s">
        <v>1895</v>
      </c>
      <c r="C1012" s="389" t="s">
        <v>1954</v>
      </c>
      <c r="D1012" s="351"/>
      <c r="E1012" s="133" t="s">
        <v>2880</v>
      </c>
      <c r="F1012" s="133" t="s">
        <v>2421</v>
      </c>
      <c r="G1012" s="133" t="s">
        <v>2417</v>
      </c>
      <c r="H1012" s="133" t="s">
        <v>2417</v>
      </c>
      <c r="I1012" s="133" t="s">
        <v>2417</v>
      </c>
      <c r="J1012" s="133" t="s">
        <v>2417</v>
      </c>
      <c r="K1012" s="133" t="s">
        <v>2417</v>
      </c>
      <c r="L1012" s="133" t="s">
        <v>2417</v>
      </c>
      <c r="M1012" s="133" t="s">
        <v>2417</v>
      </c>
      <c r="N1012" s="133" t="s">
        <v>2417</v>
      </c>
      <c r="O1012" s="133" t="s">
        <v>2417</v>
      </c>
      <c r="P1012" s="133" t="s">
        <v>2417</v>
      </c>
      <c r="Q1012" s="133" t="s">
        <v>2417</v>
      </c>
      <c r="R1012" s="133" t="s">
        <v>2417</v>
      </c>
      <c r="S1012" s="133" t="s">
        <v>2417</v>
      </c>
      <c r="T1012" s="133" t="s">
        <v>2417</v>
      </c>
      <c r="U1012" s="133" t="s">
        <v>2417</v>
      </c>
      <c r="V1012" s="133" t="s">
        <v>2417</v>
      </c>
      <c r="W1012" s="133" t="s">
        <v>2417</v>
      </c>
      <c r="X1012" s="133" t="s">
        <v>2417</v>
      </c>
      <c r="Y1012" s="133" t="s">
        <v>2417</v>
      </c>
      <c r="Z1012" s="133" t="s">
        <v>2417</v>
      </c>
      <c r="AA1012" s="133" t="s">
        <v>2417</v>
      </c>
      <c r="AB1012" s="133" t="s">
        <v>2417</v>
      </c>
      <c r="AC1012" s="133" t="s">
        <v>2417</v>
      </c>
      <c r="AD1012" s="133" t="s">
        <v>2417</v>
      </c>
      <c r="AE1012" s="193"/>
    </row>
    <row r="1013" spans="1:31" ht="13.2" outlineLevel="2">
      <c r="A1013" s="449" t="s">
        <v>2101</v>
      </c>
      <c r="B1013" s="350"/>
      <c r="C1013" s="350"/>
      <c r="D1013" s="351"/>
      <c r="E1013" s="133" t="s">
        <v>2417</v>
      </c>
      <c r="F1013" s="133" t="s">
        <v>2587</v>
      </c>
      <c r="G1013" s="133" t="s">
        <v>2417</v>
      </c>
      <c r="H1013" s="133" t="s">
        <v>2417</v>
      </c>
      <c r="I1013" s="134" t="s">
        <v>2418</v>
      </c>
      <c r="J1013" s="133" t="s">
        <v>2417</v>
      </c>
      <c r="K1013" s="133" t="s">
        <v>2417</v>
      </c>
      <c r="L1013" s="133" t="s">
        <v>2417</v>
      </c>
      <c r="M1013" s="133" t="s">
        <v>2417</v>
      </c>
      <c r="N1013" s="133" t="s">
        <v>2417</v>
      </c>
      <c r="O1013" s="133" t="s">
        <v>2417</v>
      </c>
      <c r="P1013" s="133" t="s">
        <v>2417</v>
      </c>
      <c r="Q1013" s="133" t="s">
        <v>2417</v>
      </c>
      <c r="R1013" s="133" t="s">
        <v>2417</v>
      </c>
      <c r="S1013" s="133" t="s">
        <v>2417</v>
      </c>
      <c r="T1013" s="133" t="s">
        <v>2417</v>
      </c>
      <c r="U1013" s="133" t="s">
        <v>2417</v>
      </c>
      <c r="V1013" s="133" t="s">
        <v>2417</v>
      </c>
      <c r="W1013" s="133" t="s">
        <v>2417</v>
      </c>
      <c r="X1013" s="133" t="s">
        <v>2417</v>
      </c>
      <c r="Y1013" s="133" t="s">
        <v>2417</v>
      </c>
      <c r="Z1013" s="133" t="s">
        <v>2417</v>
      </c>
      <c r="AA1013" s="133" t="s">
        <v>2417</v>
      </c>
      <c r="AB1013" s="133" t="s">
        <v>2417</v>
      </c>
      <c r="AC1013" s="133" t="s">
        <v>2417</v>
      </c>
      <c r="AD1013" s="133" t="s">
        <v>2417</v>
      </c>
      <c r="AE1013" s="194"/>
    </row>
    <row r="1014" spans="1:31" ht="13.2" outlineLevel="3">
      <c r="A1014" s="68" t="s">
        <v>2085</v>
      </c>
      <c r="B1014" s="64"/>
      <c r="C1014" s="387" t="s">
        <v>2102</v>
      </c>
      <c r="D1014" s="351"/>
      <c r="E1014" s="133" t="s">
        <v>2417</v>
      </c>
      <c r="F1014" s="133" t="s">
        <v>2587</v>
      </c>
      <c r="G1014" s="133" t="s">
        <v>2417</v>
      </c>
      <c r="H1014" s="133" t="s">
        <v>2417</v>
      </c>
      <c r="I1014" s="134" t="s">
        <v>2418</v>
      </c>
      <c r="J1014" s="133" t="s">
        <v>2417</v>
      </c>
      <c r="K1014" s="133" t="s">
        <v>2417</v>
      </c>
      <c r="L1014" s="133" t="s">
        <v>2417</v>
      </c>
      <c r="M1014" s="133" t="s">
        <v>2417</v>
      </c>
      <c r="N1014" s="133" t="s">
        <v>2417</v>
      </c>
      <c r="O1014" s="133" t="s">
        <v>2417</v>
      </c>
      <c r="P1014" s="133" t="s">
        <v>2417</v>
      </c>
      <c r="Q1014" s="133" t="s">
        <v>2417</v>
      </c>
      <c r="R1014" s="133" t="s">
        <v>2417</v>
      </c>
      <c r="S1014" s="133" t="s">
        <v>2417</v>
      </c>
      <c r="T1014" s="133" t="s">
        <v>2417</v>
      </c>
      <c r="U1014" s="133" t="s">
        <v>2417</v>
      </c>
      <c r="V1014" s="133" t="s">
        <v>2417</v>
      </c>
      <c r="W1014" s="133" t="s">
        <v>2417</v>
      </c>
      <c r="X1014" s="133" t="s">
        <v>2417</v>
      </c>
      <c r="Y1014" s="133" t="s">
        <v>2417</v>
      </c>
      <c r="Z1014" s="133" t="s">
        <v>2417</v>
      </c>
      <c r="AA1014" s="133" t="s">
        <v>2417</v>
      </c>
      <c r="AB1014" s="133" t="s">
        <v>2417</v>
      </c>
      <c r="AC1014" s="133" t="s">
        <v>2417</v>
      </c>
      <c r="AD1014" s="133" t="s">
        <v>2417</v>
      </c>
      <c r="AE1014" s="59"/>
    </row>
    <row r="1015" spans="1:31" ht="13.2" outlineLevel="3">
      <c r="A1015" s="68" t="s">
        <v>2059</v>
      </c>
      <c r="B1015" s="97" t="s">
        <v>2060</v>
      </c>
      <c r="C1015" s="429" t="s">
        <v>2061</v>
      </c>
      <c r="D1015" s="351"/>
      <c r="E1015" s="133" t="s">
        <v>2417</v>
      </c>
      <c r="F1015" s="133" t="s">
        <v>2587</v>
      </c>
      <c r="G1015" s="133" t="s">
        <v>2417</v>
      </c>
      <c r="H1015" s="133" t="s">
        <v>2417</v>
      </c>
      <c r="I1015" s="133" t="s">
        <v>2417</v>
      </c>
      <c r="J1015" s="133" t="s">
        <v>2417</v>
      </c>
      <c r="K1015" s="133" t="s">
        <v>2417</v>
      </c>
      <c r="L1015" s="133" t="s">
        <v>2417</v>
      </c>
      <c r="M1015" s="133" t="s">
        <v>2417</v>
      </c>
      <c r="N1015" s="133" t="s">
        <v>2417</v>
      </c>
      <c r="O1015" s="133" t="s">
        <v>2417</v>
      </c>
      <c r="P1015" s="133" t="s">
        <v>2417</v>
      </c>
      <c r="Q1015" s="133" t="s">
        <v>2417</v>
      </c>
      <c r="R1015" s="133" t="s">
        <v>2417</v>
      </c>
      <c r="S1015" s="133" t="s">
        <v>2417</v>
      </c>
      <c r="T1015" s="133" t="s">
        <v>2417</v>
      </c>
      <c r="U1015" s="133" t="s">
        <v>2417</v>
      </c>
      <c r="V1015" s="133" t="s">
        <v>2417</v>
      </c>
      <c r="W1015" s="133" t="s">
        <v>2417</v>
      </c>
      <c r="X1015" s="133" t="s">
        <v>2417</v>
      </c>
      <c r="Y1015" s="133" t="s">
        <v>2417</v>
      </c>
      <c r="Z1015" s="133" t="s">
        <v>2417</v>
      </c>
      <c r="AA1015" s="133" t="s">
        <v>2417</v>
      </c>
      <c r="AB1015" s="133" t="s">
        <v>2417</v>
      </c>
      <c r="AC1015" s="133" t="s">
        <v>2417</v>
      </c>
      <c r="AD1015" s="133" t="s">
        <v>2417</v>
      </c>
      <c r="AE1015" s="181"/>
    </row>
    <row r="1016" spans="1:31" ht="20.399999999999999" outlineLevel="3">
      <c r="A1016" s="68" t="s">
        <v>2088</v>
      </c>
      <c r="B1016" s="102" t="s">
        <v>2066</v>
      </c>
      <c r="C1016" s="427" t="s">
        <v>2900</v>
      </c>
      <c r="D1016" s="351"/>
      <c r="E1016" s="133" t="s">
        <v>2417</v>
      </c>
      <c r="F1016" s="133" t="s">
        <v>2587</v>
      </c>
      <c r="G1016" s="133" t="s">
        <v>2417</v>
      </c>
      <c r="H1016" s="133" t="s">
        <v>2417</v>
      </c>
      <c r="I1016" s="133" t="s">
        <v>2417</v>
      </c>
      <c r="J1016" s="133" t="s">
        <v>2417</v>
      </c>
      <c r="K1016" s="133" t="s">
        <v>2417</v>
      </c>
      <c r="L1016" s="133" t="s">
        <v>2417</v>
      </c>
      <c r="M1016" s="133" t="s">
        <v>2417</v>
      </c>
      <c r="N1016" s="133" t="s">
        <v>2417</v>
      </c>
      <c r="O1016" s="133" t="s">
        <v>2417</v>
      </c>
      <c r="P1016" s="133" t="s">
        <v>2417</v>
      </c>
      <c r="Q1016" s="133" t="s">
        <v>2417</v>
      </c>
      <c r="R1016" s="133" t="s">
        <v>2417</v>
      </c>
      <c r="S1016" s="133" t="s">
        <v>2417</v>
      </c>
      <c r="T1016" s="133" t="s">
        <v>2417</v>
      </c>
      <c r="U1016" s="133" t="s">
        <v>2417</v>
      </c>
      <c r="V1016" s="133" t="s">
        <v>2417</v>
      </c>
      <c r="W1016" s="133" t="s">
        <v>2417</v>
      </c>
      <c r="X1016" s="133" t="s">
        <v>2417</v>
      </c>
      <c r="Y1016" s="133" t="s">
        <v>2417</v>
      </c>
      <c r="Z1016" s="133" t="s">
        <v>2417</v>
      </c>
      <c r="AA1016" s="133" t="s">
        <v>2417</v>
      </c>
      <c r="AB1016" s="133" t="s">
        <v>2417</v>
      </c>
      <c r="AC1016" s="133" t="s">
        <v>2417</v>
      </c>
      <c r="AD1016" s="133" t="s">
        <v>2417</v>
      </c>
      <c r="AE1016" s="180"/>
    </row>
    <row r="1017" spans="1:31" ht="13.2" outlineLevel="3">
      <c r="A1017" s="68" t="s">
        <v>2090</v>
      </c>
      <c r="B1017" s="97" t="s">
        <v>2104</v>
      </c>
      <c r="C1017" s="427" t="s">
        <v>2105</v>
      </c>
      <c r="D1017" s="351"/>
      <c r="E1017" s="133" t="s">
        <v>2417</v>
      </c>
      <c r="F1017" s="133" t="s">
        <v>2587</v>
      </c>
      <c r="G1017" s="133" t="s">
        <v>2417</v>
      </c>
      <c r="H1017" s="133" t="s">
        <v>2417</v>
      </c>
      <c r="I1017" s="133" t="s">
        <v>2417</v>
      </c>
      <c r="J1017" s="133" t="s">
        <v>2417</v>
      </c>
      <c r="K1017" s="133" t="s">
        <v>2417</v>
      </c>
      <c r="L1017" s="133" t="s">
        <v>2417</v>
      </c>
      <c r="M1017" s="133" t="s">
        <v>2417</v>
      </c>
      <c r="N1017" s="133" t="s">
        <v>2417</v>
      </c>
      <c r="O1017" s="133" t="s">
        <v>2417</v>
      </c>
      <c r="P1017" s="133" t="s">
        <v>2417</v>
      </c>
      <c r="Q1017" s="133" t="s">
        <v>2417</v>
      </c>
      <c r="R1017" s="133" t="s">
        <v>2417</v>
      </c>
      <c r="S1017" s="133" t="s">
        <v>2417</v>
      </c>
      <c r="T1017" s="133" t="s">
        <v>2417</v>
      </c>
      <c r="U1017" s="133" t="s">
        <v>2417</v>
      </c>
      <c r="V1017" s="133" t="s">
        <v>2417</v>
      </c>
      <c r="W1017" s="133" t="s">
        <v>2417</v>
      </c>
      <c r="X1017" s="133" t="s">
        <v>2417</v>
      </c>
      <c r="Y1017" s="133" t="s">
        <v>2417</v>
      </c>
      <c r="Z1017" s="133" t="s">
        <v>2417</v>
      </c>
      <c r="AA1017" s="133" t="s">
        <v>2417</v>
      </c>
      <c r="AB1017" s="133" t="s">
        <v>2417</v>
      </c>
      <c r="AC1017" s="133" t="s">
        <v>2417</v>
      </c>
      <c r="AD1017" s="133" t="s">
        <v>2417</v>
      </c>
      <c r="AE1017" s="180"/>
    </row>
    <row r="1018" spans="1:31" ht="20.399999999999999" outlineLevel="3">
      <c r="A1018" s="68" t="s">
        <v>2092</v>
      </c>
      <c r="B1018" s="97" t="s">
        <v>2081</v>
      </c>
      <c r="C1018" s="427" t="s">
        <v>2901</v>
      </c>
      <c r="D1018" s="351"/>
      <c r="E1018" s="133" t="s">
        <v>2417</v>
      </c>
      <c r="F1018" s="133" t="s">
        <v>2587</v>
      </c>
      <c r="G1018" s="133" t="s">
        <v>2417</v>
      </c>
      <c r="H1018" s="133" t="s">
        <v>2417</v>
      </c>
      <c r="I1018" s="133" t="s">
        <v>2417</v>
      </c>
      <c r="J1018" s="133" t="s">
        <v>2417</v>
      </c>
      <c r="K1018" s="133" t="s">
        <v>2417</v>
      </c>
      <c r="L1018" s="133" t="s">
        <v>2417</v>
      </c>
      <c r="M1018" s="133" t="s">
        <v>2417</v>
      </c>
      <c r="N1018" s="133" t="s">
        <v>2417</v>
      </c>
      <c r="O1018" s="133" t="s">
        <v>2417</v>
      </c>
      <c r="P1018" s="133" t="s">
        <v>2417</v>
      </c>
      <c r="Q1018" s="133" t="s">
        <v>2417</v>
      </c>
      <c r="R1018" s="133" t="s">
        <v>2417</v>
      </c>
      <c r="S1018" s="133" t="s">
        <v>2417</v>
      </c>
      <c r="T1018" s="133" t="s">
        <v>2417</v>
      </c>
      <c r="U1018" s="133" t="s">
        <v>2417</v>
      </c>
      <c r="V1018" s="133" t="s">
        <v>2417</v>
      </c>
      <c r="W1018" s="133" t="s">
        <v>2417</v>
      </c>
      <c r="X1018" s="133" t="s">
        <v>2417</v>
      </c>
      <c r="Y1018" s="133" t="s">
        <v>2417</v>
      </c>
      <c r="Z1018" s="133" t="s">
        <v>2417</v>
      </c>
      <c r="AA1018" s="133" t="s">
        <v>2417</v>
      </c>
      <c r="AB1018" s="133" t="s">
        <v>2417</v>
      </c>
      <c r="AC1018" s="133" t="s">
        <v>2417</v>
      </c>
      <c r="AD1018" s="133" t="s">
        <v>2417</v>
      </c>
      <c r="AE1018" s="180"/>
    </row>
    <row r="1019" spans="1:31" ht="20.399999999999999" outlineLevel="3">
      <c r="A1019" s="68" t="s">
        <v>2093</v>
      </c>
      <c r="B1019" s="97" t="s">
        <v>2107</v>
      </c>
      <c r="C1019" s="429" t="s">
        <v>2108</v>
      </c>
      <c r="D1019" s="351"/>
      <c r="E1019" s="133" t="s">
        <v>2417</v>
      </c>
      <c r="F1019" s="133" t="s">
        <v>2587</v>
      </c>
      <c r="G1019" s="133" t="s">
        <v>2417</v>
      </c>
      <c r="H1019" s="133" t="s">
        <v>2417</v>
      </c>
      <c r="I1019" s="133" t="s">
        <v>2417</v>
      </c>
      <c r="J1019" s="133" t="s">
        <v>2417</v>
      </c>
      <c r="K1019" s="133" t="s">
        <v>2417</v>
      </c>
      <c r="L1019" s="133" t="s">
        <v>2417</v>
      </c>
      <c r="M1019" s="133" t="s">
        <v>2417</v>
      </c>
      <c r="N1019" s="133" t="s">
        <v>2417</v>
      </c>
      <c r="O1019" s="133" t="s">
        <v>2417</v>
      </c>
      <c r="P1019" s="133" t="s">
        <v>2417</v>
      </c>
      <c r="Q1019" s="133" t="s">
        <v>2417</v>
      </c>
      <c r="R1019" s="133" t="s">
        <v>2417</v>
      </c>
      <c r="S1019" s="133" t="s">
        <v>2417</v>
      </c>
      <c r="T1019" s="133" t="s">
        <v>2417</v>
      </c>
      <c r="U1019" s="133" t="s">
        <v>2417</v>
      </c>
      <c r="V1019" s="133" t="s">
        <v>2417</v>
      </c>
      <c r="W1019" s="133" t="s">
        <v>2417</v>
      </c>
      <c r="X1019" s="133" t="s">
        <v>2417</v>
      </c>
      <c r="Y1019" s="133" t="s">
        <v>2417</v>
      </c>
      <c r="Z1019" s="133" t="s">
        <v>2417</v>
      </c>
      <c r="AA1019" s="133" t="s">
        <v>2417</v>
      </c>
      <c r="AB1019" s="133" t="s">
        <v>2417</v>
      </c>
      <c r="AC1019" s="133" t="s">
        <v>2417</v>
      </c>
      <c r="AD1019" s="133" t="s">
        <v>2417</v>
      </c>
      <c r="AE1019" s="184"/>
    </row>
    <row r="1020" spans="1:31" ht="13.2" outlineLevel="3">
      <c r="A1020" s="68" t="s">
        <v>2095</v>
      </c>
      <c r="B1020" s="62" t="s">
        <v>1895</v>
      </c>
      <c r="C1020" s="392" t="s">
        <v>1954</v>
      </c>
      <c r="D1020" s="351"/>
      <c r="E1020" s="133" t="s">
        <v>2417</v>
      </c>
      <c r="F1020" s="133" t="s">
        <v>2587</v>
      </c>
      <c r="G1020" s="133" t="s">
        <v>2417</v>
      </c>
      <c r="H1020" s="133" t="s">
        <v>2417</v>
      </c>
      <c r="I1020" s="133" t="s">
        <v>2417</v>
      </c>
      <c r="J1020" s="133" t="s">
        <v>2417</v>
      </c>
      <c r="K1020" s="133" t="s">
        <v>2417</v>
      </c>
      <c r="L1020" s="133" t="s">
        <v>2417</v>
      </c>
      <c r="M1020" s="133" t="s">
        <v>2417</v>
      </c>
      <c r="N1020" s="133" t="s">
        <v>2417</v>
      </c>
      <c r="O1020" s="133" t="s">
        <v>2417</v>
      </c>
      <c r="P1020" s="133" t="s">
        <v>2417</v>
      </c>
      <c r="Q1020" s="133" t="s">
        <v>2417</v>
      </c>
      <c r="R1020" s="133" t="s">
        <v>2417</v>
      </c>
      <c r="S1020" s="133" t="s">
        <v>2417</v>
      </c>
      <c r="T1020" s="133" t="s">
        <v>2417</v>
      </c>
      <c r="U1020" s="133" t="s">
        <v>2417</v>
      </c>
      <c r="V1020" s="133" t="s">
        <v>2417</v>
      </c>
      <c r="W1020" s="133" t="s">
        <v>2417</v>
      </c>
      <c r="X1020" s="133" t="s">
        <v>2417</v>
      </c>
      <c r="Y1020" s="133" t="s">
        <v>2417</v>
      </c>
      <c r="Z1020" s="133" t="s">
        <v>2417</v>
      </c>
      <c r="AA1020" s="133" t="s">
        <v>2417</v>
      </c>
      <c r="AB1020" s="133" t="s">
        <v>2417</v>
      </c>
      <c r="AC1020" s="133" t="s">
        <v>2417</v>
      </c>
      <c r="AD1020" s="133" t="s">
        <v>2417</v>
      </c>
      <c r="AE1020" s="57"/>
    </row>
    <row r="1021" spans="1:31" ht="20.399999999999999" outlineLevel="2">
      <c r="A1021" s="428" t="s">
        <v>2109</v>
      </c>
      <c r="B1021" s="350"/>
      <c r="C1021" s="350"/>
      <c r="D1021" s="351"/>
      <c r="E1021" s="133" t="s">
        <v>2417</v>
      </c>
      <c r="F1021" s="133" t="s">
        <v>592</v>
      </c>
      <c r="G1021" s="133" t="s">
        <v>2417</v>
      </c>
      <c r="H1021" s="133" t="s">
        <v>2417</v>
      </c>
      <c r="I1021" s="134" t="s">
        <v>2418</v>
      </c>
      <c r="J1021" s="133" t="s">
        <v>2417</v>
      </c>
      <c r="K1021" s="133" t="s">
        <v>2417</v>
      </c>
      <c r="L1021" s="133" t="s">
        <v>2417</v>
      </c>
      <c r="M1021" s="133" t="s">
        <v>2417</v>
      </c>
      <c r="N1021" s="133" t="s">
        <v>2417</v>
      </c>
      <c r="O1021" s="133" t="s">
        <v>2417</v>
      </c>
      <c r="P1021" s="133" t="s">
        <v>2417</v>
      </c>
      <c r="Q1021" s="133" t="s">
        <v>2417</v>
      </c>
      <c r="R1021" s="133" t="s">
        <v>2417</v>
      </c>
      <c r="S1021" s="133" t="s">
        <v>2417</v>
      </c>
      <c r="T1021" s="133" t="s">
        <v>2417</v>
      </c>
      <c r="U1021" s="133" t="s">
        <v>2417</v>
      </c>
      <c r="V1021" s="133" t="s">
        <v>2417</v>
      </c>
      <c r="W1021" s="133" t="s">
        <v>2417</v>
      </c>
      <c r="X1021" s="133" t="s">
        <v>2417</v>
      </c>
      <c r="Y1021" s="133" t="s">
        <v>2417</v>
      </c>
      <c r="Z1021" s="133" t="s">
        <v>2417</v>
      </c>
      <c r="AA1021" s="133" t="s">
        <v>2417</v>
      </c>
      <c r="AB1021" s="133" t="s">
        <v>2417</v>
      </c>
      <c r="AC1021" s="133" t="s">
        <v>2417</v>
      </c>
      <c r="AD1021" s="133" t="s">
        <v>2417</v>
      </c>
      <c r="AE1021" s="183"/>
    </row>
    <row r="1022" spans="1:31" ht="20.399999999999999" outlineLevel="3">
      <c r="A1022" s="68" t="s">
        <v>2110</v>
      </c>
      <c r="B1022" s="64"/>
      <c r="C1022" s="360" t="s">
        <v>2111</v>
      </c>
      <c r="D1022" s="351"/>
      <c r="E1022" s="133" t="s">
        <v>2417</v>
      </c>
      <c r="F1022" s="133" t="s">
        <v>592</v>
      </c>
      <c r="G1022" s="133" t="s">
        <v>2417</v>
      </c>
      <c r="H1022" s="133" t="s">
        <v>2417</v>
      </c>
      <c r="I1022" s="134" t="s">
        <v>2418</v>
      </c>
      <c r="J1022" s="133" t="s">
        <v>2417</v>
      </c>
      <c r="K1022" s="133" t="s">
        <v>2417</v>
      </c>
      <c r="L1022" s="133" t="s">
        <v>2417</v>
      </c>
      <c r="M1022" s="133" t="s">
        <v>2417</v>
      </c>
      <c r="N1022" s="133" t="s">
        <v>2417</v>
      </c>
      <c r="O1022" s="133" t="s">
        <v>2417</v>
      </c>
      <c r="P1022" s="133" t="s">
        <v>2417</v>
      </c>
      <c r="Q1022" s="133" t="s">
        <v>2417</v>
      </c>
      <c r="R1022" s="133" t="s">
        <v>2417</v>
      </c>
      <c r="S1022" s="133" t="s">
        <v>2417</v>
      </c>
      <c r="T1022" s="133" t="s">
        <v>2417</v>
      </c>
      <c r="U1022" s="133" t="s">
        <v>2417</v>
      </c>
      <c r="V1022" s="133" t="s">
        <v>2417</v>
      </c>
      <c r="W1022" s="133" t="s">
        <v>2417</v>
      </c>
      <c r="X1022" s="133" t="s">
        <v>2417</v>
      </c>
      <c r="Y1022" s="133" t="s">
        <v>2417</v>
      </c>
      <c r="Z1022" s="133" t="s">
        <v>2417</v>
      </c>
      <c r="AA1022" s="133" t="s">
        <v>2417</v>
      </c>
      <c r="AB1022" s="133" t="s">
        <v>2417</v>
      </c>
      <c r="AC1022" s="133" t="s">
        <v>2417</v>
      </c>
      <c r="AD1022" s="133" t="s">
        <v>2417</v>
      </c>
      <c r="AE1022" s="123"/>
    </row>
    <row r="1023" spans="1:31" ht="20.399999999999999" outlineLevel="3">
      <c r="A1023" s="68" t="s">
        <v>2112</v>
      </c>
      <c r="B1023" s="97" t="s">
        <v>2060</v>
      </c>
      <c r="C1023" s="429" t="s">
        <v>2113</v>
      </c>
      <c r="D1023" s="351"/>
      <c r="E1023" s="133" t="s">
        <v>2417</v>
      </c>
      <c r="F1023" s="133" t="s">
        <v>592</v>
      </c>
      <c r="G1023" s="133" t="s">
        <v>2417</v>
      </c>
      <c r="H1023" s="133" t="s">
        <v>2417</v>
      </c>
      <c r="I1023" s="133" t="s">
        <v>2417</v>
      </c>
      <c r="J1023" s="133" t="s">
        <v>2417</v>
      </c>
      <c r="K1023" s="133" t="s">
        <v>2417</v>
      </c>
      <c r="L1023" s="133" t="s">
        <v>2417</v>
      </c>
      <c r="M1023" s="133" t="s">
        <v>2417</v>
      </c>
      <c r="N1023" s="133" t="s">
        <v>2417</v>
      </c>
      <c r="O1023" s="133" t="s">
        <v>2417</v>
      </c>
      <c r="P1023" s="133" t="s">
        <v>2417</v>
      </c>
      <c r="Q1023" s="133" t="s">
        <v>2417</v>
      </c>
      <c r="R1023" s="133" t="s">
        <v>2417</v>
      </c>
      <c r="S1023" s="133" t="s">
        <v>2417</v>
      </c>
      <c r="T1023" s="133" t="s">
        <v>2417</v>
      </c>
      <c r="U1023" s="133" t="s">
        <v>2417</v>
      </c>
      <c r="V1023" s="133" t="s">
        <v>2417</v>
      </c>
      <c r="W1023" s="133" t="s">
        <v>2417</v>
      </c>
      <c r="X1023" s="133" t="s">
        <v>2417</v>
      </c>
      <c r="Y1023" s="133" t="s">
        <v>2417</v>
      </c>
      <c r="Z1023" s="133" t="s">
        <v>2417</v>
      </c>
      <c r="AA1023" s="133" t="s">
        <v>2417</v>
      </c>
      <c r="AB1023" s="133" t="s">
        <v>2417</v>
      </c>
      <c r="AC1023" s="133" t="s">
        <v>2417</v>
      </c>
      <c r="AD1023" s="133" t="s">
        <v>2417</v>
      </c>
      <c r="AE1023" s="184"/>
    </row>
    <row r="1024" spans="1:31" ht="20.399999999999999" outlineLevel="3">
      <c r="A1024" s="68" t="s">
        <v>2114</v>
      </c>
      <c r="B1024" s="97" t="s">
        <v>2115</v>
      </c>
      <c r="C1024" s="429" t="s">
        <v>2116</v>
      </c>
      <c r="D1024" s="351"/>
      <c r="E1024" s="133" t="s">
        <v>2417</v>
      </c>
      <c r="F1024" s="133" t="s">
        <v>592</v>
      </c>
      <c r="G1024" s="133" t="s">
        <v>2417</v>
      </c>
      <c r="H1024" s="133" t="s">
        <v>2417</v>
      </c>
      <c r="I1024" s="133" t="s">
        <v>2417</v>
      </c>
      <c r="J1024" s="133" t="s">
        <v>2417</v>
      </c>
      <c r="K1024" s="133" t="s">
        <v>2417</v>
      </c>
      <c r="L1024" s="133" t="s">
        <v>2417</v>
      </c>
      <c r="M1024" s="133" t="s">
        <v>2417</v>
      </c>
      <c r="N1024" s="133" t="s">
        <v>2417</v>
      </c>
      <c r="O1024" s="133" t="s">
        <v>2417</v>
      </c>
      <c r="P1024" s="133" t="s">
        <v>2417</v>
      </c>
      <c r="Q1024" s="133" t="s">
        <v>2417</v>
      </c>
      <c r="R1024" s="133" t="s">
        <v>2417</v>
      </c>
      <c r="S1024" s="133" t="s">
        <v>2417</v>
      </c>
      <c r="T1024" s="133" t="s">
        <v>2417</v>
      </c>
      <c r="U1024" s="133" t="s">
        <v>2417</v>
      </c>
      <c r="V1024" s="133" t="s">
        <v>2417</v>
      </c>
      <c r="W1024" s="133" t="s">
        <v>2417</v>
      </c>
      <c r="X1024" s="133" t="s">
        <v>2417</v>
      </c>
      <c r="Y1024" s="133" t="s">
        <v>2417</v>
      </c>
      <c r="Z1024" s="133" t="s">
        <v>2417</v>
      </c>
      <c r="AA1024" s="133" t="s">
        <v>2417</v>
      </c>
      <c r="AB1024" s="133" t="s">
        <v>2417</v>
      </c>
      <c r="AC1024" s="133" t="s">
        <v>2417</v>
      </c>
      <c r="AD1024" s="133" t="s">
        <v>2417</v>
      </c>
      <c r="AE1024" s="184"/>
    </row>
    <row r="1025" spans="1:31" ht="20.399999999999999" outlineLevel="3">
      <c r="A1025" s="68" t="s">
        <v>2117</v>
      </c>
      <c r="B1025" s="97" t="s">
        <v>2118</v>
      </c>
      <c r="C1025" s="429" t="s">
        <v>2119</v>
      </c>
      <c r="D1025" s="351"/>
      <c r="E1025" s="133" t="s">
        <v>2417</v>
      </c>
      <c r="F1025" s="133" t="s">
        <v>592</v>
      </c>
      <c r="G1025" s="133" t="s">
        <v>2417</v>
      </c>
      <c r="H1025" s="133" t="s">
        <v>2417</v>
      </c>
      <c r="I1025" s="133" t="s">
        <v>2417</v>
      </c>
      <c r="J1025" s="133" t="s">
        <v>2417</v>
      </c>
      <c r="K1025" s="133" t="s">
        <v>2417</v>
      </c>
      <c r="L1025" s="133" t="s">
        <v>2417</v>
      </c>
      <c r="M1025" s="133" t="s">
        <v>2417</v>
      </c>
      <c r="N1025" s="133" t="s">
        <v>2417</v>
      </c>
      <c r="O1025" s="133" t="s">
        <v>2417</v>
      </c>
      <c r="P1025" s="133" t="s">
        <v>2417</v>
      </c>
      <c r="Q1025" s="133" t="s">
        <v>2417</v>
      </c>
      <c r="R1025" s="133" t="s">
        <v>2417</v>
      </c>
      <c r="S1025" s="133" t="s">
        <v>2417</v>
      </c>
      <c r="T1025" s="133" t="s">
        <v>2417</v>
      </c>
      <c r="U1025" s="133" t="s">
        <v>2417</v>
      </c>
      <c r="V1025" s="133" t="s">
        <v>2417</v>
      </c>
      <c r="W1025" s="133" t="s">
        <v>2417</v>
      </c>
      <c r="X1025" s="133" t="s">
        <v>2417</v>
      </c>
      <c r="Y1025" s="133" t="s">
        <v>2417</v>
      </c>
      <c r="Z1025" s="133" t="s">
        <v>2417</v>
      </c>
      <c r="AA1025" s="133" t="s">
        <v>2417</v>
      </c>
      <c r="AB1025" s="133" t="s">
        <v>2417</v>
      </c>
      <c r="AC1025" s="133" t="s">
        <v>2417</v>
      </c>
      <c r="AD1025" s="133" t="s">
        <v>2417</v>
      </c>
      <c r="AE1025" s="184"/>
    </row>
    <row r="1026" spans="1:31" ht="20.399999999999999" outlineLevel="3">
      <c r="A1026" s="68" t="s">
        <v>2120</v>
      </c>
      <c r="B1026" s="102" t="s">
        <v>2066</v>
      </c>
      <c r="C1026" s="427" t="s">
        <v>2902</v>
      </c>
      <c r="D1026" s="351"/>
      <c r="E1026" s="133" t="s">
        <v>2417</v>
      </c>
      <c r="F1026" s="133" t="s">
        <v>592</v>
      </c>
      <c r="G1026" s="133" t="s">
        <v>2417</v>
      </c>
      <c r="H1026" s="133" t="s">
        <v>2417</v>
      </c>
      <c r="I1026" s="133" t="s">
        <v>2417</v>
      </c>
      <c r="J1026" s="133" t="s">
        <v>2417</v>
      </c>
      <c r="K1026" s="133" t="s">
        <v>2417</v>
      </c>
      <c r="L1026" s="133" t="s">
        <v>2417</v>
      </c>
      <c r="M1026" s="133" t="s">
        <v>2417</v>
      </c>
      <c r="N1026" s="133" t="s">
        <v>2417</v>
      </c>
      <c r="O1026" s="133" t="s">
        <v>2417</v>
      </c>
      <c r="P1026" s="133" t="s">
        <v>2417</v>
      </c>
      <c r="Q1026" s="133" t="s">
        <v>2417</v>
      </c>
      <c r="R1026" s="133" t="s">
        <v>2417</v>
      </c>
      <c r="S1026" s="133" t="s">
        <v>2417</v>
      </c>
      <c r="T1026" s="133" t="s">
        <v>2417</v>
      </c>
      <c r="U1026" s="133" t="s">
        <v>2417</v>
      </c>
      <c r="V1026" s="133" t="s">
        <v>2417</v>
      </c>
      <c r="W1026" s="133" t="s">
        <v>2417</v>
      </c>
      <c r="X1026" s="133" t="s">
        <v>2417</v>
      </c>
      <c r="Y1026" s="133" t="s">
        <v>2417</v>
      </c>
      <c r="Z1026" s="133" t="s">
        <v>2417</v>
      </c>
      <c r="AA1026" s="133" t="s">
        <v>2417</v>
      </c>
      <c r="AB1026" s="133" t="s">
        <v>2417</v>
      </c>
      <c r="AC1026" s="133" t="s">
        <v>2417</v>
      </c>
      <c r="AD1026" s="133" t="s">
        <v>2417</v>
      </c>
      <c r="AE1026" s="180"/>
    </row>
    <row r="1027" spans="1:31" ht="20.399999999999999" outlineLevel="3">
      <c r="A1027" s="68" t="s">
        <v>2122</v>
      </c>
      <c r="B1027" s="97" t="s">
        <v>2072</v>
      </c>
      <c r="C1027" s="427" t="s">
        <v>2903</v>
      </c>
      <c r="D1027" s="351"/>
      <c r="E1027" s="133" t="s">
        <v>2417</v>
      </c>
      <c r="F1027" s="133" t="s">
        <v>592</v>
      </c>
      <c r="G1027" s="133" t="s">
        <v>2417</v>
      </c>
      <c r="H1027" s="133" t="s">
        <v>2417</v>
      </c>
      <c r="I1027" s="133" t="s">
        <v>2417</v>
      </c>
      <c r="J1027" s="133" t="s">
        <v>2417</v>
      </c>
      <c r="K1027" s="133" t="s">
        <v>2417</v>
      </c>
      <c r="L1027" s="133" t="s">
        <v>2417</v>
      </c>
      <c r="M1027" s="133" t="s">
        <v>2417</v>
      </c>
      <c r="N1027" s="133" t="s">
        <v>2417</v>
      </c>
      <c r="O1027" s="133" t="s">
        <v>2417</v>
      </c>
      <c r="P1027" s="133" t="s">
        <v>2417</v>
      </c>
      <c r="Q1027" s="133" t="s">
        <v>2417</v>
      </c>
      <c r="R1027" s="133" t="s">
        <v>2417</v>
      </c>
      <c r="S1027" s="133" t="s">
        <v>2417</v>
      </c>
      <c r="T1027" s="133" t="s">
        <v>2417</v>
      </c>
      <c r="U1027" s="133" t="s">
        <v>2417</v>
      </c>
      <c r="V1027" s="133" t="s">
        <v>2417</v>
      </c>
      <c r="W1027" s="133" t="s">
        <v>2417</v>
      </c>
      <c r="X1027" s="133" t="s">
        <v>2417</v>
      </c>
      <c r="Y1027" s="133" t="s">
        <v>2417</v>
      </c>
      <c r="Z1027" s="133" t="s">
        <v>2417</v>
      </c>
      <c r="AA1027" s="133" t="s">
        <v>2417</v>
      </c>
      <c r="AB1027" s="133" t="s">
        <v>2417</v>
      </c>
      <c r="AC1027" s="133" t="s">
        <v>2417</v>
      </c>
      <c r="AD1027" s="133" t="s">
        <v>2417</v>
      </c>
      <c r="AE1027" s="180"/>
    </row>
    <row r="1028" spans="1:31" ht="20.399999999999999" outlineLevel="3">
      <c r="A1028" s="68" t="s">
        <v>2124</v>
      </c>
      <c r="B1028" s="97" t="s">
        <v>2104</v>
      </c>
      <c r="C1028" s="427" t="s">
        <v>2105</v>
      </c>
      <c r="D1028" s="351"/>
      <c r="E1028" s="133" t="s">
        <v>2417</v>
      </c>
      <c r="F1028" s="133" t="s">
        <v>592</v>
      </c>
      <c r="G1028" s="133" t="s">
        <v>2417</v>
      </c>
      <c r="H1028" s="133" t="s">
        <v>2417</v>
      </c>
      <c r="I1028" s="133" t="s">
        <v>2417</v>
      </c>
      <c r="J1028" s="133" t="s">
        <v>2417</v>
      </c>
      <c r="K1028" s="133" t="s">
        <v>2417</v>
      </c>
      <c r="L1028" s="133" t="s">
        <v>2417</v>
      </c>
      <c r="M1028" s="133" t="s">
        <v>2417</v>
      </c>
      <c r="N1028" s="133" t="s">
        <v>2417</v>
      </c>
      <c r="O1028" s="133" t="s">
        <v>2417</v>
      </c>
      <c r="P1028" s="133" t="s">
        <v>2417</v>
      </c>
      <c r="Q1028" s="133" t="s">
        <v>2417</v>
      </c>
      <c r="R1028" s="133" t="s">
        <v>2417</v>
      </c>
      <c r="S1028" s="133" t="s">
        <v>2417</v>
      </c>
      <c r="T1028" s="133" t="s">
        <v>2417</v>
      </c>
      <c r="U1028" s="133" t="s">
        <v>2417</v>
      </c>
      <c r="V1028" s="133" t="s">
        <v>2417</v>
      </c>
      <c r="W1028" s="133" t="s">
        <v>2417</v>
      </c>
      <c r="X1028" s="133" t="s">
        <v>2417</v>
      </c>
      <c r="Y1028" s="133" t="s">
        <v>2417</v>
      </c>
      <c r="Z1028" s="133" t="s">
        <v>2417</v>
      </c>
      <c r="AA1028" s="133" t="s">
        <v>2417</v>
      </c>
      <c r="AB1028" s="133" t="s">
        <v>2417</v>
      </c>
      <c r="AC1028" s="133" t="s">
        <v>2417</v>
      </c>
      <c r="AD1028" s="133" t="s">
        <v>2417</v>
      </c>
      <c r="AE1028" s="180"/>
    </row>
    <row r="1029" spans="1:31" ht="20.399999999999999" outlineLevel="3">
      <c r="A1029" s="68" t="s">
        <v>2125</v>
      </c>
      <c r="B1029" s="97" t="s">
        <v>2081</v>
      </c>
      <c r="C1029" s="427" t="s">
        <v>2904</v>
      </c>
      <c r="D1029" s="351"/>
      <c r="E1029" s="133" t="s">
        <v>2417</v>
      </c>
      <c r="F1029" s="133" t="s">
        <v>592</v>
      </c>
      <c r="G1029" s="133" t="s">
        <v>2417</v>
      </c>
      <c r="H1029" s="133" t="s">
        <v>2417</v>
      </c>
      <c r="I1029" s="133" t="s">
        <v>2417</v>
      </c>
      <c r="J1029" s="133" t="s">
        <v>2417</v>
      </c>
      <c r="K1029" s="133" t="s">
        <v>2417</v>
      </c>
      <c r="L1029" s="133" t="s">
        <v>2417</v>
      </c>
      <c r="M1029" s="133" t="s">
        <v>2417</v>
      </c>
      <c r="N1029" s="133" t="s">
        <v>2417</v>
      </c>
      <c r="O1029" s="133" t="s">
        <v>2417</v>
      </c>
      <c r="P1029" s="133" t="s">
        <v>2417</v>
      </c>
      <c r="Q1029" s="133" t="s">
        <v>2417</v>
      </c>
      <c r="R1029" s="133" t="s">
        <v>2417</v>
      </c>
      <c r="S1029" s="133" t="s">
        <v>2417</v>
      </c>
      <c r="T1029" s="133" t="s">
        <v>2417</v>
      </c>
      <c r="U1029" s="133" t="s">
        <v>2417</v>
      </c>
      <c r="V1029" s="133" t="s">
        <v>2417</v>
      </c>
      <c r="W1029" s="133" t="s">
        <v>2417</v>
      </c>
      <c r="X1029" s="133" t="s">
        <v>2417</v>
      </c>
      <c r="Y1029" s="133" t="s">
        <v>2417</v>
      </c>
      <c r="Z1029" s="133" t="s">
        <v>2417</v>
      </c>
      <c r="AA1029" s="133" t="s">
        <v>2417</v>
      </c>
      <c r="AB1029" s="133" t="s">
        <v>2417</v>
      </c>
      <c r="AC1029" s="133" t="s">
        <v>2417</v>
      </c>
      <c r="AD1029" s="133" t="s">
        <v>2417</v>
      </c>
      <c r="AE1029" s="180"/>
    </row>
    <row r="1030" spans="1:31" ht="20.399999999999999" outlineLevel="3">
      <c r="A1030" s="68" t="s">
        <v>2127</v>
      </c>
      <c r="B1030" s="62" t="s">
        <v>1895</v>
      </c>
      <c r="C1030" s="392" t="s">
        <v>1954</v>
      </c>
      <c r="D1030" s="351"/>
      <c r="E1030" s="133" t="s">
        <v>2417</v>
      </c>
      <c r="F1030" s="133" t="s">
        <v>592</v>
      </c>
      <c r="G1030" s="133" t="s">
        <v>2417</v>
      </c>
      <c r="H1030" s="133" t="s">
        <v>2417</v>
      </c>
      <c r="I1030" s="133" t="s">
        <v>2417</v>
      </c>
      <c r="J1030" s="133" t="s">
        <v>2417</v>
      </c>
      <c r="K1030" s="133" t="s">
        <v>2417</v>
      </c>
      <c r="L1030" s="133" t="s">
        <v>2417</v>
      </c>
      <c r="M1030" s="133" t="s">
        <v>2417</v>
      </c>
      <c r="N1030" s="133" t="s">
        <v>2417</v>
      </c>
      <c r="O1030" s="133" t="s">
        <v>2417</v>
      </c>
      <c r="P1030" s="133" t="s">
        <v>2417</v>
      </c>
      <c r="Q1030" s="133" t="s">
        <v>2417</v>
      </c>
      <c r="R1030" s="133" t="s">
        <v>2417</v>
      </c>
      <c r="S1030" s="133" t="s">
        <v>2417</v>
      </c>
      <c r="T1030" s="133" t="s">
        <v>2417</v>
      </c>
      <c r="U1030" s="133" t="s">
        <v>2417</v>
      </c>
      <c r="V1030" s="133" t="s">
        <v>2417</v>
      </c>
      <c r="W1030" s="133" t="s">
        <v>2417</v>
      </c>
      <c r="X1030" s="133" t="s">
        <v>2417</v>
      </c>
      <c r="Y1030" s="133" t="s">
        <v>2417</v>
      </c>
      <c r="Z1030" s="133" t="s">
        <v>2417</v>
      </c>
      <c r="AA1030" s="133" t="s">
        <v>2417</v>
      </c>
      <c r="AB1030" s="133" t="s">
        <v>2417</v>
      </c>
      <c r="AC1030" s="133" t="s">
        <v>2417</v>
      </c>
      <c r="AD1030" s="133" t="s">
        <v>2417</v>
      </c>
      <c r="AE1030" s="57"/>
    </row>
    <row r="1031" spans="1:31" ht="13.2" outlineLevel="2">
      <c r="A1031" s="428" t="s">
        <v>2128</v>
      </c>
      <c r="B1031" s="350"/>
      <c r="C1031" s="350"/>
      <c r="D1031" s="351"/>
      <c r="E1031" s="133" t="s">
        <v>2417</v>
      </c>
      <c r="F1031" s="133" t="s">
        <v>2426</v>
      </c>
      <c r="G1031" s="133" t="s">
        <v>2417</v>
      </c>
      <c r="H1031" s="133" t="s">
        <v>2417</v>
      </c>
      <c r="I1031" s="134" t="s">
        <v>2418</v>
      </c>
      <c r="J1031" s="133" t="s">
        <v>2417</v>
      </c>
      <c r="K1031" s="133" t="s">
        <v>2417</v>
      </c>
      <c r="L1031" s="133" t="s">
        <v>2417</v>
      </c>
      <c r="M1031" s="133" t="s">
        <v>2417</v>
      </c>
      <c r="N1031" s="133" t="s">
        <v>2417</v>
      </c>
      <c r="O1031" s="133" t="s">
        <v>2417</v>
      </c>
      <c r="P1031" s="133" t="s">
        <v>2417</v>
      </c>
      <c r="Q1031" s="133" t="s">
        <v>2417</v>
      </c>
      <c r="R1031" s="133" t="s">
        <v>2417</v>
      </c>
      <c r="S1031" s="133" t="s">
        <v>2417</v>
      </c>
      <c r="T1031" s="133" t="s">
        <v>2417</v>
      </c>
      <c r="U1031" s="133" t="s">
        <v>2417</v>
      </c>
      <c r="V1031" s="133" t="s">
        <v>2417</v>
      </c>
      <c r="W1031" s="133" t="s">
        <v>2417</v>
      </c>
      <c r="X1031" s="133" t="s">
        <v>2417</v>
      </c>
      <c r="Y1031" s="133" t="s">
        <v>2417</v>
      </c>
      <c r="Z1031" s="133" t="s">
        <v>2417</v>
      </c>
      <c r="AA1031" s="133" t="s">
        <v>2417</v>
      </c>
      <c r="AB1031" s="133" t="s">
        <v>2417</v>
      </c>
      <c r="AC1031" s="133" t="s">
        <v>2417</v>
      </c>
      <c r="AD1031" s="133" t="s">
        <v>2417</v>
      </c>
      <c r="AE1031" s="183"/>
    </row>
    <row r="1032" spans="1:31" ht="13.2" outlineLevel="3">
      <c r="A1032" s="68" t="s">
        <v>2129</v>
      </c>
      <c r="B1032" s="103"/>
      <c r="C1032" s="360" t="s">
        <v>2130</v>
      </c>
      <c r="D1032" s="351"/>
      <c r="E1032" s="133" t="s">
        <v>2417</v>
      </c>
      <c r="F1032" s="133" t="s">
        <v>2426</v>
      </c>
      <c r="G1032" s="133" t="s">
        <v>2417</v>
      </c>
      <c r="H1032" s="133" t="s">
        <v>2417</v>
      </c>
      <c r="I1032" s="134" t="s">
        <v>2418</v>
      </c>
      <c r="J1032" s="133" t="s">
        <v>2417</v>
      </c>
      <c r="K1032" s="133" t="s">
        <v>2417</v>
      </c>
      <c r="L1032" s="133" t="s">
        <v>2417</v>
      </c>
      <c r="M1032" s="133" t="s">
        <v>2417</v>
      </c>
      <c r="N1032" s="133" t="s">
        <v>2417</v>
      </c>
      <c r="O1032" s="133" t="s">
        <v>2417</v>
      </c>
      <c r="P1032" s="133" t="s">
        <v>2417</v>
      </c>
      <c r="Q1032" s="133" t="s">
        <v>2417</v>
      </c>
      <c r="R1032" s="133" t="s">
        <v>2417</v>
      </c>
      <c r="S1032" s="133" t="s">
        <v>2417</v>
      </c>
      <c r="T1032" s="133" t="s">
        <v>2417</v>
      </c>
      <c r="U1032" s="133" t="s">
        <v>2417</v>
      </c>
      <c r="V1032" s="133" t="s">
        <v>2417</v>
      </c>
      <c r="W1032" s="133" t="s">
        <v>2417</v>
      </c>
      <c r="X1032" s="133" t="s">
        <v>2417</v>
      </c>
      <c r="Y1032" s="133" t="s">
        <v>2417</v>
      </c>
      <c r="Z1032" s="133" t="s">
        <v>2417</v>
      </c>
      <c r="AA1032" s="133" t="s">
        <v>2417</v>
      </c>
      <c r="AB1032" s="133" t="s">
        <v>2417</v>
      </c>
      <c r="AC1032" s="133" t="s">
        <v>2417</v>
      </c>
      <c r="AD1032" s="133" t="s">
        <v>2417</v>
      </c>
      <c r="AE1032" s="123"/>
    </row>
    <row r="1033" spans="1:31" ht="13.2" outlineLevel="3">
      <c r="A1033" s="68" t="s">
        <v>2131</v>
      </c>
      <c r="B1033" s="97" t="s">
        <v>2132</v>
      </c>
      <c r="C1033" s="429" t="s">
        <v>2133</v>
      </c>
      <c r="D1033" s="351"/>
      <c r="E1033" s="133" t="s">
        <v>2417</v>
      </c>
      <c r="F1033" s="133" t="s">
        <v>2426</v>
      </c>
      <c r="G1033" s="133" t="s">
        <v>2417</v>
      </c>
      <c r="H1033" s="133" t="s">
        <v>2417</v>
      </c>
      <c r="I1033" s="133" t="s">
        <v>2417</v>
      </c>
      <c r="J1033" s="133" t="s">
        <v>2417</v>
      </c>
      <c r="K1033" s="133" t="s">
        <v>2417</v>
      </c>
      <c r="L1033" s="133" t="s">
        <v>2417</v>
      </c>
      <c r="M1033" s="133" t="s">
        <v>2417</v>
      </c>
      <c r="N1033" s="133" t="s">
        <v>2417</v>
      </c>
      <c r="O1033" s="133" t="s">
        <v>2417</v>
      </c>
      <c r="P1033" s="133" t="s">
        <v>2417</v>
      </c>
      <c r="Q1033" s="133" t="s">
        <v>2417</v>
      </c>
      <c r="R1033" s="133" t="s">
        <v>2417</v>
      </c>
      <c r="S1033" s="133" t="s">
        <v>2417</v>
      </c>
      <c r="T1033" s="133" t="s">
        <v>2417</v>
      </c>
      <c r="U1033" s="133" t="s">
        <v>2417</v>
      </c>
      <c r="V1033" s="133" t="s">
        <v>2417</v>
      </c>
      <c r="W1033" s="133" t="s">
        <v>2417</v>
      </c>
      <c r="X1033" s="133" t="s">
        <v>2417</v>
      </c>
      <c r="Y1033" s="133" t="s">
        <v>2417</v>
      </c>
      <c r="Z1033" s="133" t="s">
        <v>2417</v>
      </c>
      <c r="AA1033" s="133" t="s">
        <v>2417</v>
      </c>
      <c r="AB1033" s="133" t="s">
        <v>2417</v>
      </c>
      <c r="AC1033" s="133" t="s">
        <v>2417</v>
      </c>
      <c r="AD1033" s="133" t="s">
        <v>2417</v>
      </c>
      <c r="AE1033" s="184"/>
    </row>
    <row r="1034" spans="1:31" ht="13.2" outlineLevel="2">
      <c r="A1034" s="428" t="s">
        <v>2134</v>
      </c>
      <c r="B1034" s="350"/>
      <c r="C1034" s="350"/>
      <c r="D1034" s="351"/>
      <c r="E1034" s="133" t="s">
        <v>2417</v>
      </c>
      <c r="F1034" s="133" t="s">
        <v>2396</v>
      </c>
      <c r="G1034" s="133" t="s">
        <v>2417</v>
      </c>
      <c r="H1034" s="133" t="s">
        <v>2417</v>
      </c>
      <c r="I1034" s="134" t="s">
        <v>2418</v>
      </c>
      <c r="J1034" s="133" t="s">
        <v>2417</v>
      </c>
      <c r="K1034" s="133" t="s">
        <v>2417</v>
      </c>
      <c r="L1034" s="133" t="s">
        <v>2417</v>
      </c>
      <c r="M1034" s="133" t="s">
        <v>2417</v>
      </c>
      <c r="N1034" s="133" t="s">
        <v>2417</v>
      </c>
      <c r="O1034" s="133" t="s">
        <v>2417</v>
      </c>
      <c r="P1034" s="133" t="s">
        <v>2417</v>
      </c>
      <c r="Q1034" s="133" t="s">
        <v>2417</v>
      </c>
      <c r="R1034" s="133" t="s">
        <v>2417</v>
      </c>
      <c r="S1034" s="133" t="s">
        <v>2417</v>
      </c>
      <c r="T1034" s="133" t="s">
        <v>2417</v>
      </c>
      <c r="U1034" s="133" t="s">
        <v>2417</v>
      </c>
      <c r="V1034" s="133" t="s">
        <v>2417</v>
      </c>
      <c r="W1034" s="133" t="s">
        <v>2417</v>
      </c>
      <c r="X1034" s="133" t="s">
        <v>2417</v>
      </c>
      <c r="Y1034" s="133" t="s">
        <v>2417</v>
      </c>
      <c r="Z1034" s="133" t="s">
        <v>2417</v>
      </c>
      <c r="AA1034" s="133" t="s">
        <v>2417</v>
      </c>
      <c r="AB1034" s="133" t="s">
        <v>2417</v>
      </c>
      <c r="AC1034" s="133" t="s">
        <v>2417</v>
      </c>
      <c r="AD1034" s="133" t="s">
        <v>2417</v>
      </c>
      <c r="AE1034" s="183"/>
    </row>
    <row r="1035" spans="1:31" ht="13.2" outlineLevel="3">
      <c r="A1035" s="68" t="s">
        <v>2135</v>
      </c>
      <c r="B1035" s="103"/>
      <c r="C1035" s="360" t="s">
        <v>2136</v>
      </c>
      <c r="D1035" s="351"/>
      <c r="E1035" s="133" t="s">
        <v>2417</v>
      </c>
      <c r="F1035" s="133" t="s">
        <v>2396</v>
      </c>
      <c r="G1035" s="133" t="s">
        <v>2417</v>
      </c>
      <c r="H1035" s="133" t="s">
        <v>2417</v>
      </c>
      <c r="I1035" s="134" t="s">
        <v>2418</v>
      </c>
      <c r="J1035" s="133" t="s">
        <v>2417</v>
      </c>
      <c r="K1035" s="133" t="s">
        <v>2417</v>
      </c>
      <c r="L1035" s="133" t="s">
        <v>2417</v>
      </c>
      <c r="M1035" s="133" t="s">
        <v>2417</v>
      </c>
      <c r="N1035" s="133" t="s">
        <v>2417</v>
      </c>
      <c r="O1035" s="133" t="s">
        <v>2417</v>
      </c>
      <c r="P1035" s="133" t="s">
        <v>2417</v>
      </c>
      <c r="Q1035" s="133" t="s">
        <v>2417</v>
      </c>
      <c r="R1035" s="133" t="s">
        <v>2417</v>
      </c>
      <c r="S1035" s="133" t="s">
        <v>2417</v>
      </c>
      <c r="T1035" s="133" t="s">
        <v>2417</v>
      </c>
      <c r="U1035" s="133" t="s">
        <v>2417</v>
      </c>
      <c r="V1035" s="133" t="s">
        <v>2417</v>
      </c>
      <c r="W1035" s="133" t="s">
        <v>2417</v>
      </c>
      <c r="X1035" s="133" t="s">
        <v>2417</v>
      </c>
      <c r="Y1035" s="133" t="s">
        <v>2417</v>
      </c>
      <c r="Z1035" s="133" t="s">
        <v>2417</v>
      </c>
      <c r="AA1035" s="133" t="s">
        <v>2417</v>
      </c>
      <c r="AB1035" s="133" t="s">
        <v>2417</v>
      </c>
      <c r="AC1035" s="133" t="s">
        <v>2417</v>
      </c>
      <c r="AD1035" s="133" t="s">
        <v>2417</v>
      </c>
      <c r="AE1035" s="123"/>
    </row>
    <row r="1036" spans="1:31" ht="13.2" outlineLevel="1">
      <c r="A1036" s="386" t="s">
        <v>2137</v>
      </c>
      <c r="B1036" s="350"/>
      <c r="C1036" s="350"/>
      <c r="D1036" s="351"/>
      <c r="E1036" s="133" t="s">
        <v>2417</v>
      </c>
      <c r="F1036" s="133" t="s">
        <v>2417</v>
      </c>
      <c r="G1036" s="133" t="s">
        <v>2417</v>
      </c>
      <c r="H1036" s="133" t="s">
        <v>2417</v>
      </c>
      <c r="I1036" s="133" t="s">
        <v>2417</v>
      </c>
      <c r="J1036" s="133" t="s">
        <v>2417</v>
      </c>
      <c r="K1036" s="133" t="s">
        <v>2417</v>
      </c>
      <c r="L1036" s="133" t="s">
        <v>2417</v>
      </c>
      <c r="M1036" s="133" t="s">
        <v>2417</v>
      </c>
      <c r="N1036" s="133" t="s">
        <v>2417</v>
      </c>
      <c r="O1036" s="133" t="s">
        <v>2417</v>
      </c>
      <c r="P1036" s="133" t="s">
        <v>2417</v>
      </c>
      <c r="Q1036" s="133" t="s">
        <v>2417</v>
      </c>
      <c r="R1036" s="133" t="s">
        <v>2417</v>
      </c>
      <c r="S1036" s="133" t="s">
        <v>2417</v>
      </c>
      <c r="T1036" s="133" t="s">
        <v>2417</v>
      </c>
      <c r="U1036" s="133" t="s">
        <v>2417</v>
      </c>
      <c r="V1036" s="133" t="s">
        <v>2417</v>
      </c>
      <c r="W1036" s="133" t="s">
        <v>2417</v>
      </c>
      <c r="X1036" s="133" t="s">
        <v>2417</v>
      </c>
      <c r="Y1036" s="133" t="s">
        <v>2417</v>
      </c>
      <c r="Z1036" s="133" t="s">
        <v>2417</v>
      </c>
      <c r="AA1036" s="133" t="s">
        <v>2417</v>
      </c>
      <c r="AB1036" s="133" t="s">
        <v>2417</v>
      </c>
      <c r="AC1036" s="133" t="s">
        <v>2417</v>
      </c>
      <c r="AD1036" s="133" t="s">
        <v>2417</v>
      </c>
      <c r="AE1036" s="139"/>
    </row>
    <row r="1037" spans="1:31" ht="20.399999999999999" outlineLevel="2">
      <c r="A1037" s="68" t="s">
        <v>2138</v>
      </c>
      <c r="B1037" s="65" t="s">
        <v>2139</v>
      </c>
      <c r="C1037" s="360" t="s">
        <v>2140</v>
      </c>
      <c r="D1037" s="351"/>
      <c r="E1037" s="133" t="s">
        <v>2417</v>
      </c>
      <c r="F1037" s="133" t="s">
        <v>2417</v>
      </c>
      <c r="G1037" s="133" t="s">
        <v>2417</v>
      </c>
      <c r="H1037" s="133" t="s">
        <v>2417</v>
      </c>
      <c r="I1037" s="133" t="s">
        <v>2417</v>
      </c>
      <c r="J1037" s="133" t="s">
        <v>2417</v>
      </c>
      <c r="K1037" s="133" t="s">
        <v>2417</v>
      </c>
      <c r="L1037" s="133" t="s">
        <v>2417</v>
      </c>
      <c r="M1037" s="133" t="s">
        <v>2417</v>
      </c>
      <c r="N1037" s="133" t="s">
        <v>2417</v>
      </c>
      <c r="O1037" s="133" t="s">
        <v>2417</v>
      </c>
      <c r="P1037" s="133" t="s">
        <v>2417</v>
      </c>
      <c r="Q1037" s="133" t="s">
        <v>2417</v>
      </c>
      <c r="R1037" s="133" t="s">
        <v>2417</v>
      </c>
      <c r="S1037" s="133" t="s">
        <v>2417</v>
      </c>
      <c r="T1037" s="133" t="s">
        <v>2417</v>
      </c>
      <c r="U1037" s="133" t="s">
        <v>2417</v>
      </c>
      <c r="V1037" s="133" t="s">
        <v>2417</v>
      </c>
      <c r="W1037" s="133" t="s">
        <v>2417</v>
      </c>
      <c r="X1037" s="133" t="s">
        <v>2417</v>
      </c>
      <c r="Y1037" s="133" t="s">
        <v>2417</v>
      </c>
      <c r="Z1037" s="133" t="s">
        <v>2417</v>
      </c>
      <c r="AA1037" s="133" t="s">
        <v>2417</v>
      </c>
      <c r="AB1037" s="133" t="s">
        <v>2417</v>
      </c>
      <c r="AC1037" s="133" t="s">
        <v>2417</v>
      </c>
      <c r="AD1037" s="133" t="s">
        <v>2417</v>
      </c>
      <c r="AE1037" s="123"/>
    </row>
    <row r="1038" spans="1:31" ht="13.2" hidden="1" outlineLevel="2">
      <c r="A1038" s="68" t="s">
        <v>2905</v>
      </c>
      <c r="B1038" s="104"/>
      <c r="C1038" s="387" t="s">
        <v>2906</v>
      </c>
      <c r="D1038" s="351"/>
      <c r="E1038" s="132" t="s">
        <v>2417</v>
      </c>
      <c r="F1038" s="132" t="s">
        <v>2417</v>
      </c>
      <c r="G1038" s="132" t="s">
        <v>2417</v>
      </c>
      <c r="H1038" s="132" t="s">
        <v>2417</v>
      </c>
      <c r="I1038" s="132" t="s">
        <v>2417</v>
      </c>
      <c r="J1038" s="132" t="s">
        <v>2417</v>
      </c>
      <c r="K1038" s="132" t="s">
        <v>2417</v>
      </c>
      <c r="L1038" s="132" t="s">
        <v>2417</v>
      </c>
      <c r="M1038" s="132" t="s">
        <v>2417</v>
      </c>
      <c r="N1038" s="132" t="s">
        <v>2417</v>
      </c>
      <c r="O1038" s="132" t="s">
        <v>2417</v>
      </c>
      <c r="P1038" s="132" t="s">
        <v>2417</v>
      </c>
      <c r="Q1038" s="132" t="s">
        <v>2417</v>
      </c>
      <c r="R1038" s="132" t="s">
        <v>2417</v>
      </c>
      <c r="S1038" s="132" t="s">
        <v>2417</v>
      </c>
      <c r="T1038" s="132" t="s">
        <v>2417</v>
      </c>
      <c r="U1038" s="132" t="s">
        <v>2417</v>
      </c>
      <c r="V1038" s="132" t="s">
        <v>2417</v>
      </c>
      <c r="W1038" s="132" t="s">
        <v>2417</v>
      </c>
      <c r="X1038" s="132" t="s">
        <v>2417</v>
      </c>
      <c r="Y1038" s="132" t="s">
        <v>2417</v>
      </c>
      <c r="Z1038" s="132" t="s">
        <v>2417</v>
      </c>
      <c r="AA1038" s="132" t="s">
        <v>2417</v>
      </c>
      <c r="AB1038" s="132" t="s">
        <v>2417</v>
      </c>
      <c r="AC1038" s="132" t="s">
        <v>2417</v>
      </c>
      <c r="AD1038" s="133" t="s">
        <v>2441</v>
      </c>
      <c r="AE1038" s="176"/>
    </row>
    <row r="1039" spans="1:31" ht="20.399999999999999" outlineLevel="2">
      <c r="A1039" s="390" t="s">
        <v>2141</v>
      </c>
      <c r="B1039" s="350"/>
      <c r="C1039" s="350"/>
      <c r="D1039" s="351"/>
      <c r="E1039" s="133" t="s">
        <v>2856</v>
      </c>
      <c r="F1039" s="133" t="s">
        <v>2421</v>
      </c>
      <c r="G1039" s="133" t="s">
        <v>2417</v>
      </c>
      <c r="H1039" s="133" t="s">
        <v>2417</v>
      </c>
      <c r="I1039" s="134" t="s">
        <v>2418</v>
      </c>
      <c r="J1039" s="133" t="s">
        <v>2417</v>
      </c>
      <c r="K1039" s="133" t="s">
        <v>2417</v>
      </c>
      <c r="L1039" s="133" t="s">
        <v>2417</v>
      </c>
      <c r="M1039" s="133" t="s">
        <v>2417</v>
      </c>
      <c r="N1039" s="133" t="s">
        <v>2417</v>
      </c>
      <c r="O1039" s="133" t="s">
        <v>2417</v>
      </c>
      <c r="P1039" s="133" t="s">
        <v>2417</v>
      </c>
      <c r="Q1039" s="133" t="s">
        <v>2417</v>
      </c>
      <c r="R1039" s="133" t="s">
        <v>2417</v>
      </c>
      <c r="S1039" s="133" t="s">
        <v>2417</v>
      </c>
      <c r="T1039" s="133" t="s">
        <v>2417</v>
      </c>
      <c r="U1039" s="133" t="s">
        <v>2417</v>
      </c>
      <c r="V1039" s="133" t="s">
        <v>2417</v>
      </c>
      <c r="W1039" s="133" t="s">
        <v>2417</v>
      </c>
      <c r="X1039" s="133" t="s">
        <v>2417</v>
      </c>
      <c r="Y1039" s="133" t="s">
        <v>2417</v>
      </c>
      <c r="Z1039" s="133" t="s">
        <v>2417</v>
      </c>
      <c r="AA1039" s="133" t="s">
        <v>2417</v>
      </c>
      <c r="AB1039" s="133" t="s">
        <v>2417</v>
      </c>
      <c r="AC1039" s="133" t="s">
        <v>2417</v>
      </c>
      <c r="AD1039" s="133" t="s">
        <v>2417</v>
      </c>
      <c r="AE1039" s="176"/>
    </row>
    <row r="1040" spans="1:31" ht="30.6" outlineLevel="3">
      <c r="A1040" s="68" t="s">
        <v>2142</v>
      </c>
      <c r="B1040" s="65" t="s">
        <v>2143</v>
      </c>
      <c r="C1040" s="387" t="s">
        <v>2907</v>
      </c>
      <c r="D1040" s="351"/>
      <c r="E1040" s="133" t="s">
        <v>2856</v>
      </c>
      <c r="F1040" s="133" t="s">
        <v>2421</v>
      </c>
      <c r="G1040" s="133" t="s">
        <v>2417</v>
      </c>
      <c r="H1040" s="133" t="s">
        <v>2417</v>
      </c>
      <c r="I1040" s="134" t="s">
        <v>2418</v>
      </c>
      <c r="J1040" s="59" t="s">
        <v>2427</v>
      </c>
      <c r="K1040" s="133" t="s">
        <v>2417</v>
      </c>
      <c r="L1040" s="133" t="s">
        <v>2417</v>
      </c>
      <c r="M1040" s="133" t="s">
        <v>2417</v>
      </c>
      <c r="N1040" s="133" t="s">
        <v>2417</v>
      </c>
      <c r="O1040" s="133" t="s">
        <v>2417</v>
      </c>
      <c r="P1040" s="133" t="s">
        <v>2417</v>
      </c>
      <c r="Q1040" s="133" t="s">
        <v>2417</v>
      </c>
      <c r="R1040" s="133" t="s">
        <v>2417</v>
      </c>
      <c r="S1040" s="133" t="s">
        <v>2417</v>
      </c>
      <c r="T1040" s="133" t="s">
        <v>2417</v>
      </c>
      <c r="U1040" s="133" t="s">
        <v>2417</v>
      </c>
      <c r="V1040" s="133" t="s">
        <v>2417</v>
      </c>
      <c r="W1040" s="133" t="s">
        <v>2417</v>
      </c>
      <c r="X1040" s="133" t="s">
        <v>2417</v>
      </c>
      <c r="Y1040" s="133" t="s">
        <v>2417</v>
      </c>
      <c r="Z1040" s="133" t="s">
        <v>2417</v>
      </c>
      <c r="AA1040" s="133" t="s">
        <v>2417</v>
      </c>
      <c r="AB1040" s="133" t="s">
        <v>2417</v>
      </c>
      <c r="AC1040" s="133" t="s">
        <v>2417</v>
      </c>
      <c r="AD1040" s="133" t="s">
        <v>2417</v>
      </c>
      <c r="AE1040" s="59"/>
    </row>
    <row r="1041" spans="1:31" ht="20.399999999999999" hidden="1" outlineLevel="3">
      <c r="A1041" s="68" t="s">
        <v>2142</v>
      </c>
      <c r="B1041" s="65" t="s">
        <v>2908</v>
      </c>
      <c r="C1041" s="360" t="s">
        <v>2909</v>
      </c>
      <c r="D1041" s="351"/>
      <c r="E1041" s="133" t="s">
        <v>2856</v>
      </c>
      <c r="F1041" s="133" t="s">
        <v>2421</v>
      </c>
      <c r="G1041" s="133" t="s">
        <v>2417</v>
      </c>
      <c r="H1041" s="133" t="s">
        <v>2417</v>
      </c>
      <c r="I1041" s="134" t="s">
        <v>2418</v>
      </c>
      <c r="J1041" s="133" t="s">
        <v>2430</v>
      </c>
      <c r="K1041" s="133" t="s">
        <v>2417</v>
      </c>
      <c r="L1041" s="133" t="s">
        <v>2417</v>
      </c>
      <c r="M1041" s="133" t="s">
        <v>2417</v>
      </c>
      <c r="N1041" s="133" t="s">
        <v>2417</v>
      </c>
      <c r="O1041" s="133" t="s">
        <v>2417</v>
      </c>
      <c r="P1041" s="133" t="s">
        <v>2417</v>
      </c>
      <c r="Q1041" s="133" t="s">
        <v>2417</v>
      </c>
      <c r="R1041" s="133" t="s">
        <v>2417</v>
      </c>
      <c r="S1041" s="133" t="s">
        <v>2417</v>
      </c>
      <c r="T1041" s="133" t="s">
        <v>2417</v>
      </c>
      <c r="U1041" s="133" t="s">
        <v>2417</v>
      </c>
      <c r="V1041" s="133" t="s">
        <v>2417</v>
      </c>
      <c r="W1041" s="133" t="s">
        <v>2417</v>
      </c>
      <c r="X1041" s="133" t="s">
        <v>2417</v>
      </c>
      <c r="Y1041" s="133" t="s">
        <v>2417</v>
      </c>
      <c r="Z1041" s="133" t="s">
        <v>2417</v>
      </c>
      <c r="AA1041" s="133" t="s">
        <v>2417</v>
      </c>
      <c r="AB1041" s="133" t="s">
        <v>2417</v>
      </c>
      <c r="AC1041" s="133" t="s">
        <v>2417</v>
      </c>
      <c r="AD1041" s="133" t="s">
        <v>2417</v>
      </c>
      <c r="AE1041" s="137"/>
    </row>
    <row r="1042" spans="1:31" ht="13.2" hidden="1" outlineLevel="2">
      <c r="A1042" s="390" t="s">
        <v>2910</v>
      </c>
      <c r="B1042" s="350"/>
      <c r="C1042" s="350"/>
      <c r="D1042" s="351"/>
      <c r="E1042" s="133" t="s">
        <v>2565</v>
      </c>
      <c r="F1042" s="133" t="s">
        <v>2421</v>
      </c>
      <c r="G1042" s="133" t="s">
        <v>2417</v>
      </c>
      <c r="H1042" s="133" t="s">
        <v>2417</v>
      </c>
      <c r="I1042" s="134" t="s">
        <v>2418</v>
      </c>
      <c r="J1042" s="133" t="s">
        <v>2417</v>
      </c>
      <c r="K1042" s="133" t="s">
        <v>2417</v>
      </c>
      <c r="L1042" s="133" t="s">
        <v>2417</v>
      </c>
      <c r="M1042" s="133" t="s">
        <v>2417</v>
      </c>
      <c r="N1042" s="133" t="s">
        <v>2417</v>
      </c>
      <c r="O1042" s="133" t="s">
        <v>2417</v>
      </c>
      <c r="P1042" s="133" t="s">
        <v>2417</v>
      </c>
      <c r="Q1042" s="133" t="s">
        <v>2417</v>
      </c>
      <c r="R1042" s="133" t="s">
        <v>2417</v>
      </c>
      <c r="S1042" s="133" t="s">
        <v>2417</v>
      </c>
      <c r="T1042" s="133" t="s">
        <v>2417</v>
      </c>
      <c r="U1042" s="133" t="s">
        <v>2417</v>
      </c>
      <c r="V1042" s="133" t="s">
        <v>2417</v>
      </c>
      <c r="W1042" s="133" t="s">
        <v>2417</v>
      </c>
      <c r="X1042" s="133" t="s">
        <v>2417</v>
      </c>
      <c r="Y1042" s="133" t="s">
        <v>2417</v>
      </c>
      <c r="Z1042" s="133" t="s">
        <v>2417</v>
      </c>
      <c r="AA1042" s="133" t="s">
        <v>2417</v>
      </c>
      <c r="AB1042" s="133" t="s">
        <v>2417</v>
      </c>
      <c r="AC1042" s="133" t="s">
        <v>2417</v>
      </c>
      <c r="AD1042" s="133" t="s">
        <v>2417</v>
      </c>
      <c r="AE1042" s="195"/>
    </row>
    <row r="1043" spans="1:31" ht="30.6" hidden="1" outlineLevel="3">
      <c r="A1043" s="61" t="s">
        <v>2142</v>
      </c>
      <c r="B1043" s="65" t="s">
        <v>2911</v>
      </c>
      <c r="C1043" s="360" t="s">
        <v>2912</v>
      </c>
      <c r="D1043" s="351"/>
      <c r="E1043" s="133" t="s">
        <v>2565</v>
      </c>
      <c r="F1043" s="133" t="s">
        <v>2421</v>
      </c>
      <c r="G1043" s="133" t="s">
        <v>2417</v>
      </c>
      <c r="H1043" s="133" t="s">
        <v>2417</v>
      </c>
      <c r="I1043" s="134" t="s">
        <v>2418</v>
      </c>
      <c r="J1043" s="59" t="s">
        <v>2427</v>
      </c>
      <c r="K1043" s="133" t="s">
        <v>2417</v>
      </c>
      <c r="L1043" s="133" t="s">
        <v>2417</v>
      </c>
      <c r="M1043" s="133" t="s">
        <v>2417</v>
      </c>
      <c r="N1043" s="133" t="s">
        <v>2417</v>
      </c>
      <c r="O1043" s="133" t="s">
        <v>2417</v>
      </c>
      <c r="P1043" s="133" t="s">
        <v>2417</v>
      </c>
      <c r="Q1043" s="133" t="s">
        <v>2417</v>
      </c>
      <c r="R1043" s="133" t="s">
        <v>2417</v>
      </c>
      <c r="S1043" s="133" t="s">
        <v>2417</v>
      </c>
      <c r="T1043" s="133" t="s">
        <v>2417</v>
      </c>
      <c r="U1043" s="133" t="s">
        <v>2417</v>
      </c>
      <c r="V1043" s="133" t="s">
        <v>2417</v>
      </c>
      <c r="W1043" s="133" t="s">
        <v>2417</v>
      </c>
      <c r="X1043" s="133" t="s">
        <v>2417</v>
      </c>
      <c r="Y1043" s="133" t="s">
        <v>2417</v>
      </c>
      <c r="Z1043" s="133" t="s">
        <v>2417</v>
      </c>
      <c r="AA1043" s="133" t="s">
        <v>2417</v>
      </c>
      <c r="AB1043" s="133" t="s">
        <v>2417</v>
      </c>
      <c r="AC1043" s="133" t="s">
        <v>2417</v>
      </c>
      <c r="AD1043" s="133" t="s">
        <v>2417</v>
      </c>
      <c r="AE1043" s="137"/>
    </row>
    <row r="1044" spans="1:31" ht="20.399999999999999" hidden="1" outlineLevel="3">
      <c r="A1044" s="61" t="s">
        <v>2142</v>
      </c>
      <c r="B1044" s="65" t="s">
        <v>2913</v>
      </c>
      <c r="C1044" s="360" t="s">
        <v>2914</v>
      </c>
      <c r="D1044" s="351"/>
      <c r="E1044" s="133" t="s">
        <v>2565</v>
      </c>
      <c r="F1044" s="133" t="s">
        <v>2421</v>
      </c>
      <c r="G1044" s="133" t="s">
        <v>2417</v>
      </c>
      <c r="H1044" s="133" t="s">
        <v>2417</v>
      </c>
      <c r="I1044" s="134" t="s">
        <v>2418</v>
      </c>
      <c r="J1044" s="133" t="s">
        <v>2430</v>
      </c>
      <c r="K1044" s="133" t="s">
        <v>2417</v>
      </c>
      <c r="L1044" s="133" t="s">
        <v>2417</v>
      </c>
      <c r="M1044" s="133" t="s">
        <v>2417</v>
      </c>
      <c r="N1044" s="133" t="s">
        <v>2417</v>
      </c>
      <c r="O1044" s="133" t="s">
        <v>2417</v>
      </c>
      <c r="P1044" s="133" t="s">
        <v>2417</v>
      </c>
      <c r="Q1044" s="133" t="s">
        <v>2417</v>
      </c>
      <c r="R1044" s="133" t="s">
        <v>2417</v>
      </c>
      <c r="S1044" s="133" t="s">
        <v>2417</v>
      </c>
      <c r="T1044" s="133" t="s">
        <v>2417</v>
      </c>
      <c r="U1044" s="133" t="s">
        <v>2417</v>
      </c>
      <c r="V1044" s="133" t="s">
        <v>2417</v>
      </c>
      <c r="W1044" s="133" t="s">
        <v>2417</v>
      </c>
      <c r="X1044" s="133" t="s">
        <v>2417</v>
      </c>
      <c r="Y1044" s="133" t="s">
        <v>2417</v>
      </c>
      <c r="Z1044" s="133" t="s">
        <v>2417</v>
      </c>
      <c r="AA1044" s="133" t="s">
        <v>2417</v>
      </c>
      <c r="AB1044" s="133" t="s">
        <v>2417</v>
      </c>
      <c r="AC1044" s="133" t="s">
        <v>2417</v>
      </c>
      <c r="AD1044" s="133" t="s">
        <v>2417</v>
      </c>
      <c r="AE1044" s="137"/>
    </row>
    <row r="1045" spans="1:31" ht="20.399999999999999" outlineLevel="3">
      <c r="A1045" s="68" t="s">
        <v>2145</v>
      </c>
      <c r="B1045" s="62" t="s">
        <v>2146</v>
      </c>
      <c r="C1045" s="387" t="s">
        <v>2147</v>
      </c>
      <c r="D1045" s="351"/>
      <c r="E1045" s="133" t="s">
        <v>2417</v>
      </c>
      <c r="F1045" s="133" t="s">
        <v>2421</v>
      </c>
      <c r="G1045" s="133" t="s">
        <v>2417</v>
      </c>
      <c r="H1045" s="133" t="s">
        <v>2417</v>
      </c>
      <c r="I1045" s="133" t="s">
        <v>2417</v>
      </c>
      <c r="J1045" s="133" t="s">
        <v>2417</v>
      </c>
      <c r="K1045" s="133" t="s">
        <v>2417</v>
      </c>
      <c r="L1045" s="133" t="s">
        <v>2417</v>
      </c>
      <c r="M1045" s="133" t="s">
        <v>2417</v>
      </c>
      <c r="N1045" s="133" t="s">
        <v>2417</v>
      </c>
      <c r="O1045" s="133" t="s">
        <v>2417</v>
      </c>
      <c r="P1045" s="133" t="s">
        <v>2417</v>
      </c>
      <c r="Q1045" s="133" t="s">
        <v>2417</v>
      </c>
      <c r="R1045" s="133" t="s">
        <v>2417</v>
      </c>
      <c r="S1045" s="133" t="s">
        <v>2417</v>
      </c>
      <c r="T1045" s="133" t="s">
        <v>2417</v>
      </c>
      <c r="U1045" s="133" t="s">
        <v>2417</v>
      </c>
      <c r="V1045" s="133" t="s">
        <v>2417</v>
      </c>
      <c r="W1045" s="133" t="s">
        <v>2417</v>
      </c>
      <c r="X1045" s="133" t="s">
        <v>2417</v>
      </c>
      <c r="Y1045" s="133" t="s">
        <v>2417</v>
      </c>
      <c r="Z1045" s="133" t="s">
        <v>2417</v>
      </c>
      <c r="AA1045" s="133" t="s">
        <v>2417</v>
      </c>
      <c r="AB1045" s="133" t="s">
        <v>2417</v>
      </c>
      <c r="AC1045" s="133" t="s">
        <v>2417</v>
      </c>
      <c r="AD1045" s="133" t="s">
        <v>2417</v>
      </c>
      <c r="AE1045" s="59"/>
    </row>
    <row r="1046" spans="1:31" ht="20.399999999999999" outlineLevel="3">
      <c r="A1046" s="68" t="s">
        <v>2148</v>
      </c>
      <c r="B1046" s="62" t="s">
        <v>2149</v>
      </c>
      <c r="C1046" s="396" t="s">
        <v>2915</v>
      </c>
      <c r="D1046" s="351"/>
      <c r="E1046" s="133" t="s">
        <v>2417</v>
      </c>
      <c r="F1046" s="133" t="s">
        <v>2421</v>
      </c>
      <c r="G1046" s="133" t="s">
        <v>2417</v>
      </c>
      <c r="H1046" s="133" t="s">
        <v>2417</v>
      </c>
      <c r="I1046" s="133" t="s">
        <v>2417</v>
      </c>
      <c r="J1046" s="133" t="s">
        <v>2417</v>
      </c>
      <c r="K1046" s="133" t="s">
        <v>2417</v>
      </c>
      <c r="L1046" s="133" t="s">
        <v>2417</v>
      </c>
      <c r="M1046" s="133" t="s">
        <v>2417</v>
      </c>
      <c r="N1046" s="133" t="s">
        <v>2417</v>
      </c>
      <c r="O1046" s="133" t="s">
        <v>2417</v>
      </c>
      <c r="P1046" s="133" t="s">
        <v>2417</v>
      </c>
      <c r="Q1046" s="133" t="s">
        <v>2417</v>
      </c>
      <c r="R1046" s="133" t="s">
        <v>2417</v>
      </c>
      <c r="S1046" s="133" t="s">
        <v>2417</v>
      </c>
      <c r="T1046" s="133" t="s">
        <v>2417</v>
      </c>
      <c r="U1046" s="133" t="s">
        <v>2417</v>
      </c>
      <c r="V1046" s="133" t="s">
        <v>2417</v>
      </c>
      <c r="W1046" s="133" t="s">
        <v>2417</v>
      </c>
      <c r="X1046" s="133" t="s">
        <v>2417</v>
      </c>
      <c r="Y1046" s="133" t="s">
        <v>2417</v>
      </c>
      <c r="Z1046" s="133" t="s">
        <v>2417</v>
      </c>
      <c r="AA1046" s="133" t="s">
        <v>2417</v>
      </c>
      <c r="AB1046" s="133" t="s">
        <v>2417</v>
      </c>
      <c r="AC1046" s="133" t="s">
        <v>2417</v>
      </c>
      <c r="AD1046" s="133" t="s">
        <v>2417</v>
      </c>
      <c r="AE1046" s="167"/>
    </row>
    <row r="1047" spans="1:31" ht="20.399999999999999" outlineLevel="3">
      <c r="A1047" s="68" t="s">
        <v>2151</v>
      </c>
      <c r="B1047" s="62" t="s">
        <v>2152</v>
      </c>
      <c r="C1047" s="431" t="s">
        <v>2153</v>
      </c>
      <c r="D1047" s="351"/>
      <c r="E1047" s="133" t="s">
        <v>2417</v>
      </c>
      <c r="F1047" s="133" t="s">
        <v>2421</v>
      </c>
      <c r="G1047" s="133" t="s">
        <v>2417</v>
      </c>
      <c r="H1047" s="133" t="s">
        <v>2417</v>
      </c>
      <c r="I1047" s="133" t="s">
        <v>2417</v>
      </c>
      <c r="J1047" s="133" t="s">
        <v>2417</v>
      </c>
      <c r="K1047" s="133" t="s">
        <v>2417</v>
      </c>
      <c r="L1047" s="133" t="s">
        <v>2417</v>
      </c>
      <c r="M1047" s="133" t="s">
        <v>2417</v>
      </c>
      <c r="N1047" s="133" t="s">
        <v>2417</v>
      </c>
      <c r="O1047" s="133" t="s">
        <v>2417</v>
      </c>
      <c r="P1047" s="133" t="s">
        <v>2417</v>
      </c>
      <c r="Q1047" s="133" t="s">
        <v>2417</v>
      </c>
      <c r="R1047" s="133" t="s">
        <v>2417</v>
      </c>
      <c r="S1047" s="133" t="s">
        <v>2417</v>
      </c>
      <c r="T1047" s="133" t="s">
        <v>2417</v>
      </c>
      <c r="U1047" s="133" t="s">
        <v>2417</v>
      </c>
      <c r="V1047" s="133" t="s">
        <v>2417</v>
      </c>
      <c r="W1047" s="133" t="s">
        <v>2417</v>
      </c>
      <c r="X1047" s="133" t="s">
        <v>2417</v>
      </c>
      <c r="Y1047" s="133" t="s">
        <v>2417</v>
      </c>
      <c r="Z1047" s="133" t="s">
        <v>2417</v>
      </c>
      <c r="AA1047" s="133" t="s">
        <v>2417</v>
      </c>
      <c r="AB1047" s="133" t="s">
        <v>2417</v>
      </c>
      <c r="AC1047" s="133" t="s">
        <v>2417</v>
      </c>
      <c r="AD1047" s="133" t="s">
        <v>2417</v>
      </c>
      <c r="AE1047" s="196"/>
    </row>
    <row r="1048" spans="1:31" ht="13.2" outlineLevel="3">
      <c r="A1048" s="68" t="s">
        <v>2154</v>
      </c>
      <c r="B1048" s="62" t="s">
        <v>2155</v>
      </c>
      <c r="C1048" s="431" t="s">
        <v>2156</v>
      </c>
      <c r="D1048" s="351"/>
      <c r="E1048" s="133" t="s">
        <v>2417</v>
      </c>
      <c r="F1048" s="133" t="s">
        <v>2421</v>
      </c>
      <c r="G1048" s="133" t="s">
        <v>2417</v>
      </c>
      <c r="H1048" s="133" t="s">
        <v>2417</v>
      </c>
      <c r="I1048" s="133" t="s">
        <v>2417</v>
      </c>
      <c r="J1048" s="133" t="s">
        <v>2417</v>
      </c>
      <c r="K1048" s="133" t="s">
        <v>2417</v>
      </c>
      <c r="L1048" s="133" t="s">
        <v>2417</v>
      </c>
      <c r="M1048" s="133" t="s">
        <v>2417</v>
      </c>
      <c r="N1048" s="133" t="s">
        <v>2417</v>
      </c>
      <c r="O1048" s="133" t="s">
        <v>2417</v>
      </c>
      <c r="P1048" s="133" t="s">
        <v>2417</v>
      </c>
      <c r="Q1048" s="133" t="s">
        <v>2417</v>
      </c>
      <c r="R1048" s="133" t="s">
        <v>2417</v>
      </c>
      <c r="S1048" s="133" t="s">
        <v>2417</v>
      </c>
      <c r="T1048" s="133" t="s">
        <v>2417</v>
      </c>
      <c r="U1048" s="133" t="s">
        <v>2417</v>
      </c>
      <c r="V1048" s="133" t="s">
        <v>2417</v>
      </c>
      <c r="W1048" s="133" t="s">
        <v>2417</v>
      </c>
      <c r="X1048" s="133" t="s">
        <v>2417</v>
      </c>
      <c r="Y1048" s="133" t="s">
        <v>2417</v>
      </c>
      <c r="Z1048" s="133" t="s">
        <v>2417</v>
      </c>
      <c r="AA1048" s="133" t="s">
        <v>2417</v>
      </c>
      <c r="AB1048" s="133" t="s">
        <v>2417</v>
      </c>
      <c r="AC1048" s="133" t="s">
        <v>2417</v>
      </c>
      <c r="AD1048" s="133" t="s">
        <v>2417</v>
      </c>
      <c r="AE1048" s="196"/>
    </row>
    <row r="1049" spans="1:31" ht="20.399999999999999" outlineLevel="3">
      <c r="A1049" s="68" t="s">
        <v>2157</v>
      </c>
      <c r="B1049" s="69" t="s">
        <v>2158</v>
      </c>
      <c r="C1049" s="360" t="s">
        <v>2916</v>
      </c>
      <c r="D1049" s="351"/>
      <c r="E1049" s="133" t="s">
        <v>2417</v>
      </c>
      <c r="F1049" s="133" t="s">
        <v>2421</v>
      </c>
      <c r="G1049" s="133" t="s">
        <v>2417</v>
      </c>
      <c r="H1049" s="133" t="s">
        <v>2417</v>
      </c>
      <c r="I1049" s="133" t="s">
        <v>2417</v>
      </c>
      <c r="J1049" s="133" t="s">
        <v>2417</v>
      </c>
      <c r="K1049" s="133" t="s">
        <v>2417</v>
      </c>
      <c r="L1049" s="133" t="s">
        <v>2417</v>
      </c>
      <c r="M1049" s="133" t="s">
        <v>2417</v>
      </c>
      <c r="N1049" s="133" t="s">
        <v>2417</v>
      </c>
      <c r="O1049" s="133" t="s">
        <v>2417</v>
      </c>
      <c r="P1049" s="133" t="s">
        <v>2417</v>
      </c>
      <c r="Q1049" s="133" t="s">
        <v>2417</v>
      </c>
      <c r="R1049" s="133" t="s">
        <v>2417</v>
      </c>
      <c r="S1049" s="133" t="s">
        <v>2417</v>
      </c>
      <c r="T1049" s="133" t="s">
        <v>2417</v>
      </c>
      <c r="U1049" s="133" t="s">
        <v>2417</v>
      </c>
      <c r="V1049" s="133" t="s">
        <v>2417</v>
      </c>
      <c r="W1049" s="133" t="s">
        <v>2417</v>
      </c>
      <c r="X1049" s="133" t="s">
        <v>2417</v>
      </c>
      <c r="Y1049" s="133" t="s">
        <v>2417</v>
      </c>
      <c r="Z1049" s="133" t="s">
        <v>2417</v>
      </c>
      <c r="AA1049" s="133" t="s">
        <v>2417</v>
      </c>
      <c r="AB1049" s="133" t="s">
        <v>2417</v>
      </c>
      <c r="AC1049" s="133" t="s">
        <v>2417</v>
      </c>
      <c r="AD1049" s="133" t="s">
        <v>2417</v>
      </c>
      <c r="AE1049" s="123"/>
    </row>
    <row r="1050" spans="1:31" ht="30.6" outlineLevel="3">
      <c r="A1050" s="68" t="s">
        <v>2160</v>
      </c>
      <c r="B1050" s="64" t="s">
        <v>2161</v>
      </c>
      <c r="C1050" s="432" t="s">
        <v>2917</v>
      </c>
      <c r="D1050" s="351"/>
      <c r="E1050" s="133" t="s">
        <v>2823</v>
      </c>
      <c r="F1050" s="133" t="s">
        <v>2421</v>
      </c>
      <c r="G1050" s="133" t="s">
        <v>2417</v>
      </c>
      <c r="H1050" s="133" t="s">
        <v>2417</v>
      </c>
      <c r="I1050" s="133" t="s">
        <v>2417</v>
      </c>
      <c r="J1050" s="133" t="s">
        <v>2417</v>
      </c>
      <c r="K1050" s="133" t="s">
        <v>2417</v>
      </c>
      <c r="L1050" s="133" t="s">
        <v>2417</v>
      </c>
      <c r="M1050" s="133" t="s">
        <v>2417</v>
      </c>
      <c r="N1050" s="133" t="s">
        <v>2417</v>
      </c>
      <c r="O1050" s="133" t="s">
        <v>2417</v>
      </c>
      <c r="P1050" s="133" t="s">
        <v>2417</v>
      </c>
      <c r="Q1050" s="133" t="s">
        <v>2417</v>
      </c>
      <c r="R1050" s="133" t="s">
        <v>2417</v>
      </c>
      <c r="S1050" s="133" t="s">
        <v>2417</v>
      </c>
      <c r="T1050" s="133" t="s">
        <v>2417</v>
      </c>
      <c r="U1050" s="133" t="s">
        <v>2417</v>
      </c>
      <c r="V1050" s="133" t="s">
        <v>2417</v>
      </c>
      <c r="W1050" s="133" t="s">
        <v>2417</v>
      </c>
      <c r="X1050" s="133" t="s">
        <v>2417</v>
      </c>
      <c r="Y1050" s="133" t="s">
        <v>2417</v>
      </c>
      <c r="Z1050" s="133" t="s">
        <v>2417</v>
      </c>
      <c r="AA1050" s="133" t="s">
        <v>2417</v>
      </c>
      <c r="AB1050" s="133" t="s">
        <v>2417</v>
      </c>
      <c r="AC1050" s="133" t="s">
        <v>2417</v>
      </c>
      <c r="AD1050" s="133" t="s">
        <v>2417</v>
      </c>
      <c r="AE1050" s="197"/>
    </row>
    <row r="1051" spans="1:31" ht="30.6" outlineLevel="3">
      <c r="A1051" s="68" t="s">
        <v>2163</v>
      </c>
      <c r="B1051" s="64" t="s">
        <v>2164</v>
      </c>
      <c r="C1051" s="432" t="s">
        <v>2918</v>
      </c>
      <c r="D1051" s="351"/>
      <c r="E1051" s="133" t="s">
        <v>2824</v>
      </c>
      <c r="F1051" s="133" t="s">
        <v>2421</v>
      </c>
      <c r="G1051" s="133" t="s">
        <v>2417</v>
      </c>
      <c r="H1051" s="133" t="s">
        <v>2417</v>
      </c>
      <c r="I1051" s="133" t="s">
        <v>2417</v>
      </c>
      <c r="J1051" s="133" t="s">
        <v>2417</v>
      </c>
      <c r="K1051" s="133" t="s">
        <v>2417</v>
      </c>
      <c r="L1051" s="133" t="s">
        <v>2417</v>
      </c>
      <c r="M1051" s="133" t="s">
        <v>2417</v>
      </c>
      <c r="N1051" s="133" t="s">
        <v>2417</v>
      </c>
      <c r="O1051" s="133" t="s">
        <v>2417</v>
      </c>
      <c r="P1051" s="133" t="s">
        <v>2417</v>
      </c>
      <c r="Q1051" s="133" t="s">
        <v>2417</v>
      </c>
      <c r="R1051" s="133" t="s">
        <v>2417</v>
      </c>
      <c r="S1051" s="133" t="s">
        <v>2417</v>
      </c>
      <c r="T1051" s="133" t="s">
        <v>2417</v>
      </c>
      <c r="U1051" s="133" t="s">
        <v>2417</v>
      </c>
      <c r="V1051" s="133" t="s">
        <v>2417</v>
      </c>
      <c r="W1051" s="133" t="s">
        <v>2417</v>
      </c>
      <c r="X1051" s="133" t="s">
        <v>2417</v>
      </c>
      <c r="Y1051" s="133" t="s">
        <v>2417</v>
      </c>
      <c r="Z1051" s="133" t="s">
        <v>2417</v>
      </c>
      <c r="AA1051" s="133" t="s">
        <v>2417</v>
      </c>
      <c r="AB1051" s="133" t="s">
        <v>2417</v>
      </c>
      <c r="AC1051" s="133" t="s">
        <v>2417</v>
      </c>
      <c r="AD1051" s="133" t="s">
        <v>2417</v>
      </c>
      <c r="AE1051" s="197"/>
    </row>
    <row r="1052" spans="1:31" ht="30.6" outlineLevel="3">
      <c r="A1052" s="68" t="s">
        <v>2166</v>
      </c>
      <c r="B1052" s="64" t="s">
        <v>2167</v>
      </c>
      <c r="C1052" s="432" t="s">
        <v>2919</v>
      </c>
      <c r="D1052" s="351"/>
      <c r="E1052" s="133" t="s">
        <v>2546</v>
      </c>
      <c r="F1052" s="133" t="s">
        <v>2421</v>
      </c>
      <c r="G1052" s="133" t="s">
        <v>2417</v>
      </c>
      <c r="H1052" s="133" t="s">
        <v>2417</v>
      </c>
      <c r="I1052" s="133" t="s">
        <v>2417</v>
      </c>
      <c r="J1052" s="133" t="s">
        <v>2417</v>
      </c>
      <c r="K1052" s="133" t="s">
        <v>2417</v>
      </c>
      <c r="L1052" s="133" t="s">
        <v>2417</v>
      </c>
      <c r="M1052" s="133" t="s">
        <v>2417</v>
      </c>
      <c r="N1052" s="133" t="s">
        <v>2417</v>
      </c>
      <c r="O1052" s="133" t="s">
        <v>2417</v>
      </c>
      <c r="P1052" s="133" t="s">
        <v>2417</v>
      </c>
      <c r="Q1052" s="133" t="s">
        <v>2417</v>
      </c>
      <c r="R1052" s="133" t="s">
        <v>2417</v>
      </c>
      <c r="S1052" s="133" t="s">
        <v>2417</v>
      </c>
      <c r="T1052" s="133" t="s">
        <v>2417</v>
      </c>
      <c r="U1052" s="133" t="s">
        <v>2417</v>
      </c>
      <c r="V1052" s="133" t="s">
        <v>2417</v>
      </c>
      <c r="W1052" s="133" t="s">
        <v>2417</v>
      </c>
      <c r="X1052" s="133" t="s">
        <v>2417</v>
      </c>
      <c r="Y1052" s="133" t="s">
        <v>2417</v>
      </c>
      <c r="Z1052" s="133" t="s">
        <v>2417</v>
      </c>
      <c r="AA1052" s="133" t="s">
        <v>2417</v>
      </c>
      <c r="AB1052" s="133" t="s">
        <v>2417</v>
      </c>
      <c r="AC1052" s="133" t="s">
        <v>2417</v>
      </c>
      <c r="AD1052" s="133" t="s">
        <v>2417</v>
      </c>
      <c r="AE1052" s="197"/>
    </row>
    <row r="1053" spans="1:31" ht="30.6" hidden="1" outlineLevel="3">
      <c r="A1053" s="68" t="s">
        <v>2920</v>
      </c>
      <c r="B1053" s="64" t="s">
        <v>2921</v>
      </c>
      <c r="C1053" s="432" t="s">
        <v>2922</v>
      </c>
      <c r="D1053" s="351"/>
      <c r="E1053" s="133" t="s">
        <v>2565</v>
      </c>
      <c r="F1053" s="133" t="s">
        <v>2421</v>
      </c>
      <c r="G1053" s="133" t="s">
        <v>2417</v>
      </c>
      <c r="H1053" s="133" t="s">
        <v>2417</v>
      </c>
      <c r="I1053" s="133" t="s">
        <v>2417</v>
      </c>
      <c r="J1053" s="133" t="s">
        <v>2417</v>
      </c>
      <c r="K1053" s="133" t="s">
        <v>2417</v>
      </c>
      <c r="L1053" s="133" t="s">
        <v>2417</v>
      </c>
      <c r="M1053" s="133" t="s">
        <v>2417</v>
      </c>
      <c r="N1053" s="133" t="s">
        <v>2417</v>
      </c>
      <c r="O1053" s="133" t="s">
        <v>2417</v>
      </c>
      <c r="P1053" s="133" t="s">
        <v>2417</v>
      </c>
      <c r="Q1053" s="133" t="s">
        <v>2417</v>
      </c>
      <c r="R1053" s="133" t="s">
        <v>2417</v>
      </c>
      <c r="S1053" s="133" t="s">
        <v>2417</v>
      </c>
      <c r="T1053" s="133" t="s">
        <v>2417</v>
      </c>
      <c r="U1053" s="133" t="s">
        <v>2417</v>
      </c>
      <c r="V1053" s="133" t="s">
        <v>2417</v>
      </c>
      <c r="W1053" s="133" t="s">
        <v>2417</v>
      </c>
      <c r="X1053" s="133" t="s">
        <v>2417</v>
      </c>
      <c r="Y1053" s="133" t="s">
        <v>2417</v>
      </c>
      <c r="Z1053" s="133" t="s">
        <v>2417</v>
      </c>
      <c r="AA1053" s="133" t="s">
        <v>2417</v>
      </c>
      <c r="AB1053" s="133" t="s">
        <v>2417</v>
      </c>
      <c r="AC1053" s="133" t="s">
        <v>2417</v>
      </c>
      <c r="AD1053" s="133" t="s">
        <v>2417</v>
      </c>
      <c r="AE1053" s="197"/>
    </row>
    <row r="1054" spans="1:31" ht="13.2" outlineLevel="2">
      <c r="A1054" s="390" t="s">
        <v>2169</v>
      </c>
      <c r="B1054" s="350"/>
      <c r="C1054" s="350"/>
      <c r="D1054" s="351"/>
      <c r="E1054" s="133" t="s">
        <v>2417</v>
      </c>
      <c r="F1054" s="133" t="s">
        <v>2587</v>
      </c>
      <c r="G1054" s="133" t="s">
        <v>2417</v>
      </c>
      <c r="H1054" s="133" t="s">
        <v>2417</v>
      </c>
      <c r="I1054" s="134" t="s">
        <v>2418</v>
      </c>
      <c r="J1054" s="133" t="s">
        <v>2417</v>
      </c>
      <c r="K1054" s="133" t="s">
        <v>2417</v>
      </c>
      <c r="L1054" s="133" t="s">
        <v>2417</v>
      </c>
      <c r="M1054" s="133" t="s">
        <v>2417</v>
      </c>
      <c r="N1054" s="133" t="s">
        <v>2417</v>
      </c>
      <c r="O1054" s="133" t="s">
        <v>2417</v>
      </c>
      <c r="P1054" s="133" t="s">
        <v>2417</v>
      </c>
      <c r="Q1054" s="133" t="s">
        <v>2417</v>
      </c>
      <c r="R1054" s="133" t="s">
        <v>2417</v>
      </c>
      <c r="S1054" s="133" t="s">
        <v>2417</v>
      </c>
      <c r="T1054" s="133" t="s">
        <v>2417</v>
      </c>
      <c r="U1054" s="133" t="s">
        <v>2417</v>
      </c>
      <c r="V1054" s="133" t="s">
        <v>2417</v>
      </c>
      <c r="W1054" s="133" t="s">
        <v>2417</v>
      </c>
      <c r="X1054" s="133" t="s">
        <v>2417</v>
      </c>
      <c r="Y1054" s="133" t="s">
        <v>2417</v>
      </c>
      <c r="Z1054" s="133" t="s">
        <v>2417</v>
      </c>
      <c r="AA1054" s="133" t="s">
        <v>2417</v>
      </c>
      <c r="AB1054" s="133" t="s">
        <v>2417</v>
      </c>
      <c r="AC1054" s="133" t="s">
        <v>2417</v>
      </c>
      <c r="AD1054" s="133" t="s">
        <v>2417</v>
      </c>
      <c r="AE1054" s="176"/>
    </row>
    <row r="1055" spans="1:31" ht="13.2" outlineLevel="3">
      <c r="A1055" s="68" t="s">
        <v>2170</v>
      </c>
      <c r="B1055" s="104"/>
      <c r="C1055" s="387" t="s">
        <v>2923</v>
      </c>
      <c r="D1055" s="351"/>
      <c r="E1055" s="133" t="s">
        <v>2417</v>
      </c>
      <c r="F1055" s="133" t="s">
        <v>2587</v>
      </c>
      <c r="G1055" s="133" t="s">
        <v>2417</v>
      </c>
      <c r="H1055" s="133" t="s">
        <v>2417</v>
      </c>
      <c r="I1055" s="134" t="s">
        <v>2418</v>
      </c>
      <c r="J1055" s="133" t="s">
        <v>2417</v>
      </c>
      <c r="K1055" s="133" t="s">
        <v>2417</v>
      </c>
      <c r="L1055" s="133" t="s">
        <v>2417</v>
      </c>
      <c r="M1055" s="133" t="s">
        <v>2417</v>
      </c>
      <c r="N1055" s="133" t="s">
        <v>2417</v>
      </c>
      <c r="O1055" s="133" t="s">
        <v>2417</v>
      </c>
      <c r="P1055" s="133" t="s">
        <v>2417</v>
      </c>
      <c r="Q1055" s="133" t="s">
        <v>2417</v>
      </c>
      <c r="R1055" s="133" t="s">
        <v>2417</v>
      </c>
      <c r="S1055" s="133" t="s">
        <v>2417</v>
      </c>
      <c r="T1055" s="133" t="s">
        <v>2417</v>
      </c>
      <c r="U1055" s="133" t="s">
        <v>2417</v>
      </c>
      <c r="V1055" s="133" t="s">
        <v>2417</v>
      </c>
      <c r="W1055" s="133" t="s">
        <v>2417</v>
      </c>
      <c r="X1055" s="133" t="s">
        <v>2417</v>
      </c>
      <c r="Y1055" s="133" t="s">
        <v>2417</v>
      </c>
      <c r="Z1055" s="133" t="s">
        <v>2417</v>
      </c>
      <c r="AA1055" s="133" t="s">
        <v>2417</v>
      </c>
      <c r="AB1055" s="133" t="s">
        <v>2417</v>
      </c>
      <c r="AC1055" s="133" t="s">
        <v>2417</v>
      </c>
      <c r="AD1055" s="133" t="s">
        <v>2417</v>
      </c>
      <c r="AE1055" s="59"/>
    </row>
    <row r="1056" spans="1:31" ht="13.2" outlineLevel="3">
      <c r="A1056" s="68" t="s">
        <v>2172</v>
      </c>
      <c r="B1056" s="104"/>
      <c r="C1056" s="387" t="s">
        <v>2924</v>
      </c>
      <c r="D1056" s="351"/>
      <c r="E1056" s="133" t="s">
        <v>2417</v>
      </c>
      <c r="F1056" s="133" t="s">
        <v>2587</v>
      </c>
      <c r="G1056" s="133" t="s">
        <v>2417</v>
      </c>
      <c r="H1056" s="133" t="s">
        <v>2417</v>
      </c>
      <c r="I1056" s="133" t="s">
        <v>2417</v>
      </c>
      <c r="J1056" s="133" t="s">
        <v>2417</v>
      </c>
      <c r="K1056" s="133" t="s">
        <v>2417</v>
      </c>
      <c r="L1056" s="133" t="s">
        <v>2417</v>
      </c>
      <c r="M1056" s="133" t="s">
        <v>2417</v>
      </c>
      <c r="N1056" s="133" t="s">
        <v>2417</v>
      </c>
      <c r="O1056" s="133" t="s">
        <v>2417</v>
      </c>
      <c r="P1056" s="133" t="s">
        <v>2417</v>
      </c>
      <c r="Q1056" s="133" t="s">
        <v>2417</v>
      </c>
      <c r="R1056" s="133" t="s">
        <v>2417</v>
      </c>
      <c r="S1056" s="133" t="s">
        <v>2417</v>
      </c>
      <c r="T1056" s="133" t="s">
        <v>2417</v>
      </c>
      <c r="U1056" s="133" t="s">
        <v>2417</v>
      </c>
      <c r="V1056" s="133" t="s">
        <v>2417</v>
      </c>
      <c r="W1056" s="133" t="s">
        <v>2417</v>
      </c>
      <c r="X1056" s="133" t="s">
        <v>2417</v>
      </c>
      <c r="Y1056" s="133" t="s">
        <v>2417</v>
      </c>
      <c r="Z1056" s="133" t="s">
        <v>2417</v>
      </c>
      <c r="AA1056" s="133" t="s">
        <v>2417</v>
      </c>
      <c r="AB1056" s="133" t="s">
        <v>2417</v>
      </c>
      <c r="AC1056" s="133" t="s">
        <v>2417</v>
      </c>
      <c r="AD1056" s="133" t="s">
        <v>2417</v>
      </c>
      <c r="AE1056" s="59"/>
    </row>
    <row r="1057" spans="1:31" ht="20.399999999999999" outlineLevel="3">
      <c r="A1057" s="68" t="s">
        <v>2174</v>
      </c>
      <c r="B1057" s="62" t="s">
        <v>2146</v>
      </c>
      <c r="C1057" s="387" t="s">
        <v>2175</v>
      </c>
      <c r="D1057" s="351"/>
      <c r="E1057" s="133" t="s">
        <v>2417</v>
      </c>
      <c r="F1057" s="133" t="s">
        <v>2587</v>
      </c>
      <c r="G1057" s="133" t="s">
        <v>2417</v>
      </c>
      <c r="H1057" s="133" t="s">
        <v>2417</v>
      </c>
      <c r="I1057" s="133" t="s">
        <v>2417</v>
      </c>
      <c r="J1057" s="133" t="s">
        <v>2417</v>
      </c>
      <c r="K1057" s="133" t="s">
        <v>2417</v>
      </c>
      <c r="L1057" s="133" t="s">
        <v>2417</v>
      </c>
      <c r="M1057" s="133" t="s">
        <v>2417</v>
      </c>
      <c r="N1057" s="133" t="s">
        <v>2417</v>
      </c>
      <c r="O1057" s="133" t="s">
        <v>2417</v>
      </c>
      <c r="P1057" s="133" t="s">
        <v>2417</v>
      </c>
      <c r="Q1057" s="133" t="s">
        <v>2417</v>
      </c>
      <c r="R1057" s="133" t="s">
        <v>2417</v>
      </c>
      <c r="S1057" s="133" t="s">
        <v>2417</v>
      </c>
      <c r="T1057" s="133" t="s">
        <v>2417</v>
      </c>
      <c r="U1057" s="133" t="s">
        <v>2417</v>
      </c>
      <c r="V1057" s="133" t="s">
        <v>2417</v>
      </c>
      <c r="W1057" s="133" t="s">
        <v>2417</v>
      </c>
      <c r="X1057" s="133" t="s">
        <v>2417</v>
      </c>
      <c r="Y1057" s="133" t="s">
        <v>2417</v>
      </c>
      <c r="Z1057" s="133" t="s">
        <v>2417</v>
      </c>
      <c r="AA1057" s="133" t="s">
        <v>2417</v>
      </c>
      <c r="AB1057" s="133" t="s">
        <v>2417</v>
      </c>
      <c r="AC1057" s="133" t="s">
        <v>2417</v>
      </c>
      <c r="AD1057" s="133" t="s">
        <v>2417</v>
      </c>
      <c r="AE1057" s="57"/>
    </row>
    <row r="1058" spans="1:31" ht="20.399999999999999" outlineLevel="3">
      <c r="A1058" s="68" t="s">
        <v>2176</v>
      </c>
      <c r="B1058" s="62" t="s">
        <v>2158</v>
      </c>
      <c r="C1058" s="360" t="s">
        <v>2925</v>
      </c>
      <c r="D1058" s="351"/>
      <c r="E1058" s="133" t="s">
        <v>2417</v>
      </c>
      <c r="F1058" s="133" t="s">
        <v>2587</v>
      </c>
      <c r="G1058" s="133" t="s">
        <v>2417</v>
      </c>
      <c r="H1058" s="133" t="s">
        <v>2417</v>
      </c>
      <c r="I1058" s="133" t="s">
        <v>2417</v>
      </c>
      <c r="J1058" s="133" t="s">
        <v>2417</v>
      </c>
      <c r="K1058" s="133" t="s">
        <v>2417</v>
      </c>
      <c r="L1058" s="133" t="s">
        <v>2417</v>
      </c>
      <c r="M1058" s="133" t="s">
        <v>2417</v>
      </c>
      <c r="N1058" s="133" t="s">
        <v>2417</v>
      </c>
      <c r="O1058" s="133" t="s">
        <v>2417</v>
      </c>
      <c r="P1058" s="133" t="s">
        <v>2417</v>
      </c>
      <c r="Q1058" s="133" t="s">
        <v>2417</v>
      </c>
      <c r="R1058" s="133" t="s">
        <v>2417</v>
      </c>
      <c r="S1058" s="133" t="s">
        <v>2417</v>
      </c>
      <c r="T1058" s="133" t="s">
        <v>2417</v>
      </c>
      <c r="U1058" s="133" t="s">
        <v>2417</v>
      </c>
      <c r="V1058" s="133" t="s">
        <v>2417</v>
      </c>
      <c r="W1058" s="133" t="s">
        <v>2417</v>
      </c>
      <c r="X1058" s="133" t="s">
        <v>2417</v>
      </c>
      <c r="Y1058" s="133" t="s">
        <v>2417</v>
      </c>
      <c r="Z1058" s="133" t="s">
        <v>2417</v>
      </c>
      <c r="AA1058" s="133" t="s">
        <v>2417</v>
      </c>
      <c r="AB1058" s="133" t="s">
        <v>2417</v>
      </c>
      <c r="AC1058" s="133" t="s">
        <v>2417</v>
      </c>
      <c r="AD1058" s="133" t="s">
        <v>2417</v>
      </c>
      <c r="AE1058" s="123"/>
    </row>
    <row r="1059" spans="1:31" ht="13.2" outlineLevel="3">
      <c r="A1059" s="68" t="s">
        <v>2178</v>
      </c>
      <c r="B1059" s="62" t="s">
        <v>2179</v>
      </c>
      <c r="C1059" s="431" t="s">
        <v>2180</v>
      </c>
      <c r="D1059" s="351"/>
      <c r="E1059" s="133" t="s">
        <v>2417</v>
      </c>
      <c r="F1059" s="133" t="s">
        <v>2587</v>
      </c>
      <c r="G1059" s="133" t="s">
        <v>2417</v>
      </c>
      <c r="H1059" s="133" t="s">
        <v>2417</v>
      </c>
      <c r="I1059" s="133" t="s">
        <v>2417</v>
      </c>
      <c r="J1059" s="133" t="s">
        <v>2417</v>
      </c>
      <c r="K1059" s="133" t="s">
        <v>2417</v>
      </c>
      <c r="L1059" s="133" t="s">
        <v>2417</v>
      </c>
      <c r="M1059" s="133" t="s">
        <v>2417</v>
      </c>
      <c r="N1059" s="133" t="s">
        <v>2417</v>
      </c>
      <c r="O1059" s="133" t="s">
        <v>2417</v>
      </c>
      <c r="P1059" s="133" t="s">
        <v>2417</v>
      </c>
      <c r="Q1059" s="133" t="s">
        <v>2417</v>
      </c>
      <c r="R1059" s="133" t="s">
        <v>2417</v>
      </c>
      <c r="S1059" s="133" t="s">
        <v>2417</v>
      </c>
      <c r="T1059" s="133" t="s">
        <v>2417</v>
      </c>
      <c r="U1059" s="133" t="s">
        <v>2417</v>
      </c>
      <c r="V1059" s="133" t="s">
        <v>2417</v>
      </c>
      <c r="W1059" s="133" t="s">
        <v>2417</v>
      </c>
      <c r="X1059" s="133" t="s">
        <v>2417</v>
      </c>
      <c r="Y1059" s="133" t="s">
        <v>2417</v>
      </c>
      <c r="Z1059" s="133" t="s">
        <v>2417</v>
      </c>
      <c r="AA1059" s="133" t="s">
        <v>2417</v>
      </c>
      <c r="AB1059" s="133" t="s">
        <v>2417</v>
      </c>
      <c r="AC1059" s="133" t="s">
        <v>2417</v>
      </c>
      <c r="AD1059" s="133" t="s">
        <v>2417</v>
      </c>
      <c r="AE1059" s="196"/>
    </row>
    <row r="1060" spans="1:31" ht="20.399999999999999" outlineLevel="3">
      <c r="A1060" s="68" t="s">
        <v>2181</v>
      </c>
      <c r="B1060" s="64" t="s">
        <v>2182</v>
      </c>
      <c r="C1060" s="432" t="s">
        <v>2926</v>
      </c>
      <c r="D1060" s="351"/>
      <c r="E1060" s="133" t="s">
        <v>2417</v>
      </c>
      <c r="F1060" s="133" t="s">
        <v>2587</v>
      </c>
      <c r="G1060" s="133" t="s">
        <v>2417</v>
      </c>
      <c r="H1060" s="133" t="s">
        <v>2417</v>
      </c>
      <c r="I1060" s="133" t="s">
        <v>2417</v>
      </c>
      <c r="J1060" s="133" t="s">
        <v>2417</v>
      </c>
      <c r="K1060" s="133" t="s">
        <v>2417</v>
      </c>
      <c r="L1060" s="133" t="s">
        <v>2417</v>
      </c>
      <c r="M1060" s="133" t="s">
        <v>2417</v>
      </c>
      <c r="N1060" s="133" t="s">
        <v>2417</v>
      </c>
      <c r="O1060" s="133" t="s">
        <v>2417</v>
      </c>
      <c r="P1060" s="133" t="s">
        <v>2417</v>
      </c>
      <c r="Q1060" s="133" t="s">
        <v>2417</v>
      </c>
      <c r="R1060" s="133" t="s">
        <v>2417</v>
      </c>
      <c r="S1060" s="133" t="s">
        <v>2417</v>
      </c>
      <c r="T1060" s="133" t="s">
        <v>2417</v>
      </c>
      <c r="U1060" s="133" t="s">
        <v>2417</v>
      </c>
      <c r="V1060" s="133" t="s">
        <v>2417</v>
      </c>
      <c r="W1060" s="133" t="s">
        <v>2417</v>
      </c>
      <c r="X1060" s="133" t="s">
        <v>2417</v>
      </c>
      <c r="Y1060" s="133" t="s">
        <v>2417</v>
      </c>
      <c r="Z1060" s="133" t="s">
        <v>2417</v>
      </c>
      <c r="AA1060" s="133" t="s">
        <v>2417</v>
      </c>
      <c r="AB1060" s="133" t="s">
        <v>2417</v>
      </c>
      <c r="AC1060" s="133" t="s">
        <v>2417</v>
      </c>
      <c r="AD1060" s="133" t="s">
        <v>2417</v>
      </c>
      <c r="AE1060" s="197"/>
    </row>
    <row r="1061" spans="1:31" ht="20.399999999999999" outlineLevel="2">
      <c r="A1061" s="390" t="s">
        <v>2184</v>
      </c>
      <c r="B1061" s="350"/>
      <c r="C1061" s="350"/>
      <c r="D1061" s="351"/>
      <c r="E1061" s="133" t="s">
        <v>2417</v>
      </c>
      <c r="F1061" s="133" t="s">
        <v>592</v>
      </c>
      <c r="G1061" s="133" t="s">
        <v>2417</v>
      </c>
      <c r="H1061" s="133" t="s">
        <v>2417</v>
      </c>
      <c r="I1061" s="134" t="s">
        <v>2418</v>
      </c>
      <c r="J1061" s="133" t="s">
        <v>2417</v>
      </c>
      <c r="K1061" s="133" t="s">
        <v>2417</v>
      </c>
      <c r="L1061" s="133" t="s">
        <v>2417</v>
      </c>
      <c r="M1061" s="133" t="s">
        <v>2417</v>
      </c>
      <c r="N1061" s="133" t="s">
        <v>2417</v>
      </c>
      <c r="O1061" s="133" t="s">
        <v>2417</v>
      </c>
      <c r="P1061" s="133" t="s">
        <v>2417</v>
      </c>
      <c r="Q1061" s="133" t="s">
        <v>2417</v>
      </c>
      <c r="R1061" s="133" t="s">
        <v>2417</v>
      </c>
      <c r="S1061" s="133" t="s">
        <v>2417</v>
      </c>
      <c r="T1061" s="133" t="s">
        <v>2417</v>
      </c>
      <c r="U1061" s="133" t="s">
        <v>2417</v>
      </c>
      <c r="V1061" s="133" t="s">
        <v>2417</v>
      </c>
      <c r="W1061" s="133" t="s">
        <v>2417</v>
      </c>
      <c r="X1061" s="133" t="s">
        <v>2417</v>
      </c>
      <c r="Y1061" s="133" t="s">
        <v>2417</v>
      </c>
      <c r="Z1061" s="133" t="s">
        <v>2417</v>
      </c>
      <c r="AA1061" s="133" t="s">
        <v>2417</v>
      </c>
      <c r="AB1061" s="133" t="s">
        <v>2417</v>
      </c>
      <c r="AC1061" s="133" t="s">
        <v>2417</v>
      </c>
      <c r="AD1061" s="133" t="s">
        <v>2417</v>
      </c>
      <c r="AE1061" s="176"/>
    </row>
    <row r="1062" spans="1:31" ht="20.399999999999999" outlineLevel="3">
      <c r="A1062" s="68" t="s">
        <v>2185</v>
      </c>
      <c r="B1062" s="65"/>
      <c r="C1062" s="387" t="s">
        <v>2927</v>
      </c>
      <c r="D1062" s="351"/>
      <c r="E1062" s="133" t="s">
        <v>2417</v>
      </c>
      <c r="F1062" s="133" t="s">
        <v>592</v>
      </c>
      <c r="G1062" s="133" t="s">
        <v>2417</v>
      </c>
      <c r="H1062" s="133" t="s">
        <v>2417</v>
      </c>
      <c r="I1062" s="134" t="s">
        <v>2418</v>
      </c>
      <c r="J1062" s="133" t="s">
        <v>2417</v>
      </c>
      <c r="K1062" s="133" t="s">
        <v>2417</v>
      </c>
      <c r="L1062" s="133" t="s">
        <v>2417</v>
      </c>
      <c r="M1062" s="133" t="s">
        <v>2417</v>
      </c>
      <c r="N1062" s="133" t="s">
        <v>2417</v>
      </c>
      <c r="O1062" s="133" t="s">
        <v>2417</v>
      </c>
      <c r="P1062" s="133" t="s">
        <v>2417</v>
      </c>
      <c r="Q1062" s="133" t="s">
        <v>2417</v>
      </c>
      <c r="R1062" s="133" t="s">
        <v>2417</v>
      </c>
      <c r="S1062" s="133" t="s">
        <v>2417</v>
      </c>
      <c r="T1062" s="133" t="s">
        <v>2417</v>
      </c>
      <c r="U1062" s="133" t="s">
        <v>2417</v>
      </c>
      <c r="V1062" s="133" t="s">
        <v>2417</v>
      </c>
      <c r="W1062" s="133" t="s">
        <v>2417</v>
      </c>
      <c r="X1062" s="133" t="s">
        <v>2417</v>
      </c>
      <c r="Y1062" s="133" t="s">
        <v>2417</v>
      </c>
      <c r="Z1062" s="133" t="s">
        <v>2417</v>
      </c>
      <c r="AA1062" s="133" t="s">
        <v>2417</v>
      </c>
      <c r="AB1062" s="133" t="s">
        <v>2417</v>
      </c>
      <c r="AC1062" s="133" t="s">
        <v>2417</v>
      </c>
      <c r="AD1062" s="133" t="s">
        <v>2417</v>
      </c>
      <c r="AE1062" s="59"/>
    </row>
    <row r="1063" spans="1:31" ht="13.2" outlineLevel="2">
      <c r="A1063" s="390" t="s">
        <v>2187</v>
      </c>
      <c r="B1063" s="350"/>
      <c r="C1063" s="350"/>
      <c r="D1063" s="351"/>
      <c r="E1063" s="133" t="s">
        <v>2417</v>
      </c>
      <c r="F1063" s="133" t="s">
        <v>2426</v>
      </c>
      <c r="G1063" s="133" t="s">
        <v>2417</v>
      </c>
      <c r="H1063" s="133" t="s">
        <v>2417</v>
      </c>
      <c r="I1063" s="133" t="s">
        <v>2417</v>
      </c>
      <c r="J1063" s="133" t="s">
        <v>2417</v>
      </c>
      <c r="K1063" s="133" t="s">
        <v>2417</v>
      </c>
      <c r="L1063" s="133" t="s">
        <v>2417</v>
      </c>
      <c r="M1063" s="133" t="s">
        <v>2417</v>
      </c>
      <c r="N1063" s="133" t="s">
        <v>2417</v>
      </c>
      <c r="O1063" s="133" t="s">
        <v>2417</v>
      </c>
      <c r="P1063" s="133" t="s">
        <v>2417</v>
      </c>
      <c r="Q1063" s="133" t="s">
        <v>2417</v>
      </c>
      <c r="R1063" s="133" t="s">
        <v>2417</v>
      </c>
      <c r="S1063" s="133" t="s">
        <v>2417</v>
      </c>
      <c r="T1063" s="133" t="s">
        <v>2417</v>
      </c>
      <c r="U1063" s="133" t="s">
        <v>2417</v>
      </c>
      <c r="V1063" s="133" t="s">
        <v>2417</v>
      </c>
      <c r="W1063" s="133" t="s">
        <v>2417</v>
      </c>
      <c r="X1063" s="133" t="s">
        <v>2417</v>
      </c>
      <c r="Y1063" s="133" t="s">
        <v>2417</v>
      </c>
      <c r="Z1063" s="133" t="s">
        <v>2417</v>
      </c>
      <c r="AA1063" s="133" t="s">
        <v>2417</v>
      </c>
      <c r="AB1063" s="133" t="s">
        <v>2417</v>
      </c>
      <c r="AC1063" s="133" t="s">
        <v>2417</v>
      </c>
      <c r="AD1063" s="133" t="s">
        <v>2417</v>
      </c>
      <c r="AE1063" s="176"/>
    </row>
    <row r="1064" spans="1:31" ht="13.2" outlineLevel="3">
      <c r="A1064" s="68" t="s">
        <v>2188</v>
      </c>
      <c r="B1064" s="65"/>
      <c r="C1064" s="387" t="s">
        <v>2189</v>
      </c>
      <c r="D1064" s="351"/>
      <c r="E1064" s="133" t="s">
        <v>2417</v>
      </c>
      <c r="F1064" s="133" t="s">
        <v>2426</v>
      </c>
      <c r="G1064" s="133" t="s">
        <v>2417</v>
      </c>
      <c r="H1064" s="133" t="s">
        <v>2417</v>
      </c>
      <c r="I1064" s="133" t="s">
        <v>2417</v>
      </c>
      <c r="J1064" s="133" t="s">
        <v>2417</v>
      </c>
      <c r="K1064" s="133" t="s">
        <v>2417</v>
      </c>
      <c r="L1064" s="133" t="s">
        <v>2417</v>
      </c>
      <c r="M1064" s="133" t="s">
        <v>2417</v>
      </c>
      <c r="N1064" s="133" t="s">
        <v>2417</v>
      </c>
      <c r="O1064" s="133" t="s">
        <v>2417</v>
      </c>
      <c r="P1064" s="133" t="s">
        <v>2417</v>
      </c>
      <c r="Q1064" s="133" t="s">
        <v>2417</v>
      </c>
      <c r="R1064" s="133" t="s">
        <v>2417</v>
      </c>
      <c r="S1064" s="133" t="s">
        <v>2417</v>
      </c>
      <c r="T1064" s="133" t="s">
        <v>2417</v>
      </c>
      <c r="U1064" s="133" t="s">
        <v>2417</v>
      </c>
      <c r="V1064" s="133" t="s">
        <v>2417</v>
      </c>
      <c r="W1064" s="133" t="s">
        <v>2417</v>
      </c>
      <c r="X1064" s="133" t="s">
        <v>2417</v>
      </c>
      <c r="Y1064" s="133" t="s">
        <v>2417</v>
      </c>
      <c r="Z1064" s="133" t="s">
        <v>2417</v>
      </c>
      <c r="AA1064" s="133" t="s">
        <v>2417</v>
      </c>
      <c r="AB1064" s="133" t="s">
        <v>2417</v>
      </c>
      <c r="AC1064" s="133" t="s">
        <v>2417</v>
      </c>
      <c r="AD1064" s="133" t="s">
        <v>2417</v>
      </c>
      <c r="AE1064" s="59"/>
    </row>
    <row r="1065" spans="1:31" ht="20.399999999999999" outlineLevel="3">
      <c r="A1065" s="68" t="s">
        <v>2190</v>
      </c>
      <c r="B1065" s="62" t="s">
        <v>2146</v>
      </c>
      <c r="C1065" s="387" t="s">
        <v>2175</v>
      </c>
      <c r="D1065" s="351"/>
      <c r="E1065" s="133" t="s">
        <v>2417</v>
      </c>
      <c r="F1065" s="133" t="s">
        <v>2426</v>
      </c>
      <c r="G1065" s="133" t="s">
        <v>2417</v>
      </c>
      <c r="H1065" s="133" t="s">
        <v>2417</v>
      </c>
      <c r="I1065" s="133" t="s">
        <v>2417</v>
      </c>
      <c r="J1065" s="133" t="s">
        <v>2417</v>
      </c>
      <c r="K1065" s="133" t="s">
        <v>2417</v>
      </c>
      <c r="L1065" s="133" t="s">
        <v>2417</v>
      </c>
      <c r="M1065" s="133" t="s">
        <v>2417</v>
      </c>
      <c r="N1065" s="133" t="s">
        <v>2417</v>
      </c>
      <c r="O1065" s="133" t="s">
        <v>2417</v>
      </c>
      <c r="P1065" s="133" t="s">
        <v>2417</v>
      </c>
      <c r="Q1065" s="133" t="s">
        <v>2417</v>
      </c>
      <c r="R1065" s="133" t="s">
        <v>2417</v>
      </c>
      <c r="S1065" s="133" t="s">
        <v>2417</v>
      </c>
      <c r="T1065" s="133" t="s">
        <v>2417</v>
      </c>
      <c r="U1065" s="133" t="s">
        <v>2417</v>
      </c>
      <c r="V1065" s="133" t="s">
        <v>2417</v>
      </c>
      <c r="W1065" s="133" t="s">
        <v>2417</v>
      </c>
      <c r="X1065" s="133" t="s">
        <v>2417</v>
      </c>
      <c r="Y1065" s="133" t="s">
        <v>2417</v>
      </c>
      <c r="Z1065" s="133" t="s">
        <v>2417</v>
      </c>
      <c r="AA1065" s="133" t="s">
        <v>2417</v>
      </c>
      <c r="AB1065" s="133" t="s">
        <v>2417</v>
      </c>
      <c r="AC1065" s="133" t="s">
        <v>2417</v>
      </c>
      <c r="AD1065" s="133" t="s">
        <v>2417</v>
      </c>
      <c r="AE1065" s="57"/>
    </row>
    <row r="1066" spans="1:31" ht="20.399999999999999" outlineLevel="3">
      <c r="A1066" s="68" t="s">
        <v>2191</v>
      </c>
      <c r="B1066" s="62" t="s">
        <v>2158</v>
      </c>
      <c r="C1066" s="360" t="s">
        <v>2928</v>
      </c>
      <c r="D1066" s="351"/>
      <c r="E1066" s="133" t="s">
        <v>2417</v>
      </c>
      <c r="F1066" s="133" t="s">
        <v>2426</v>
      </c>
      <c r="G1066" s="133" t="s">
        <v>2417</v>
      </c>
      <c r="H1066" s="133" t="s">
        <v>2417</v>
      </c>
      <c r="I1066" s="133" t="s">
        <v>2417</v>
      </c>
      <c r="J1066" s="133" t="s">
        <v>2417</v>
      </c>
      <c r="K1066" s="133" t="s">
        <v>2417</v>
      </c>
      <c r="L1066" s="133" t="s">
        <v>2417</v>
      </c>
      <c r="M1066" s="133" t="s">
        <v>2417</v>
      </c>
      <c r="N1066" s="133" t="s">
        <v>2417</v>
      </c>
      <c r="O1066" s="133" t="s">
        <v>2417</v>
      </c>
      <c r="P1066" s="133" t="s">
        <v>2417</v>
      </c>
      <c r="Q1066" s="133" t="s">
        <v>2417</v>
      </c>
      <c r="R1066" s="133" t="s">
        <v>2417</v>
      </c>
      <c r="S1066" s="133" t="s">
        <v>2417</v>
      </c>
      <c r="T1066" s="133" t="s">
        <v>2417</v>
      </c>
      <c r="U1066" s="133" t="s">
        <v>2417</v>
      </c>
      <c r="V1066" s="133" t="s">
        <v>2417</v>
      </c>
      <c r="W1066" s="133" t="s">
        <v>2417</v>
      </c>
      <c r="X1066" s="133" t="s">
        <v>2417</v>
      </c>
      <c r="Y1066" s="133" t="s">
        <v>2417</v>
      </c>
      <c r="Z1066" s="133" t="s">
        <v>2417</v>
      </c>
      <c r="AA1066" s="133" t="s">
        <v>2417</v>
      </c>
      <c r="AB1066" s="133" t="s">
        <v>2417</v>
      </c>
      <c r="AC1066" s="133" t="s">
        <v>2417</v>
      </c>
      <c r="AD1066" s="133" t="s">
        <v>2417</v>
      </c>
      <c r="AE1066" s="123"/>
    </row>
    <row r="1067" spans="1:31" ht="30.6" outlineLevel="3">
      <c r="A1067" s="68" t="s">
        <v>2193</v>
      </c>
      <c r="B1067" s="64" t="s">
        <v>2194</v>
      </c>
      <c r="C1067" s="432" t="s">
        <v>2929</v>
      </c>
      <c r="D1067" s="351"/>
      <c r="E1067" s="133" t="s">
        <v>2417</v>
      </c>
      <c r="F1067" s="133" t="s">
        <v>2426</v>
      </c>
      <c r="G1067" s="133" t="s">
        <v>2417</v>
      </c>
      <c r="H1067" s="133" t="s">
        <v>2417</v>
      </c>
      <c r="I1067" s="133" t="s">
        <v>2417</v>
      </c>
      <c r="J1067" s="133" t="s">
        <v>2417</v>
      </c>
      <c r="K1067" s="133" t="s">
        <v>2417</v>
      </c>
      <c r="L1067" s="133" t="s">
        <v>2417</v>
      </c>
      <c r="M1067" s="133" t="s">
        <v>2417</v>
      </c>
      <c r="N1067" s="133" t="s">
        <v>2417</v>
      </c>
      <c r="O1067" s="133" t="s">
        <v>2417</v>
      </c>
      <c r="P1067" s="133" t="s">
        <v>2417</v>
      </c>
      <c r="Q1067" s="133" t="s">
        <v>2417</v>
      </c>
      <c r="R1067" s="133" t="s">
        <v>2417</v>
      </c>
      <c r="S1067" s="133" t="s">
        <v>2417</v>
      </c>
      <c r="T1067" s="133" t="s">
        <v>2417</v>
      </c>
      <c r="U1067" s="133" t="s">
        <v>2417</v>
      </c>
      <c r="V1067" s="133" t="s">
        <v>2417</v>
      </c>
      <c r="W1067" s="133" t="s">
        <v>2417</v>
      </c>
      <c r="X1067" s="133" t="s">
        <v>2417</v>
      </c>
      <c r="Y1067" s="133" t="s">
        <v>2417</v>
      </c>
      <c r="Z1067" s="133" t="s">
        <v>2417</v>
      </c>
      <c r="AA1067" s="133" t="s">
        <v>2417</v>
      </c>
      <c r="AB1067" s="133" t="s">
        <v>2417</v>
      </c>
      <c r="AC1067" s="133" t="s">
        <v>2417</v>
      </c>
      <c r="AD1067" s="133" t="s">
        <v>2417</v>
      </c>
      <c r="AE1067" s="197"/>
    </row>
    <row r="1068" spans="1:31" ht="13.2" outlineLevel="2">
      <c r="A1068" s="390" t="s">
        <v>2196</v>
      </c>
      <c r="B1068" s="350"/>
      <c r="C1068" s="350"/>
      <c r="D1068" s="351"/>
      <c r="E1068" s="133" t="s">
        <v>2417</v>
      </c>
      <c r="F1068" s="133" t="s">
        <v>2396</v>
      </c>
      <c r="G1068" s="133" t="s">
        <v>2417</v>
      </c>
      <c r="H1068" s="133" t="s">
        <v>2417</v>
      </c>
      <c r="I1068" s="134" t="s">
        <v>2418</v>
      </c>
      <c r="J1068" s="133" t="s">
        <v>2417</v>
      </c>
      <c r="K1068" s="133" t="s">
        <v>2417</v>
      </c>
      <c r="L1068" s="133" t="s">
        <v>2417</v>
      </c>
      <c r="M1068" s="133" t="s">
        <v>2417</v>
      </c>
      <c r="N1068" s="133" t="s">
        <v>2417</v>
      </c>
      <c r="O1068" s="133" t="s">
        <v>2417</v>
      </c>
      <c r="P1068" s="133" t="s">
        <v>2417</v>
      </c>
      <c r="Q1068" s="133" t="s">
        <v>2417</v>
      </c>
      <c r="R1068" s="133" t="s">
        <v>2417</v>
      </c>
      <c r="S1068" s="133" t="s">
        <v>2417</v>
      </c>
      <c r="T1068" s="133" t="s">
        <v>2417</v>
      </c>
      <c r="U1068" s="133" t="s">
        <v>2417</v>
      </c>
      <c r="V1068" s="133" t="s">
        <v>2417</v>
      </c>
      <c r="W1068" s="133" t="s">
        <v>2417</v>
      </c>
      <c r="X1068" s="133" t="s">
        <v>2417</v>
      </c>
      <c r="Y1068" s="133" t="s">
        <v>2417</v>
      </c>
      <c r="Z1068" s="133" t="s">
        <v>2417</v>
      </c>
      <c r="AA1068" s="133" t="s">
        <v>2417</v>
      </c>
      <c r="AB1068" s="133" t="s">
        <v>2417</v>
      </c>
      <c r="AC1068" s="133" t="s">
        <v>2417</v>
      </c>
      <c r="AD1068" s="133" t="s">
        <v>2417</v>
      </c>
      <c r="AE1068" s="176"/>
    </row>
    <row r="1069" spans="1:31" ht="13.2" outlineLevel="3">
      <c r="A1069" s="68" t="s">
        <v>2197</v>
      </c>
      <c r="B1069" s="64"/>
      <c r="C1069" s="387" t="s">
        <v>2198</v>
      </c>
      <c r="D1069" s="351"/>
      <c r="E1069" s="133" t="s">
        <v>2417</v>
      </c>
      <c r="F1069" s="133" t="s">
        <v>2396</v>
      </c>
      <c r="G1069" s="133" t="s">
        <v>2417</v>
      </c>
      <c r="H1069" s="133" t="s">
        <v>2417</v>
      </c>
      <c r="I1069" s="134" t="s">
        <v>2418</v>
      </c>
      <c r="J1069" s="133" t="s">
        <v>2417</v>
      </c>
      <c r="K1069" s="133" t="s">
        <v>2417</v>
      </c>
      <c r="L1069" s="133" t="s">
        <v>2417</v>
      </c>
      <c r="M1069" s="133" t="s">
        <v>2417</v>
      </c>
      <c r="N1069" s="133" t="s">
        <v>2417</v>
      </c>
      <c r="O1069" s="133" t="s">
        <v>2417</v>
      </c>
      <c r="P1069" s="133" t="s">
        <v>2417</v>
      </c>
      <c r="Q1069" s="133" t="s">
        <v>2417</v>
      </c>
      <c r="R1069" s="133" t="s">
        <v>2417</v>
      </c>
      <c r="S1069" s="133" t="s">
        <v>2417</v>
      </c>
      <c r="T1069" s="133" t="s">
        <v>2417</v>
      </c>
      <c r="U1069" s="133" t="s">
        <v>2417</v>
      </c>
      <c r="V1069" s="133" t="s">
        <v>2417</v>
      </c>
      <c r="W1069" s="133" t="s">
        <v>2417</v>
      </c>
      <c r="X1069" s="133" t="s">
        <v>2417</v>
      </c>
      <c r="Y1069" s="133" t="s">
        <v>2417</v>
      </c>
      <c r="Z1069" s="133" t="s">
        <v>2417</v>
      </c>
      <c r="AA1069" s="133" t="s">
        <v>2417</v>
      </c>
      <c r="AB1069" s="133" t="s">
        <v>2417</v>
      </c>
      <c r="AC1069" s="133" t="s">
        <v>2417</v>
      </c>
      <c r="AD1069" s="133" t="s">
        <v>2417</v>
      </c>
      <c r="AE1069" s="59"/>
    </row>
    <row r="1070" spans="1:31" ht="20.399999999999999" outlineLevel="3">
      <c r="A1070" s="68" t="s">
        <v>2199</v>
      </c>
      <c r="B1070" s="62" t="s">
        <v>2200</v>
      </c>
      <c r="C1070" s="387" t="s">
        <v>2201</v>
      </c>
      <c r="D1070" s="351"/>
      <c r="E1070" s="133" t="s">
        <v>2417</v>
      </c>
      <c r="F1070" s="133" t="s">
        <v>2396</v>
      </c>
      <c r="G1070" s="133" t="s">
        <v>2417</v>
      </c>
      <c r="H1070" s="133" t="s">
        <v>2417</v>
      </c>
      <c r="I1070" s="133" t="s">
        <v>2417</v>
      </c>
      <c r="J1070" s="133" t="s">
        <v>2417</v>
      </c>
      <c r="K1070" s="133" t="s">
        <v>2417</v>
      </c>
      <c r="L1070" s="133" t="s">
        <v>2417</v>
      </c>
      <c r="M1070" s="133" t="s">
        <v>2417</v>
      </c>
      <c r="N1070" s="133" t="s">
        <v>2417</v>
      </c>
      <c r="O1070" s="133" t="s">
        <v>2417</v>
      </c>
      <c r="P1070" s="133" t="s">
        <v>2417</v>
      </c>
      <c r="Q1070" s="133" t="s">
        <v>2417</v>
      </c>
      <c r="R1070" s="133" t="s">
        <v>2417</v>
      </c>
      <c r="S1070" s="133" t="s">
        <v>2417</v>
      </c>
      <c r="T1070" s="133" t="s">
        <v>2417</v>
      </c>
      <c r="U1070" s="133" t="s">
        <v>2417</v>
      </c>
      <c r="V1070" s="133" t="s">
        <v>2417</v>
      </c>
      <c r="W1070" s="133" t="s">
        <v>2417</v>
      </c>
      <c r="X1070" s="133" t="s">
        <v>2417</v>
      </c>
      <c r="Y1070" s="133" t="s">
        <v>2417</v>
      </c>
      <c r="Z1070" s="133" t="s">
        <v>2417</v>
      </c>
      <c r="AA1070" s="133" t="s">
        <v>2417</v>
      </c>
      <c r="AB1070" s="133" t="s">
        <v>2417</v>
      </c>
      <c r="AC1070" s="133" t="s">
        <v>2417</v>
      </c>
      <c r="AD1070" s="133" t="s">
        <v>2417</v>
      </c>
      <c r="AE1070" s="59"/>
    </row>
    <row r="1071" spans="1:31" ht="20.399999999999999" outlineLevel="3">
      <c r="A1071" s="68" t="s">
        <v>2202</v>
      </c>
      <c r="B1071" s="62" t="s">
        <v>2146</v>
      </c>
      <c r="C1071" s="387" t="s">
        <v>2203</v>
      </c>
      <c r="D1071" s="351"/>
      <c r="E1071" s="133" t="s">
        <v>2417</v>
      </c>
      <c r="F1071" s="133" t="s">
        <v>2396</v>
      </c>
      <c r="G1071" s="133" t="s">
        <v>2417</v>
      </c>
      <c r="H1071" s="133" t="s">
        <v>2417</v>
      </c>
      <c r="I1071" s="133" t="s">
        <v>2417</v>
      </c>
      <c r="J1071" s="133" t="s">
        <v>2417</v>
      </c>
      <c r="K1071" s="133" t="s">
        <v>2417</v>
      </c>
      <c r="L1071" s="133" t="s">
        <v>2417</v>
      </c>
      <c r="M1071" s="133" t="s">
        <v>2417</v>
      </c>
      <c r="N1071" s="133" t="s">
        <v>2417</v>
      </c>
      <c r="O1071" s="133" t="s">
        <v>2417</v>
      </c>
      <c r="P1071" s="133" t="s">
        <v>2417</v>
      </c>
      <c r="Q1071" s="133" t="s">
        <v>2417</v>
      </c>
      <c r="R1071" s="133" t="s">
        <v>2417</v>
      </c>
      <c r="S1071" s="133" t="s">
        <v>2417</v>
      </c>
      <c r="T1071" s="133" t="s">
        <v>2417</v>
      </c>
      <c r="U1071" s="133" t="s">
        <v>2417</v>
      </c>
      <c r="V1071" s="133" t="s">
        <v>2417</v>
      </c>
      <c r="W1071" s="133" t="s">
        <v>2417</v>
      </c>
      <c r="X1071" s="133" t="s">
        <v>2417</v>
      </c>
      <c r="Y1071" s="133" t="s">
        <v>2417</v>
      </c>
      <c r="Z1071" s="133" t="s">
        <v>2417</v>
      </c>
      <c r="AA1071" s="133" t="s">
        <v>2417</v>
      </c>
      <c r="AB1071" s="133" t="s">
        <v>2417</v>
      </c>
      <c r="AC1071" s="133" t="s">
        <v>2417</v>
      </c>
      <c r="AD1071" s="133" t="s">
        <v>2417</v>
      </c>
      <c r="AE1071" s="59"/>
    </row>
    <row r="1072" spans="1:31" ht="20.399999999999999" outlineLevel="3">
      <c r="A1072" s="68" t="s">
        <v>2204</v>
      </c>
      <c r="B1072" s="62" t="s">
        <v>2158</v>
      </c>
      <c r="C1072" s="360" t="s">
        <v>2930</v>
      </c>
      <c r="D1072" s="351"/>
      <c r="E1072" s="133" t="s">
        <v>2417</v>
      </c>
      <c r="F1072" s="133" t="s">
        <v>2396</v>
      </c>
      <c r="G1072" s="133" t="s">
        <v>2417</v>
      </c>
      <c r="H1072" s="133" t="s">
        <v>2417</v>
      </c>
      <c r="I1072" s="133" t="s">
        <v>2417</v>
      </c>
      <c r="J1072" s="133" t="s">
        <v>2417</v>
      </c>
      <c r="K1072" s="133" t="s">
        <v>2417</v>
      </c>
      <c r="L1072" s="133" t="s">
        <v>2417</v>
      </c>
      <c r="M1072" s="133" t="s">
        <v>2417</v>
      </c>
      <c r="N1072" s="133" t="s">
        <v>2417</v>
      </c>
      <c r="O1072" s="133" t="s">
        <v>2417</v>
      </c>
      <c r="P1072" s="133" t="s">
        <v>2417</v>
      </c>
      <c r="Q1072" s="133" t="s">
        <v>2417</v>
      </c>
      <c r="R1072" s="133" t="s">
        <v>2417</v>
      </c>
      <c r="S1072" s="133" t="s">
        <v>2417</v>
      </c>
      <c r="T1072" s="133" t="s">
        <v>2417</v>
      </c>
      <c r="U1072" s="133" t="s">
        <v>2417</v>
      </c>
      <c r="V1072" s="133" t="s">
        <v>2417</v>
      </c>
      <c r="W1072" s="133" t="s">
        <v>2417</v>
      </c>
      <c r="X1072" s="133" t="s">
        <v>2417</v>
      </c>
      <c r="Y1072" s="133" t="s">
        <v>2417</v>
      </c>
      <c r="Z1072" s="133" t="s">
        <v>2417</v>
      </c>
      <c r="AA1072" s="133" t="s">
        <v>2417</v>
      </c>
      <c r="AB1072" s="133" t="s">
        <v>2417</v>
      </c>
      <c r="AC1072" s="133" t="s">
        <v>2417</v>
      </c>
      <c r="AD1072" s="133" t="s">
        <v>2417</v>
      </c>
      <c r="AE1072" s="123"/>
    </row>
    <row r="1073" spans="1:31" ht="20.399999999999999" outlineLevel="3">
      <c r="A1073" s="68" t="s">
        <v>2206</v>
      </c>
      <c r="B1073" s="62" t="s">
        <v>2158</v>
      </c>
      <c r="C1073" s="450" t="s">
        <v>2931</v>
      </c>
      <c r="D1073" s="351"/>
      <c r="E1073" s="133" t="s">
        <v>2417</v>
      </c>
      <c r="F1073" s="133" t="s">
        <v>2396</v>
      </c>
      <c r="G1073" s="133" t="s">
        <v>2417</v>
      </c>
      <c r="H1073" s="133" t="s">
        <v>2417</v>
      </c>
      <c r="I1073" s="133" t="s">
        <v>2417</v>
      </c>
      <c r="J1073" s="133" t="s">
        <v>2417</v>
      </c>
      <c r="K1073" s="133" t="s">
        <v>2417</v>
      </c>
      <c r="L1073" s="133" t="s">
        <v>2417</v>
      </c>
      <c r="M1073" s="133" t="s">
        <v>2417</v>
      </c>
      <c r="N1073" s="133" t="s">
        <v>2417</v>
      </c>
      <c r="O1073" s="133" t="s">
        <v>2417</v>
      </c>
      <c r="P1073" s="133" t="s">
        <v>2417</v>
      </c>
      <c r="Q1073" s="133" t="s">
        <v>2417</v>
      </c>
      <c r="R1073" s="133" t="s">
        <v>2417</v>
      </c>
      <c r="S1073" s="133" t="s">
        <v>2417</v>
      </c>
      <c r="T1073" s="133" t="s">
        <v>2417</v>
      </c>
      <c r="U1073" s="133" t="s">
        <v>2417</v>
      </c>
      <c r="V1073" s="133" t="s">
        <v>2417</v>
      </c>
      <c r="W1073" s="133" t="s">
        <v>2417</v>
      </c>
      <c r="X1073" s="133" t="s">
        <v>2417</v>
      </c>
      <c r="Y1073" s="133" t="s">
        <v>2417</v>
      </c>
      <c r="Z1073" s="133" t="s">
        <v>2417</v>
      </c>
      <c r="AA1073" s="133" t="s">
        <v>2417</v>
      </c>
      <c r="AB1073" s="133" t="s">
        <v>2417</v>
      </c>
      <c r="AC1073" s="133" t="s">
        <v>2417</v>
      </c>
      <c r="AD1073" s="133" t="s">
        <v>2417</v>
      </c>
      <c r="AE1073" s="198"/>
    </row>
    <row r="1074" spans="1:31" ht="20.399999999999999" outlineLevel="3">
      <c r="A1074" s="68" t="s">
        <v>2208</v>
      </c>
      <c r="B1074" s="64" t="s">
        <v>2209</v>
      </c>
      <c r="C1074" s="432" t="s">
        <v>2932</v>
      </c>
      <c r="D1074" s="351"/>
      <c r="E1074" s="133" t="s">
        <v>2417</v>
      </c>
      <c r="F1074" s="133" t="s">
        <v>2396</v>
      </c>
      <c r="G1074" s="133" t="s">
        <v>2417</v>
      </c>
      <c r="H1074" s="133" t="s">
        <v>2417</v>
      </c>
      <c r="I1074" s="133" t="s">
        <v>2417</v>
      </c>
      <c r="J1074" s="133" t="s">
        <v>2417</v>
      </c>
      <c r="K1074" s="133" t="s">
        <v>2417</v>
      </c>
      <c r="L1074" s="133" t="s">
        <v>2417</v>
      </c>
      <c r="M1074" s="133" t="s">
        <v>2417</v>
      </c>
      <c r="N1074" s="133" t="s">
        <v>2417</v>
      </c>
      <c r="O1074" s="133" t="s">
        <v>2417</v>
      </c>
      <c r="P1074" s="133" t="s">
        <v>2417</v>
      </c>
      <c r="Q1074" s="133" t="s">
        <v>2417</v>
      </c>
      <c r="R1074" s="133" t="s">
        <v>2417</v>
      </c>
      <c r="S1074" s="133" t="s">
        <v>2417</v>
      </c>
      <c r="T1074" s="133" t="s">
        <v>2417</v>
      </c>
      <c r="U1074" s="133" t="s">
        <v>2417</v>
      </c>
      <c r="V1074" s="133" t="s">
        <v>2417</v>
      </c>
      <c r="W1074" s="133" t="s">
        <v>2417</v>
      </c>
      <c r="X1074" s="133" t="s">
        <v>2417</v>
      </c>
      <c r="Y1074" s="133" t="s">
        <v>2417</v>
      </c>
      <c r="Z1074" s="133" t="s">
        <v>2417</v>
      </c>
      <c r="AA1074" s="133" t="s">
        <v>2417</v>
      </c>
      <c r="AB1074" s="133" t="s">
        <v>2417</v>
      </c>
      <c r="AC1074" s="133" t="s">
        <v>2417</v>
      </c>
      <c r="AD1074" s="133" t="s">
        <v>2417</v>
      </c>
      <c r="AE1074" s="197"/>
    </row>
    <row r="1075" spans="1:31" ht="13.2" outlineLevel="1">
      <c r="A1075" s="386" t="s">
        <v>2211</v>
      </c>
      <c r="B1075" s="350"/>
      <c r="C1075" s="350"/>
      <c r="D1075" s="351"/>
      <c r="E1075" s="133" t="s">
        <v>2417</v>
      </c>
      <c r="F1075" s="133" t="s">
        <v>2417</v>
      </c>
      <c r="G1075" s="133" t="s">
        <v>2417</v>
      </c>
      <c r="H1075" s="133" t="s">
        <v>2417</v>
      </c>
      <c r="I1075" s="134" t="s">
        <v>2418</v>
      </c>
      <c r="J1075" s="133" t="s">
        <v>2417</v>
      </c>
      <c r="K1075" s="133" t="s">
        <v>2417</v>
      </c>
      <c r="L1075" s="133" t="s">
        <v>2417</v>
      </c>
      <c r="M1075" s="133" t="s">
        <v>2417</v>
      </c>
      <c r="N1075" s="133" t="s">
        <v>2417</v>
      </c>
      <c r="O1075" s="133" t="s">
        <v>2417</v>
      </c>
      <c r="P1075" s="133" t="s">
        <v>2417</v>
      </c>
      <c r="Q1075" s="133" t="s">
        <v>2417</v>
      </c>
      <c r="R1075" s="133" t="s">
        <v>2417</v>
      </c>
      <c r="S1075" s="133" t="s">
        <v>2417</v>
      </c>
      <c r="T1075" s="133" t="s">
        <v>2417</v>
      </c>
      <c r="U1075" s="133" t="s">
        <v>2417</v>
      </c>
      <c r="V1075" s="133" t="s">
        <v>2417</v>
      </c>
      <c r="W1075" s="133" t="s">
        <v>2417</v>
      </c>
      <c r="X1075" s="133" t="s">
        <v>2417</v>
      </c>
      <c r="Y1075" s="133" t="s">
        <v>2417</v>
      </c>
      <c r="Z1075" s="133" t="s">
        <v>2417</v>
      </c>
      <c r="AA1075" s="133" t="s">
        <v>2417</v>
      </c>
      <c r="AB1075" s="133" t="s">
        <v>2417</v>
      </c>
      <c r="AC1075" s="133" t="s">
        <v>2417</v>
      </c>
      <c r="AD1075" s="133" t="s">
        <v>2417</v>
      </c>
      <c r="AE1075" s="139"/>
    </row>
    <row r="1076" spans="1:31" ht="20.399999999999999" outlineLevel="2">
      <c r="A1076" s="68" t="s">
        <v>2212</v>
      </c>
      <c r="B1076" s="65" t="s">
        <v>2213</v>
      </c>
      <c r="C1076" s="360" t="s">
        <v>2214</v>
      </c>
      <c r="D1076" s="351"/>
      <c r="E1076" s="133" t="s">
        <v>2417</v>
      </c>
      <c r="F1076" s="133" t="s">
        <v>2417</v>
      </c>
      <c r="G1076" s="133" t="s">
        <v>2417</v>
      </c>
      <c r="H1076" s="133" t="s">
        <v>2417</v>
      </c>
      <c r="I1076" s="133" t="s">
        <v>2417</v>
      </c>
      <c r="J1076" s="133" t="s">
        <v>2417</v>
      </c>
      <c r="K1076" s="133" t="s">
        <v>2417</v>
      </c>
      <c r="L1076" s="133" t="s">
        <v>2417</v>
      </c>
      <c r="M1076" s="133" t="s">
        <v>2417</v>
      </c>
      <c r="N1076" s="133" t="s">
        <v>2417</v>
      </c>
      <c r="O1076" s="133" t="s">
        <v>2417</v>
      </c>
      <c r="P1076" s="133" t="s">
        <v>2417</v>
      </c>
      <c r="Q1076" s="133" t="s">
        <v>2417</v>
      </c>
      <c r="R1076" s="133" t="s">
        <v>2417</v>
      </c>
      <c r="S1076" s="133" t="s">
        <v>2417</v>
      </c>
      <c r="T1076" s="133" t="s">
        <v>2417</v>
      </c>
      <c r="U1076" s="133" t="s">
        <v>2417</v>
      </c>
      <c r="V1076" s="133" t="s">
        <v>2417</v>
      </c>
      <c r="W1076" s="133" t="s">
        <v>2417</v>
      </c>
      <c r="X1076" s="133" t="s">
        <v>2417</v>
      </c>
      <c r="Y1076" s="133" t="s">
        <v>2417</v>
      </c>
      <c r="Z1076" s="133" t="s">
        <v>2417</v>
      </c>
      <c r="AA1076" s="133" t="s">
        <v>2417</v>
      </c>
      <c r="AB1076" s="133" t="s">
        <v>2417</v>
      </c>
      <c r="AC1076" s="133" t="s">
        <v>2417</v>
      </c>
      <c r="AD1076" s="133" t="s">
        <v>2417</v>
      </c>
      <c r="AE1076" s="123"/>
    </row>
    <row r="1077" spans="1:31" ht="13.2" hidden="1" outlineLevel="2">
      <c r="A1077" s="104"/>
      <c r="B1077" s="104"/>
      <c r="C1077" s="387" t="s">
        <v>2933</v>
      </c>
      <c r="D1077" s="351"/>
      <c r="E1077" s="132" t="s">
        <v>2417</v>
      </c>
      <c r="F1077" s="132" t="s">
        <v>2417</v>
      </c>
      <c r="G1077" s="132" t="s">
        <v>2417</v>
      </c>
      <c r="H1077" s="135" t="s">
        <v>2934</v>
      </c>
      <c r="I1077" s="132" t="s">
        <v>2417</v>
      </c>
      <c r="J1077" s="132" t="s">
        <v>2417</v>
      </c>
      <c r="K1077" s="132" t="s">
        <v>2417</v>
      </c>
      <c r="L1077" s="132" t="s">
        <v>2417</v>
      </c>
      <c r="M1077" s="132" t="s">
        <v>2417</v>
      </c>
      <c r="N1077" s="132" t="s">
        <v>2417</v>
      </c>
      <c r="O1077" s="132" t="s">
        <v>2417</v>
      </c>
      <c r="P1077" s="132" t="s">
        <v>2417</v>
      </c>
      <c r="Q1077" s="132" t="s">
        <v>2417</v>
      </c>
      <c r="R1077" s="132" t="s">
        <v>2417</v>
      </c>
      <c r="S1077" s="132" t="s">
        <v>2417</v>
      </c>
      <c r="T1077" s="132" t="s">
        <v>2417</v>
      </c>
      <c r="U1077" s="132" t="s">
        <v>2417</v>
      </c>
      <c r="V1077" s="132" t="s">
        <v>2417</v>
      </c>
      <c r="W1077" s="132" t="s">
        <v>2417</v>
      </c>
      <c r="X1077" s="132" t="s">
        <v>2417</v>
      </c>
      <c r="Y1077" s="132" t="s">
        <v>2417</v>
      </c>
      <c r="Z1077" s="132" t="s">
        <v>2417</v>
      </c>
      <c r="AA1077" s="132" t="s">
        <v>2417</v>
      </c>
      <c r="AB1077" s="132" t="s">
        <v>2417</v>
      </c>
      <c r="AC1077" s="132" t="s">
        <v>2417</v>
      </c>
      <c r="AD1077" s="133" t="s">
        <v>2441</v>
      </c>
      <c r="AE1077" s="176"/>
    </row>
    <row r="1078" spans="1:31" ht="13.2" outlineLevel="2">
      <c r="A1078" s="390" t="s">
        <v>2215</v>
      </c>
      <c r="B1078" s="350"/>
      <c r="C1078" s="350"/>
      <c r="D1078" s="351"/>
      <c r="E1078" s="133" t="s">
        <v>2417</v>
      </c>
      <c r="F1078" s="133" t="s">
        <v>2587</v>
      </c>
      <c r="G1078" s="133" t="s">
        <v>2417</v>
      </c>
      <c r="H1078" s="133" t="s">
        <v>2417</v>
      </c>
      <c r="I1078" s="134" t="s">
        <v>2418</v>
      </c>
      <c r="J1078" s="133" t="s">
        <v>2417</v>
      </c>
      <c r="K1078" s="133" t="s">
        <v>2417</v>
      </c>
      <c r="L1078" s="133" t="s">
        <v>2417</v>
      </c>
      <c r="M1078" s="133" t="s">
        <v>2417</v>
      </c>
      <c r="N1078" s="133" t="s">
        <v>2417</v>
      </c>
      <c r="O1078" s="133" t="s">
        <v>2417</v>
      </c>
      <c r="P1078" s="133" t="s">
        <v>2417</v>
      </c>
      <c r="Q1078" s="133" t="s">
        <v>2417</v>
      </c>
      <c r="R1078" s="133" t="s">
        <v>2417</v>
      </c>
      <c r="S1078" s="133" t="s">
        <v>2417</v>
      </c>
      <c r="T1078" s="133" t="s">
        <v>2417</v>
      </c>
      <c r="U1078" s="133" t="s">
        <v>2417</v>
      </c>
      <c r="V1078" s="133" t="s">
        <v>2417</v>
      </c>
      <c r="W1078" s="133" t="s">
        <v>2417</v>
      </c>
      <c r="X1078" s="133" t="s">
        <v>2417</v>
      </c>
      <c r="Y1078" s="133" t="s">
        <v>2417</v>
      </c>
      <c r="Z1078" s="133" t="s">
        <v>2417</v>
      </c>
      <c r="AA1078" s="133" t="s">
        <v>2417</v>
      </c>
      <c r="AB1078" s="133" t="s">
        <v>2417</v>
      </c>
      <c r="AC1078" s="133" t="s">
        <v>2417</v>
      </c>
      <c r="AD1078" s="133" t="s">
        <v>2417</v>
      </c>
      <c r="AE1078" s="176"/>
    </row>
    <row r="1079" spans="1:31" ht="13.2" outlineLevel="3">
      <c r="A1079" s="68" t="s">
        <v>2216</v>
      </c>
      <c r="B1079" s="65"/>
      <c r="C1079" s="387" t="s">
        <v>2935</v>
      </c>
      <c r="D1079" s="351"/>
      <c r="E1079" s="133" t="s">
        <v>2417</v>
      </c>
      <c r="F1079" s="133" t="s">
        <v>2587</v>
      </c>
      <c r="G1079" s="133" t="s">
        <v>2417</v>
      </c>
      <c r="H1079" s="133" t="s">
        <v>2417</v>
      </c>
      <c r="I1079" s="134" t="s">
        <v>2418</v>
      </c>
      <c r="J1079" s="133" t="s">
        <v>2417</v>
      </c>
      <c r="K1079" s="133" t="s">
        <v>2417</v>
      </c>
      <c r="L1079" s="133" t="s">
        <v>2417</v>
      </c>
      <c r="M1079" s="133" t="s">
        <v>2417</v>
      </c>
      <c r="N1079" s="133" t="s">
        <v>2417</v>
      </c>
      <c r="O1079" s="133" t="s">
        <v>2417</v>
      </c>
      <c r="P1079" s="133" t="s">
        <v>2417</v>
      </c>
      <c r="Q1079" s="133" t="s">
        <v>2417</v>
      </c>
      <c r="R1079" s="133" t="s">
        <v>2417</v>
      </c>
      <c r="S1079" s="133" t="s">
        <v>2417</v>
      </c>
      <c r="T1079" s="133" t="s">
        <v>2417</v>
      </c>
      <c r="U1079" s="133" t="s">
        <v>2417</v>
      </c>
      <c r="V1079" s="133" t="s">
        <v>2417</v>
      </c>
      <c r="W1079" s="133" t="s">
        <v>2417</v>
      </c>
      <c r="X1079" s="133" t="s">
        <v>2417</v>
      </c>
      <c r="Y1079" s="133" t="s">
        <v>2417</v>
      </c>
      <c r="Z1079" s="133" t="s">
        <v>2417</v>
      </c>
      <c r="AA1079" s="133" t="s">
        <v>2417</v>
      </c>
      <c r="AB1079" s="133" t="s">
        <v>2417</v>
      </c>
      <c r="AC1079" s="133" t="s">
        <v>2417</v>
      </c>
      <c r="AD1079" s="133" t="s">
        <v>2417</v>
      </c>
      <c r="AE1079" s="59"/>
    </row>
    <row r="1080" spans="1:31" ht="21" outlineLevel="3">
      <c r="A1080" s="68" t="s">
        <v>2218</v>
      </c>
      <c r="B1080" s="62" t="s">
        <v>2219</v>
      </c>
      <c r="C1080" s="447" t="s">
        <v>2220</v>
      </c>
      <c r="D1080" s="351"/>
      <c r="E1080" s="133" t="s">
        <v>2417</v>
      </c>
      <c r="F1080" s="133" t="s">
        <v>2587</v>
      </c>
      <c r="G1080" s="133" t="s">
        <v>2417</v>
      </c>
      <c r="H1080" s="133" t="s">
        <v>2417</v>
      </c>
      <c r="I1080" s="133" t="s">
        <v>2417</v>
      </c>
      <c r="J1080" s="133" t="s">
        <v>2417</v>
      </c>
      <c r="K1080" s="133" t="s">
        <v>2417</v>
      </c>
      <c r="L1080" s="133" t="s">
        <v>2417</v>
      </c>
      <c r="M1080" s="133" t="s">
        <v>2417</v>
      </c>
      <c r="N1080" s="133" t="s">
        <v>2417</v>
      </c>
      <c r="O1080" s="133" t="s">
        <v>2417</v>
      </c>
      <c r="P1080" s="133" t="s">
        <v>2417</v>
      </c>
      <c r="Q1080" s="133" t="s">
        <v>2417</v>
      </c>
      <c r="R1080" s="133" t="s">
        <v>2417</v>
      </c>
      <c r="S1080" s="133" t="s">
        <v>2417</v>
      </c>
      <c r="T1080" s="133" t="s">
        <v>2417</v>
      </c>
      <c r="U1080" s="133" t="s">
        <v>2417</v>
      </c>
      <c r="V1080" s="133" t="s">
        <v>2417</v>
      </c>
      <c r="W1080" s="133" t="s">
        <v>2417</v>
      </c>
      <c r="X1080" s="133" t="s">
        <v>2417</v>
      </c>
      <c r="Y1080" s="133" t="s">
        <v>2417</v>
      </c>
      <c r="Z1080" s="133" t="s">
        <v>2417</v>
      </c>
      <c r="AA1080" s="133" t="s">
        <v>2417</v>
      </c>
      <c r="AB1080" s="133" t="s">
        <v>2417</v>
      </c>
      <c r="AC1080" s="133" t="s">
        <v>2417</v>
      </c>
      <c r="AD1080" s="133" t="s">
        <v>2417</v>
      </c>
      <c r="AE1080" s="181"/>
    </row>
    <row r="1081" spans="1:31" ht="21" outlineLevel="3">
      <c r="A1081" s="68" t="s">
        <v>2221</v>
      </c>
      <c r="B1081" s="62" t="s">
        <v>2222</v>
      </c>
      <c r="C1081" s="447" t="s">
        <v>2223</v>
      </c>
      <c r="D1081" s="351"/>
      <c r="E1081" s="133" t="s">
        <v>2417</v>
      </c>
      <c r="F1081" s="133" t="s">
        <v>2587</v>
      </c>
      <c r="G1081" s="133" t="s">
        <v>2417</v>
      </c>
      <c r="H1081" s="133" t="s">
        <v>2417</v>
      </c>
      <c r="I1081" s="133" t="s">
        <v>2417</v>
      </c>
      <c r="J1081" s="133" t="s">
        <v>2417</v>
      </c>
      <c r="K1081" s="133" t="s">
        <v>2417</v>
      </c>
      <c r="L1081" s="133" t="s">
        <v>2417</v>
      </c>
      <c r="M1081" s="133" t="s">
        <v>2417</v>
      </c>
      <c r="N1081" s="133" t="s">
        <v>2417</v>
      </c>
      <c r="O1081" s="133" t="s">
        <v>2417</v>
      </c>
      <c r="P1081" s="133" t="s">
        <v>2417</v>
      </c>
      <c r="Q1081" s="133" t="s">
        <v>2417</v>
      </c>
      <c r="R1081" s="133" t="s">
        <v>2417</v>
      </c>
      <c r="S1081" s="133" t="s">
        <v>2417</v>
      </c>
      <c r="T1081" s="133" t="s">
        <v>2417</v>
      </c>
      <c r="U1081" s="133" t="s">
        <v>2417</v>
      </c>
      <c r="V1081" s="133" t="s">
        <v>2417</v>
      </c>
      <c r="W1081" s="133" t="s">
        <v>2417</v>
      </c>
      <c r="X1081" s="133" t="s">
        <v>2417</v>
      </c>
      <c r="Y1081" s="133" t="s">
        <v>2417</v>
      </c>
      <c r="Z1081" s="133" t="s">
        <v>2417</v>
      </c>
      <c r="AA1081" s="133" t="s">
        <v>2417</v>
      </c>
      <c r="AB1081" s="133" t="s">
        <v>2417</v>
      </c>
      <c r="AC1081" s="133" t="s">
        <v>2417</v>
      </c>
      <c r="AD1081" s="133" t="s">
        <v>2417</v>
      </c>
      <c r="AE1081" s="184"/>
    </row>
    <row r="1082" spans="1:31" ht="21" outlineLevel="3">
      <c r="A1082" s="68" t="s">
        <v>2224</v>
      </c>
      <c r="B1082" s="62" t="s">
        <v>2225</v>
      </c>
      <c r="C1082" s="446" t="s">
        <v>2936</v>
      </c>
      <c r="D1082" s="351"/>
      <c r="E1082" s="133" t="s">
        <v>2417</v>
      </c>
      <c r="F1082" s="133" t="s">
        <v>2587</v>
      </c>
      <c r="G1082" s="133" t="s">
        <v>2417</v>
      </c>
      <c r="H1082" s="133" t="s">
        <v>2417</v>
      </c>
      <c r="I1082" s="133" t="s">
        <v>2417</v>
      </c>
      <c r="J1082" s="133" t="s">
        <v>2417</v>
      </c>
      <c r="K1082" s="133" t="s">
        <v>2417</v>
      </c>
      <c r="L1082" s="133" t="s">
        <v>2417</v>
      </c>
      <c r="M1082" s="133" t="s">
        <v>2417</v>
      </c>
      <c r="N1082" s="133" t="s">
        <v>2417</v>
      </c>
      <c r="O1082" s="133" t="s">
        <v>2417</v>
      </c>
      <c r="P1082" s="133" t="s">
        <v>2417</v>
      </c>
      <c r="Q1082" s="133" t="s">
        <v>2417</v>
      </c>
      <c r="R1082" s="133" t="s">
        <v>2417</v>
      </c>
      <c r="S1082" s="133" t="s">
        <v>2417</v>
      </c>
      <c r="T1082" s="133" t="s">
        <v>2417</v>
      </c>
      <c r="U1082" s="133" t="s">
        <v>2417</v>
      </c>
      <c r="V1082" s="133" t="s">
        <v>2417</v>
      </c>
      <c r="W1082" s="133" t="s">
        <v>2417</v>
      </c>
      <c r="X1082" s="133" t="s">
        <v>2417</v>
      </c>
      <c r="Y1082" s="133" t="s">
        <v>2417</v>
      </c>
      <c r="Z1082" s="133" t="s">
        <v>2417</v>
      </c>
      <c r="AA1082" s="133" t="s">
        <v>2417</v>
      </c>
      <c r="AB1082" s="133" t="s">
        <v>2417</v>
      </c>
      <c r="AC1082" s="133" t="s">
        <v>2417</v>
      </c>
      <c r="AD1082" s="133" t="s">
        <v>2417</v>
      </c>
      <c r="AE1082" s="180"/>
    </row>
    <row r="1083" spans="1:31" ht="21" outlineLevel="3">
      <c r="A1083" s="68" t="s">
        <v>2227</v>
      </c>
      <c r="B1083" s="62" t="s">
        <v>2225</v>
      </c>
      <c r="C1083" s="446" t="s">
        <v>2937</v>
      </c>
      <c r="D1083" s="351"/>
      <c r="E1083" s="133" t="s">
        <v>2417</v>
      </c>
      <c r="F1083" s="133" t="s">
        <v>2587</v>
      </c>
      <c r="G1083" s="133" t="s">
        <v>2417</v>
      </c>
      <c r="H1083" s="133" t="s">
        <v>2417</v>
      </c>
      <c r="I1083" s="133" t="s">
        <v>2417</v>
      </c>
      <c r="J1083" s="133" t="s">
        <v>2417</v>
      </c>
      <c r="K1083" s="133" t="s">
        <v>2417</v>
      </c>
      <c r="L1083" s="133" t="s">
        <v>2417</v>
      </c>
      <c r="M1083" s="133" t="s">
        <v>2417</v>
      </c>
      <c r="N1083" s="133" t="s">
        <v>2417</v>
      </c>
      <c r="O1083" s="133" t="s">
        <v>2417</v>
      </c>
      <c r="P1083" s="133" t="s">
        <v>2417</v>
      </c>
      <c r="Q1083" s="133" t="s">
        <v>2417</v>
      </c>
      <c r="R1083" s="133" t="s">
        <v>2417</v>
      </c>
      <c r="S1083" s="133" t="s">
        <v>2417</v>
      </c>
      <c r="T1083" s="133" t="s">
        <v>2417</v>
      </c>
      <c r="U1083" s="133" t="s">
        <v>2417</v>
      </c>
      <c r="V1083" s="133" t="s">
        <v>2417</v>
      </c>
      <c r="W1083" s="133" t="s">
        <v>2417</v>
      </c>
      <c r="X1083" s="133" t="s">
        <v>2417</v>
      </c>
      <c r="Y1083" s="133" t="s">
        <v>2417</v>
      </c>
      <c r="Z1083" s="133" t="s">
        <v>2417</v>
      </c>
      <c r="AA1083" s="133" t="s">
        <v>2417</v>
      </c>
      <c r="AB1083" s="133" t="s">
        <v>2417</v>
      </c>
      <c r="AC1083" s="133" t="s">
        <v>2417</v>
      </c>
      <c r="AD1083" s="133" t="s">
        <v>2417</v>
      </c>
      <c r="AE1083" s="180"/>
    </row>
    <row r="1084" spans="1:31" ht="20.399999999999999" outlineLevel="3">
      <c r="A1084" s="68" t="s">
        <v>2229</v>
      </c>
      <c r="B1084" s="64" t="s">
        <v>2230</v>
      </c>
      <c r="C1084" s="360" t="s">
        <v>2938</v>
      </c>
      <c r="D1084" s="351"/>
      <c r="E1084" s="133" t="s">
        <v>2417</v>
      </c>
      <c r="F1084" s="133" t="s">
        <v>2587</v>
      </c>
      <c r="G1084" s="133" t="s">
        <v>2417</v>
      </c>
      <c r="H1084" s="133" t="s">
        <v>2417</v>
      </c>
      <c r="I1084" s="133" t="s">
        <v>2417</v>
      </c>
      <c r="J1084" s="133" t="s">
        <v>2417</v>
      </c>
      <c r="K1084" s="133" t="s">
        <v>2417</v>
      </c>
      <c r="L1084" s="133" t="s">
        <v>2417</v>
      </c>
      <c r="M1084" s="133" t="s">
        <v>2417</v>
      </c>
      <c r="N1084" s="133" t="s">
        <v>2417</v>
      </c>
      <c r="O1084" s="133" t="s">
        <v>2417</v>
      </c>
      <c r="P1084" s="133" t="s">
        <v>2417</v>
      </c>
      <c r="Q1084" s="133" t="s">
        <v>2417</v>
      </c>
      <c r="R1084" s="133" t="s">
        <v>2417</v>
      </c>
      <c r="S1084" s="133" t="s">
        <v>2417</v>
      </c>
      <c r="T1084" s="133" t="s">
        <v>2417</v>
      </c>
      <c r="U1084" s="133" t="s">
        <v>2417</v>
      </c>
      <c r="V1084" s="133" t="s">
        <v>2417</v>
      </c>
      <c r="W1084" s="133" t="s">
        <v>2417</v>
      </c>
      <c r="X1084" s="133" t="s">
        <v>2417</v>
      </c>
      <c r="Y1084" s="133" t="s">
        <v>2417</v>
      </c>
      <c r="Z1084" s="133" t="s">
        <v>2417</v>
      </c>
      <c r="AA1084" s="133" t="s">
        <v>2417</v>
      </c>
      <c r="AB1084" s="133" t="s">
        <v>2417</v>
      </c>
      <c r="AC1084" s="133" t="s">
        <v>2417</v>
      </c>
      <c r="AD1084" s="133" t="s">
        <v>2417</v>
      </c>
      <c r="AE1084" s="123"/>
    </row>
    <row r="1085" spans="1:31" ht="13.2" outlineLevel="2">
      <c r="A1085" s="390" t="s">
        <v>2232</v>
      </c>
      <c r="B1085" s="350"/>
      <c r="C1085" s="350"/>
      <c r="D1085" s="351"/>
      <c r="E1085" s="133" t="s">
        <v>2417</v>
      </c>
      <c r="F1085" s="133" t="s">
        <v>2396</v>
      </c>
      <c r="G1085" s="133" t="s">
        <v>2417</v>
      </c>
      <c r="H1085" s="133" t="s">
        <v>2417</v>
      </c>
      <c r="I1085" s="134" t="s">
        <v>2418</v>
      </c>
      <c r="J1085" s="133" t="s">
        <v>2417</v>
      </c>
      <c r="K1085" s="133" t="s">
        <v>2417</v>
      </c>
      <c r="L1085" s="133" t="s">
        <v>2417</v>
      </c>
      <c r="M1085" s="133" t="s">
        <v>2417</v>
      </c>
      <c r="N1085" s="133" t="s">
        <v>2417</v>
      </c>
      <c r="O1085" s="133" t="s">
        <v>2417</v>
      </c>
      <c r="P1085" s="133" t="s">
        <v>2417</v>
      </c>
      <c r="Q1085" s="133" t="s">
        <v>2417</v>
      </c>
      <c r="R1085" s="133" t="s">
        <v>2417</v>
      </c>
      <c r="S1085" s="133" t="s">
        <v>2417</v>
      </c>
      <c r="T1085" s="133" t="s">
        <v>2417</v>
      </c>
      <c r="U1085" s="133" t="s">
        <v>2417</v>
      </c>
      <c r="V1085" s="133" t="s">
        <v>2417</v>
      </c>
      <c r="W1085" s="133" t="s">
        <v>2417</v>
      </c>
      <c r="X1085" s="133" t="s">
        <v>2417</v>
      </c>
      <c r="Y1085" s="133" t="s">
        <v>2417</v>
      </c>
      <c r="Z1085" s="133" t="s">
        <v>2417</v>
      </c>
      <c r="AA1085" s="133" t="s">
        <v>2417</v>
      </c>
      <c r="AB1085" s="133" t="s">
        <v>2417</v>
      </c>
      <c r="AC1085" s="133" t="s">
        <v>2417</v>
      </c>
      <c r="AD1085" s="133" t="s">
        <v>2417</v>
      </c>
      <c r="AE1085" s="176"/>
    </row>
    <row r="1086" spans="1:31" ht="13.2" outlineLevel="3">
      <c r="A1086" s="68" t="s">
        <v>2233</v>
      </c>
      <c r="B1086" s="64"/>
      <c r="C1086" s="387" t="s">
        <v>2234</v>
      </c>
      <c r="D1086" s="351"/>
      <c r="E1086" s="133" t="s">
        <v>2417</v>
      </c>
      <c r="F1086" s="133" t="s">
        <v>2396</v>
      </c>
      <c r="G1086" s="133" t="s">
        <v>2417</v>
      </c>
      <c r="H1086" s="133" t="s">
        <v>2417</v>
      </c>
      <c r="I1086" s="134" t="s">
        <v>2418</v>
      </c>
      <c r="J1086" s="133" t="s">
        <v>2417</v>
      </c>
      <c r="K1086" s="133" t="s">
        <v>2417</v>
      </c>
      <c r="L1086" s="133" t="s">
        <v>2417</v>
      </c>
      <c r="M1086" s="133" t="s">
        <v>2417</v>
      </c>
      <c r="N1086" s="133" t="s">
        <v>2417</v>
      </c>
      <c r="O1086" s="133" t="s">
        <v>2417</v>
      </c>
      <c r="P1086" s="133" t="s">
        <v>2417</v>
      </c>
      <c r="Q1086" s="133" t="s">
        <v>2417</v>
      </c>
      <c r="R1086" s="133" t="s">
        <v>2417</v>
      </c>
      <c r="S1086" s="133" t="s">
        <v>2417</v>
      </c>
      <c r="T1086" s="133" t="s">
        <v>2417</v>
      </c>
      <c r="U1086" s="133" t="s">
        <v>2417</v>
      </c>
      <c r="V1086" s="133" t="s">
        <v>2417</v>
      </c>
      <c r="W1086" s="133" t="s">
        <v>2417</v>
      </c>
      <c r="X1086" s="133" t="s">
        <v>2417</v>
      </c>
      <c r="Y1086" s="133" t="s">
        <v>2417</v>
      </c>
      <c r="Z1086" s="133" t="s">
        <v>2417</v>
      </c>
      <c r="AA1086" s="133" t="s">
        <v>2417</v>
      </c>
      <c r="AB1086" s="133" t="s">
        <v>2417</v>
      </c>
      <c r="AC1086" s="133" t="s">
        <v>2417</v>
      </c>
      <c r="AD1086" s="133" t="s">
        <v>2417</v>
      </c>
      <c r="AE1086" s="59"/>
    </row>
    <row r="1087" spans="1:31" ht="20.399999999999999" outlineLevel="3">
      <c r="A1087" s="68" t="s">
        <v>2235</v>
      </c>
      <c r="B1087" s="65" t="s">
        <v>2219</v>
      </c>
      <c r="C1087" s="432" t="s">
        <v>2220</v>
      </c>
      <c r="D1087" s="351"/>
      <c r="E1087" s="133" t="s">
        <v>2417</v>
      </c>
      <c r="F1087" s="133" t="s">
        <v>2396</v>
      </c>
      <c r="G1087" s="133" t="s">
        <v>2417</v>
      </c>
      <c r="H1087" s="133" t="s">
        <v>2417</v>
      </c>
      <c r="I1087" s="133" t="s">
        <v>2417</v>
      </c>
      <c r="J1087" s="133" t="s">
        <v>2417</v>
      </c>
      <c r="K1087" s="133" t="s">
        <v>2417</v>
      </c>
      <c r="L1087" s="133" t="s">
        <v>2417</v>
      </c>
      <c r="M1087" s="133" t="s">
        <v>2417</v>
      </c>
      <c r="N1087" s="133" t="s">
        <v>2417</v>
      </c>
      <c r="O1087" s="133" t="s">
        <v>2417</v>
      </c>
      <c r="P1087" s="133" t="s">
        <v>2417</v>
      </c>
      <c r="Q1087" s="133" t="s">
        <v>2417</v>
      </c>
      <c r="R1087" s="133" t="s">
        <v>2417</v>
      </c>
      <c r="S1087" s="133" t="s">
        <v>2417</v>
      </c>
      <c r="T1087" s="133" t="s">
        <v>2417</v>
      </c>
      <c r="U1087" s="133" t="s">
        <v>2417</v>
      </c>
      <c r="V1087" s="133" t="s">
        <v>2417</v>
      </c>
      <c r="W1087" s="133" t="s">
        <v>2417</v>
      </c>
      <c r="X1087" s="133" t="s">
        <v>2417</v>
      </c>
      <c r="Y1087" s="133" t="s">
        <v>2417</v>
      </c>
      <c r="Z1087" s="133" t="s">
        <v>2417</v>
      </c>
      <c r="AA1087" s="133" t="s">
        <v>2417</v>
      </c>
      <c r="AB1087" s="133" t="s">
        <v>2417</v>
      </c>
      <c r="AC1087" s="133" t="s">
        <v>2417</v>
      </c>
      <c r="AD1087" s="133" t="s">
        <v>2417</v>
      </c>
      <c r="AE1087" s="197"/>
    </row>
    <row r="1088" spans="1:31" ht="20.399999999999999" outlineLevel="3">
      <c r="A1088" s="68" t="s">
        <v>2236</v>
      </c>
      <c r="B1088" s="65" t="s">
        <v>2222</v>
      </c>
      <c r="C1088" s="432" t="s">
        <v>2237</v>
      </c>
      <c r="D1088" s="351"/>
      <c r="E1088" s="133" t="s">
        <v>2417</v>
      </c>
      <c r="F1088" s="133" t="s">
        <v>2396</v>
      </c>
      <c r="G1088" s="133" t="s">
        <v>2417</v>
      </c>
      <c r="H1088" s="133" t="s">
        <v>2417</v>
      </c>
      <c r="I1088" s="133" t="s">
        <v>2417</v>
      </c>
      <c r="J1088" s="133" t="s">
        <v>2417</v>
      </c>
      <c r="K1088" s="133" t="s">
        <v>2417</v>
      </c>
      <c r="L1088" s="133" t="s">
        <v>2417</v>
      </c>
      <c r="M1088" s="133" t="s">
        <v>2417</v>
      </c>
      <c r="N1088" s="133" t="s">
        <v>2417</v>
      </c>
      <c r="O1088" s="133" t="s">
        <v>2417</v>
      </c>
      <c r="P1088" s="133" t="s">
        <v>2417</v>
      </c>
      <c r="Q1088" s="133" t="s">
        <v>2417</v>
      </c>
      <c r="R1088" s="133" t="s">
        <v>2417</v>
      </c>
      <c r="S1088" s="133" t="s">
        <v>2417</v>
      </c>
      <c r="T1088" s="133" t="s">
        <v>2417</v>
      </c>
      <c r="U1088" s="133" t="s">
        <v>2417</v>
      </c>
      <c r="V1088" s="133" t="s">
        <v>2417</v>
      </c>
      <c r="W1088" s="133" t="s">
        <v>2417</v>
      </c>
      <c r="X1088" s="133" t="s">
        <v>2417</v>
      </c>
      <c r="Y1088" s="133" t="s">
        <v>2417</v>
      </c>
      <c r="Z1088" s="133" t="s">
        <v>2417</v>
      </c>
      <c r="AA1088" s="133" t="s">
        <v>2417</v>
      </c>
      <c r="AB1088" s="133" t="s">
        <v>2417</v>
      </c>
      <c r="AC1088" s="133" t="s">
        <v>2417</v>
      </c>
      <c r="AD1088" s="133" t="s">
        <v>2417</v>
      </c>
      <c r="AE1088" s="197"/>
    </row>
    <row r="1089" spans="1:31" ht="20.399999999999999" outlineLevel="3">
      <c r="A1089" s="68" t="s">
        <v>2238</v>
      </c>
      <c r="B1089" s="65" t="s">
        <v>2225</v>
      </c>
      <c r="C1089" s="432" t="s">
        <v>2939</v>
      </c>
      <c r="D1089" s="351"/>
      <c r="E1089" s="133" t="s">
        <v>2417</v>
      </c>
      <c r="F1089" s="133" t="s">
        <v>2396</v>
      </c>
      <c r="G1089" s="133" t="s">
        <v>2417</v>
      </c>
      <c r="H1089" s="133" t="s">
        <v>2417</v>
      </c>
      <c r="I1089" s="133" t="s">
        <v>2417</v>
      </c>
      <c r="J1089" s="133" t="s">
        <v>2417</v>
      </c>
      <c r="K1089" s="133" t="s">
        <v>2417</v>
      </c>
      <c r="L1089" s="133" t="s">
        <v>2417</v>
      </c>
      <c r="M1089" s="133" t="s">
        <v>2417</v>
      </c>
      <c r="N1089" s="133" t="s">
        <v>2417</v>
      </c>
      <c r="O1089" s="133" t="s">
        <v>2417</v>
      </c>
      <c r="P1089" s="133" t="s">
        <v>2417</v>
      </c>
      <c r="Q1089" s="133" t="s">
        <v>2417</v>
      </c>
      <c r="R1089" s="133" t="s">
        <v>2417</v>
      </c>
      <c r="S1089" s="133" t="s">
        <v>2417</v>
      </c>
      <c r="T1089" s="133" t="s">
        <v>2417</v>
      </c>
      <c r="U1089" s="133" t="s">
        <v>2417</v>
      </c>
      <c r="V1089" s="133" t="s">
        <v>2417</v>
      </c>
      <c r="W1089" s="133" t="s">
        <v>2417</v>
      </c>
      <c r="X1089" s="133" t="s">
        <v>2417</v>
      </c>
      <c r="Y1089" s="133" t="s">
        <v>2417</v>
      </c>
      <c r="Z1089" s="133" t="s">
        <v>2417</v>
      </c>
      <c r="AA1089" s="133" t="s">
        <v>2417</v>
      </c>
      <c r="AB1089" s="133" t="s">
        <v>2417</v>
      </c>
      <c r="AC1089" s="133" t="s">
        <v>2417</v>
      </c>
      <c r="AD1089" s="133" t="s">
        <v>2417</v>
      </c>
      <c r="AE1089" s="197"/>
    </row>
    <row r="1090" spans="1:31" ht="20.399999999999999" outlineLevel="3">
      <c r="A1090" s="68" t="s">
        <v>2240</v>
      </c>
      <c r="B1090" s="65" t="s">
        <v>2225</v>
      </c>
      <c r="C1090" s="432" t="s">
        <v>2940</v>
      </c>
      <c r="D1090" s="351"/>
      <c r="E1090" s="133" t="s">
        <v>2417</v>
      </c>
      <c r="F1090" s="133" t="s">
        <v>2396</v>
      </c>
      <c r="G1090" s="133" t="s">
        <v>2417</v>
      </c>
      <c r="H1090" s="133" t="s">
        <v>2417</v>
      </c>
      <c r="I1090" s="133" t="s">
        <v>2417</v>
      </c>
      <c r="J1090" s="133" t="s">
        <v>2417</v>
      </c>
      <c r="K1090" s="133" t="s">
        <v>2417</v>
      </c>
      <c r="L1090" s="133" t="s">
        <v>2417</v>
      </c>
      <c r="M1090" s="133" t="s">
        <v>2417</v>
      </c>
      <c r="N1090" s="133" t="s">
        <v>2417</v>
      </c>
      <c r="O1090" s="133" t="s">
        <v>2417</v>
      </c>
      <c r="P1090" s="133" t="s">
        <v>2417</v>
      </c>
      <c r="Q1090" s="133" t="s">
        <v>2417</v>
      </c>
      <c r="R1090" s="133" t="s">
        <v>2417</v>
      </c>
      <c r="S1090" s="133" t="s">
        <v>2417</v>
      </c>
      <c r="T1090" s="133" t="s">
        <v>2417</v>
      </c>
      <c r="U1090" s="133" t="s">
        <v>2417</v>
      </c>
      <c r="V1090" s="133" t="s">
        <v>2417</v>
      </c>
      <c r="W1090" s="133" t="s">
        <v>2417</v>
      </c>
      <c r="X1090" s="133" t="s">
        <v>2417</v>
      </c>
      <c r="Y1090" s="133" t="s">
        <v>2417</v>
      </c>
      <c r="Z1090" s="133" t="s">
        <v>2417</v>
      </c>
      <c r="AA1090" s="133" t="s">
        <v>2417</v>
      </c>
      <c r="AB1090" s="133" t="s">
        <v>2417</v>
      </c>
      <c r="AC1090" s="133" t="s">
        <v>2417</v>
      </c>
      <c r="AD1090" s="133" t="s">
        <v>2417</v>
      </c>
      <c r="AE1090" s="197"/>
    </row>
    <row r="1091" spans="1:31" ht="20.399999999999999" outlineLevel="3">
      <c r="A1091" s="68" t="s">
        <v>2242</v>
      </c>
      <c r="B1091" s="65" t="s">
        <v>2243</v>
      </c>
      <c r="C1091" s="360" t="s">
        <v>2941</v>
      </c>
      <c r="D1091" s="351"/>
      <c r="E1091" s="133" t="s">
        <v>2417</v>
      </c>
      <c r="F1091" s="133" t="s">
        <v>2396</v>
      </c>
      <c r="G1091" s="133" t="s">
        <v>2417</v>
      </c>
      <c r="H1091" s="133" t="s">
        <v>2417</v>
      </c>
      <c r="I1091" s="133" t="s">
        <v>2417</v>
      </c>
      <c r="J1091" s="133" t="s">
        <v>2417</v>
      </c>
      <c r="K1091" s="133" t="s">
        <v>2417</v>
      </c>
      <c r="L1091" s="133" t="s">
        <v>2417</v>
      </c>
      <c r="M1091" s="133" t="s">
        <v>2417</v>
      </c>
      <c r="N1091" s="133" t="s">
        <v>2417</v>
      </c>
      <c r="O1091" s="133" t="s">
        <v>2417</v>
      </c>
      <c r="P1091" s="133" t="s">
        <v>2417</v>
      </c>
      <c r="Q1091" s="133" t="s">
        <v>2417</v>
      </c>
      <c r="R1091" s="133" t="s">
        <v>2417</v>
      </c>
      <c r="S1091" s="133" t="s">
        <v>2417</v>
      </c>
      <c r="T1091" s="133" t="s">
        <v>2417</v>
      </c>
      <c r="U1091" s="133" t="s">
        <v>2417</v>
      </c>
      <c r="V1091" s="133" t="s">
        <v>2417</v>
      </c>
      <c r="W1091" s="133" t="s">
        <v>2417</v>
      </c>
      <c r="X1091" s="133" t="s">
        <v>2417</v>
      </c>
      <c r="Y1091" s="133" t="s">
        <v>2417</v>
      </c>
      <c r="Z1091" s="133" t="s">
        <v>2417</v>
      </c>
      <c r="AA1091" s="133" t="s">
        <v>2417</v>
      </c>
      <c r="AB1091" s="133" t="s">
        <v>2417</v>
      </c>
      <c r="AC1091" s="133" t="s">
        <v>2417</v>
      </c>
      <c r="AD1091" s="133" t="s">
        <v>2417</v>
      </c>
      <c r="AE1091" s="123"/>
    </row>
    <row r="1092" spans="1:31" ht="13.2" outlineLevel="1">
      <c r="A1092" s="386" t="s">
        <v>2245</v>
      </c>
      <c r="B1092" s="350"/>
      <c r="C1092" s="350"/>
      <c r="D1092" s="351"/>
      <c r="E1092" s="133" t="s">
        <v>2417</v>
      </c>
      <c r="F1092" s="133" t="s">
        <v>2417</v>
      </c>
      <c r="G1092" s="133" t="s">
        <v>2417</v>
      </c>
      <c r="H1092" s="133" t="s">
        <v>2417</v>
      </c>
      <c r="I1092" s="134" t="s">
        <v>2418</v>
      </c>
      <c r="J1092" s="133" t="s">
        <v>2417</v>
      </c>
      <c r="K1092" s="133" t="s">
        <v>2417</v>
      </c>
      <c r="L1092" s="133" t="s">
        <v>2417</v>
      </c>
      <c r="M1092" s="133" t="s">
        <v>2417</v>
      </c>
      <c r="N1092" s="133" t="s">
        <v>2417</v>
      </c>
      <c r="O1092" s="133" t="s">
        <v>2417</v>
      </c>
      <c r="P1092" s="133" t="s">
        <v>2417</v>
      </c>
      <c r="Q1092" s="133" t="s">
        <v>2417</v>
      </c>
      <c r="R1092" s="133" t="s">
        <v>2417</v>
      </c>
      <c r="S1092" s="133" t="s">
        <v>2417</v>
      </c>
      <c r="T1092" s="133" t="s">
        <v>2417</v>
      </c>
      <c r="U1092" s="133" t="s">
        <v>2417</v>
      </c>
      <c r="V1092" s="133" t="s">
        <v>2417</v>
      </c>
      <c r="W1092" s="133" t="s">
        <v>2417</v>
      </c>
      <c r="X1092" s="133" t="s">
        <v>2417</v>
      </c>
      <c r="Y1092" s="133" t="s">
        <v>2417</v>
      </c>
      <c r="Z1092" s="133" t="s">
        <v>2417</v>
      </c>
      <c r="AA1092" s="133" t="s">
        <v>2417</v>
      </c>
      <c r="AB1092" s="133" t="s">
        <v>2417</v>
      </c>
      <c r="AC1092" s="133" t="s">
        <v>2417</v>
      </c>
      <c r="AD1092" s="133" t="s">
        <v>2417</v>
      </c>
      <c r="AE1092" s="139"/>
    </row>
    <row r="1093" spans="1:31" ht="20.399999999999999" outlineLevel="2">
      <c r="A1093" s="68" t="s">
        <v>2246</v>
      </c>
      <c r="B1093" s="65" t="s">
        <v>2247</v>
      </c>
      <c r="C1093" s="360" t="s">
        <v>2248</v>
      </c>
      <c r="D1093" s="351"/>
      <c r="E1093" s="133" t="s">
        <v>2417</v>
      </c>
      <c r="F1093" s="133" t="s">
        <v>2417</v>
      </c>
      <c r="G1093" s="133" t="s">
        <v>2417</v>
      </c>
      <c r="H1093" s="133" t="s">
        <v>2417</v>
      </c>
      <c r="I1093" s="134" t="s">
        <v>2418</v>
      </c>
      <c r="J1093" s="133" t="s">
        <v>2417</v>
      </c>
      <c r="K1093" s="133" t="s">
        <v>2417</v>
      </c>
      <c r="L1093" s="133" t="s">
        <v>2417</v>
      </c>
      <c r="M1093" s="133" t="s">
        <v>2417</v>
      </c>
      <c r="N1093" s="133" t="s">
        <v>2417</v>
      </c>
      <c r="O1093" s="133" t="s">
        <v>2417</v>
      </c>
      <c r="P1093" s="133" t="s">
        <v>2417</v>
      </c>
      <c r="Q1093" s="133" t="s">
        <v>2417</v>
      </c>
      <c r="R1093" s="133" t="s">
        <v>2417</v>
      </c>
      <c r="S1093" s="133" t="s">
        <v>2417</v>
      </c>
      <c r="T1093" s="133" t="s">
        <v>2417</v>
      </c>
      <c r="U1093" s="133" t="s">
        <v>2417</v>
      </c>
      <c r="V1093" s="133" t="s">
        <v>2417</v>
      </c>
      <c r="W1093" s="133" t="s">
        <v>2417</v>
      </c>
      <c r="X1093" s="133" t="s">
        <v>2417</v>
      </c>
      <c r="Y1093" s="133" t="s">
        <v>2417</v>
      </c>
      <c r="Z1093" s="133" t="s">
        <v>2417</v>
      </c>
      <c r="AA1093" s="133" t="s">
        <v>2417</v>
      </c>
      <c r="AB1093" s="133" t="s">
        <v>2417</v>
      </c>
      <c r="AC1093" s="133" t="s">
        <v>2417</v>
      </c>
      <c r="AD1093" s="133" t="s">
        <v>2417</v>
      </c>
      <c r="AE1093" s="123"/>
    </row>
    <row r="1094" spans="1:31" ht="13.2" outlineLevel="2">
      <c r="A1094" s="390" t="s">
        <v>2249</v>
      </c>
      <c r="B1094" s="350"/>
      <c r="C1094" s="350"/>
      <c r="D1094" s="351"/>
      <c r="E1094" s="133" t="s">
        <v>2417</v>
      </c>
      <c r="F1094" s="133" t="s">
        <v>2417</v>
      </c>
      <c r="G1094" s="133" t="s">
        <v>2417</v>
      </c>
      <c r="H1094" s="133" t="s">
        <v>2417</v>
      </c>
      <c r="I1094" s="133" t="s">
        <v>2417</v>
      </c>
      <c r="J1094" s="133" t="s">
        <v>2417</v>
      </c>
      <c r="K1094" s="133" t="s">
        <v>2417</v>
      </c>
      <c r="L1094" s="133" t="s">
        <v>2417</v>
      </c>
      <c r="M1094" s="133" t="s">
        <v>2417</v>
      </c>
      <c r="N1094" s="133" t="s">
        <v>2417</v>
      </c>
      <c r="O1094" s="133" t="s">
        <v>2417</v>
      </c>
      <c r="P1094" s="133" t="s">
        <v>2417</v>
      </c>
      <c r="Q1094" s="133" t="s">
        <v>2417</v>
      </c>
      <c r="R1094" s="133" t="s">
        <v>2417</v>
      </c>
      <c r="S1094" s="133" t="s">
        <v>2417</v>
      </c>
      <c r="T1094" s="133" t="s">
        <v>2417</v>
      </c>
      <c r="U1094" s="133" t="s">
        <v>2417</v>
      </c>
      <c r="V1094" s="133" t="s">
        <v>2417</v>
      </c>
      <c r="W1094" s="133" t="s">
        <v>2417</v>
      </c>
      <c r="X1094" s="133" t="s">
        <v>2417</v>
      </c>
      <c r="Y1094" s="133" t="s">
        <v>2417</v>
      </c>
      <c r="Z1094" s="133" t="s">
        <v>2417</v>
      </c>
      <c r="AA1094" s="133" t="s">
        <v>2417</v>
      </c>
      <c r="AB1094" s="133" t="s">
        <v>2417</v>
      </c>
      <c r="AC1094" s="133" t="s">
        <v>2417</v>
      </c>
      <c r="AD1094" s="133" t="s">
        <v>2417</v>
      </c>
      <c r="AE1094" s="176"/>
    </row>
    <row r="1095" spans="1:31" ht="13.2" outlineLevel="3">
      <c r="A1095" s="68" t="s">
        <v>2250</v>
      </c>
      <c r="B1095" s="65" t="s">
        <v>2251</v>
      </c>
      <c r="C1095" s="451" t="s">
        <v>2942</v>
      </c>
      <c r="D1095" s="351"/>
      <c r="E1095" s="133" t="s">
        <v>2417</v>
      </c>
      <c r="F1095" s="133" t="s">
        <v>2421</v>
      </c>
      <c r="G1095" s="133" t="s">
        <v>2417</v>
      </c>
      <c r="H1095" s="133" t="s">
        <v>2417</v>
      </c>
      <c r="I1095" s="134" t="s">
        <v>2418</v>
      </c>
      <c r="J1095" s="133" t="s">
        <v>2417</v>
      </c>
      <c r="K1095" s="133" t="s">
        <v>2417</v>
      </c>
      <c r="L1095" s="133" t="s">
        <v>2417</v>
      </c>
      <c r="M1095" s="133" t="s">
        <v>2417</v>
      </c>
      <c r="N1095" s="133" t="s">
        <v>2417</v>
      </c>
      <c r="O1095" s="133" t="s">
        <v>2417</v>
      </c>
      <c r="P1095" s="133" t="s">
        <v>2417</v>
      </c>
      <c r="Q1095" s="133" t="s">
        <v>2417</v>
      </c>
      <c r="R1095" s="133" t="s">
        <v>2417</v>
      </c>
      <c r="S1095" s="133" t="s">
        <v>2417</v>
      </c>
      <c r="T1095" s="133" t="s">
        <v>2417</v>
      </c>
      <c r="U1095" s="133" t="s">
        <v>2417</v>
      </c>
      <c r="V1095" s="133" t="s">
        <v>2417</v>
      </c>
      <c r="W1095" s="133" t="s">
        <v>2417</v>
      </c>
      <c r="X1095" s="133" t="s">
        <v>2417</v>
      </c>
      <c r="Y1095" s="133" t="s">
        <v>2417</v>
      </c>
      <c r="Z1095" s="133" t="s">
        <v>2417</v>
      </c>
      <c r="AA1095" s="133" t="s">
        <v>2417</v>
      </c>
      <c r="AB1095" s="133" t="s">
        <v>2417</v>
      </c>
      <c r="AC1095" s="133" t="s">
        <v>2417</v>
      </c>
      <c r="AD1095" s="133" t="s">
        <v>2417</v>
      </c>
      <c r="AE1095" s="199"/>
    </row>
    <row r="1096" spans="1:31" ht="20.399999999999999" outlineLevel="3">
      <c r="A1096" s="68" t="s">
        <v>2253</v>
      </c>
      <c r="B1096" s="64" t="s">
        <v>2254</v>
      </c>
      <c r="C1096" s="387" t="s">
        <v>2255</v>
      </c>
      <c r="D1096" s="351"/>
      <c r="E1096" s="133" t="s">
        <v>2417</v>
      </c>
      <c r="F1096" s="133" t="s">
        <v>592</v>
      </c>
      <c r="G1096" s="133" t="s">
        <v>2417</v>
      </c>
      <c r="H1096" s="133" t="s">
        <v>2417</v>
      </c>
      <c r="I1096" s="134" t="s">
        <v>2418</v>
      </c>
      <c r="J1096" s="133" t="s">
        <v>2417</v>
      </c>
      <c r="K1096" s="133" t="s">
        <v>2417</v>
      </c>
      <c r="L1096" s="133" t="s">
        <v>2417</v>
      </c>
      <c r="M1096" s="133" t="s">
        <v>2417</v>
      </c>
      <c r="N1096" s="133" t="s">
        <v>2417</v>
      </c>
      <c r="O1096" s="133" t="s">
        <v>2417</v>
      </c>
      <c r="P1096" s="133" t="s">
        <v>2417</v>
      </c>
      <c r="Q1096" s="133" t="s">
        <v>2417</v>
      </c>
      <c r="R1096" s="133" t="s">
        <v>2417</v>
      </c>
      <c r="S1096" s="133" t="s">
        <v>2417</v>
      </c>
      <c r="T1096" s="133" t="s">
        <v>2417</v>
      </c>
      <c r="U1096" s="133" t="s">
        <v>2417</v>
      </c>
      <c r="V1096" s="133" t="s">
        <v>2417</v>
      </c>
      <c r="W1096" s="133" t="s">
        <v>2417</v>
      </c>
      <c r="X1096" s="133" t="s">
        <v>2417</v>
      </c>
      <c r="Y1096" s="133" t="s">
        <v>2417</v>
      </c>
      <c r="Z1096" s="133" t="s">
        <v>2417</v>
      </c>
      <c r="AA1096" s="133" t="s">
        <v>2417</v>
      </c>
      <c r="AB1096" s="133" t="s">
        <v>2417</v>
      </c>
      <c r="AC1096" s="133" t="s">
        <v>2417</v>
      </c>
      <c r="AD1096" s="133" t="s">
        <v>2417</v>
      </c>
      <c r="AE1096" s="59"/>
    </row>
    <row r="1097" spans="1:31" ht="13.2" outlineLevel="3">
      <c r="A1097" s="452" t="s">
        <v>2256</v>
      </c>
      <c r="B1097" s="350"/>
      <c r="C1097" s="350"/>
      <c r="D1097" s="351"/>
      <c r="E1097" s="133" t="s">
        <v>2417</v>
      </c>
      <c r="F1097" s="133" t="s">
        <v>2417</v>
      </c>
      <c r="G1097" s="133" t="s">
        <v>2417</v>
      </c>
      <c r="H1097" s="133" t="s">
        <v>2417</v>
      </c>
      <c r="I1097" s="133" t="s">
        <v>2417</v>
      </c>
      <c r="J1097" s="133" t="s">
        <v>2417</v>
      </c>
      <c r="K1097" s="133" t="s">
        <v>2417</v>
      </c>
      <c r="L1097" s="133" t="s">
        <v>2417</v>
      </c>
      <c r="M1097" s="133" t="s">
        <v>2417</v>
      </c>
      <c r="N1097" s="133" t="s">
        <v>2417</v>
      </c>
      <c r="O1097" s="133" t="s">
        <v>2417</v>
      </c>
      <c r="P1097" s="133" t="s">
        <v>2417</v>
      </c>
      <c r="Q1097" s="133" t="s">
        <v>2417</v>
      </c>
      <c r="R1097" s="133" t="s">
        <v>2417</v>
      </c>
      <c r="S1097" s="133" t="s">
        <v>2417</v>
      </c>
      <c r="T1097" s="133" t="s">
        <v>2417</v>
      </c>
      <c r="U1097" s="133" t="s">
        <v>2417</v>
      </c>
      <c r="V1097" s="133" t="s">
        <v>2417</v>
      </c>
      <c r="W1097" s="133" t="s">
        <v>2417</v>
      </c>
      <c r="X1097" s="133" t="s">
        <v>2417</v>
      </c>
      <c r="Y1097" s="133" t="s">
        <v>2417</v>
      </c>
      <c r="Z1097" s="133" t="s">
        <v>2417</v>
      </c>
      <c r="AA1097" s="133" t="s">
        <v>2417</v>
      </c>
      <c r="AB1097" s="133" t="s">
        <v>2417</v>
      </c>
      <c r="AC1097" s="133" t="s">
        <v>2417</v>
      </c>
      <c r="AD1097" s="133" t="s">
        <v>2417</v>
      </c>
      <c r="AE1097" s="200"/>
    </row>
    <row r="1098" spans="1:31" ht="51" outlineLevel="3">
      <c r="A1098" s="68" t="s">
        <v>2257</v>
      </c>
      <c r="B1098" s="63" t="s">
        <v>2258</v>
      </c>
      <c r="C1098" s="360" t="s">
        <v>2259</v>
      </c>
      <c r="D1098" s="351"/>
      <c r="E1098" s="133" t="s">
        <v>2417</v>
      </c>
      <c r="F1098" s="133" t="s">
        <v>2417</v>
      </c>
      <c r="G1098" s="133" t="s">
        <v>2417</v>
      </c>
      <c r="H1098" s="133" t="s">
        <v>2417</v>
      </c>
      <c r="I1098" s="133" t="s">
        <v>2417</v>
      </c>
      <c r="J1098" s="133" t="s">
        <v>2417</v>
      </c>
      <c r="K1098" s="133" t="s">
        <v>2417</v>
      </c>
      <c r="L1098" s="133" t="s">
        <v>2417</v>
      </c>
      <c r="M1098" s="133" t="s">
        <v>2417</v>
      </c>
      <c r="N1098" s="133" t="s">
        <v>2417</v>
      </c>
      <c r="O1098" s="133" t="s">
        <v>2417</v>
      </c>
      <c r="P1098" s="133" t="s">
        <v>2478</v>
      </c>
      <c r="Q1098" s="133" t="s">
        <v>2417</v>
      </c>
      <c r="R1098" s="133" t="s">
        <v>2417</v>
      </c>
      <c r="S1098" s="133" t="s">
        <v>2417</v>
      </c>
      <c r="T1098" s="133" t="s">
        <v>2417</v>
      </c>
      <c r="U1098" s="133" t="s">
        <v>2417</v>
      </c>
      <c r="V1098" s="133" t="s">
        <v>2417</v>
      </c>
      <c r="W1098" s="133" t="s">
        <v>2417</v>
      </c>
      <c r="X1098" s="133" t="s">
        <v>2417</v>
      </c>
      <c r="Y1098" s="133" t="s">
        <v>2417</v>
      </c>
      <c r="Z1098" s="133" t="s">
        <v>2417</v>
      </c>
      <c r="AA1098" s="133" t="s">
        <v>2417</v>
      </c>
      <c r="AB1098" s="133" t="s">
        <v>2417</v>
      </c>
      <c r="AC1098" s="133" t="s">
        <v>2417</v>
      </c>
      <c r="AD1098" s="133" t="s">
        <v>2417</v>
      </c>
      <c r="AE1098" s="193"/>
    </row>
    <row r="1099" spans="1:31" ht="40.799999999999997" outlineLevel="3">
      <c r="A1099" s="68" t="s">
        <v>2260</v>
      </c>
      <c r="B1099" s="63" t="s">
        <v>2261</v>
      </c>
      <c r="C1099" s="360" t="s">
        <v>2259</v>
      </c>
      <c r="D1099" s="351"/>
      <c r="E1099" s="133" t="s">
        <v>2417</v>
      </c>
      <c r="F1099" s="133" t="s">
        <v>2417</v>
      </c>
      <c r="G1099" s="133" t="s">
        <v>2417</v>
      </c>
      <c r="H1099" s="133" t="s">
        <v>2417</v>
      </c>
      <c r="I1099" s="133" t="s">
        <v>2417</v>
      </c>
      <c r="J1099" s="133" t="s">
        <v>2417</v>
      </c>
      <c r="K1099" s="133" t="s">
        <v>2417</v>
      </c>
      <c r="L1099" s="133" t="s">
        <v>2417</v>
      </c>
      <c r="M1099" s="133" t="s">
        <v>2417</v>
      </c>
      <c r="N1099" s="133" t="s">
        <v>2417</v>
      </c>
      <c r="O1099" s="133" t="s">
        <v>2417</v>
      </c>
      <c r="P1099" s="133" t="s">
        <v>2477</v>
      </c>
      <c r="Q1099" s="133" t="s">
        <v>2417</v>
      </c>
      <c r="R1099" s="133" t="s">
        <v>2417</v>
      </c>
      <c r="S1099" s="133" t="s">
        <v>2417</v>
      </c>
      <c r="T1099" s="133" t="s">
        <v>2417</v>
      </c>
      <c r="U1099" s="133" t="s">
        <v>2417</v>
      </c>
      <c r="V1099" s="133" t="s">
        <v>2417</v>
      </c>
      <c r="W1099" s="133" t="s">
        <v>2417</v>
      </c>
      <c r="X1099" s="133" t="s">
        <v>2417</v>
      </c>
      <c r="Y1099" s="133" t="s">
        <v>2417</v>
      </c>
      <c r="Z1099" s="133" t="s">
        <v>2417</v>
      </c>
      <c r="AA1099" s="133" t="s">
        <v>2417</v>
      </c>
      <c r="AB1099" s="133" t="s">
        <v>2417</v>
      </c>
      <c r="AC1099" s="133" t="s">
        <v>2417</v>
      </c>
      <c r="AD1099" s="133" t="s">
        <v>2417</v>
      </c>
      <c r="AE1099" s="193"/>
    </row>
    <row r="1100" spans="1:31" ht="13.2" outlineLevel="1">
      <c r="A1100" s="386" t="s">
        <v>2262</v>
      </c>
      <c r="B1100" s="350"/>
      <c r="C1100" s="350"/>
      <c r="D1100" s="351"/>
      <c r="E1100" s="133" t="s">
        <v>2417</v>
      </c>
      <c r="F1100" s="133" t="s">
        <v>2417</v>
      </c>
      <c r="G1100" s="133" t="s">
        <v>2417</v>
      </c>
      <c r="H1100" s="133" t="s">
        <v>2417</v>
      </c>
      <c r="I1100" s="134" t="s">
        <v>2418</v>
      </c>
      <c r="J1100" s="133" t="s">
        <v>2417</v>
      </c>
      <c r="K1100" s="133" t="s">
        <v>2417</v>
      </c>
      <c r="L1100" s="133" t="s">
        <v>2417</v>
      </c>
      <c r="M1100" s="133" t="s">
        <v>2417</v>
      </c>
      <c r="N1100" s="133" t="s">
        <v>2417</v>
      </c>
      <c r="O1100" s="133" t="s">
        <v>2417</v>
      </c>
      <c r="P1100" s="133" t="s">
        <v>2417</v>
      </c>
      <c r="Q1100" s="133" t="s">
        <v>2417</v>
      </c>
      <c r="R1100" s="133" t="s">
        <v>2417</v>
      </c>
      <c r="S1100" s="133" t="s">
        <v>2417</v>
      </c>
      <c r="T1100" s="133" t="s">
        <v>2417</v>
      </c>
      <c r="U1100" s="133" t="s">
        <v>2417</v>
      </c>
      <c r="V1100" s="133" t="s">
        <v>2417</v>
      </c>
      <c r="W1100" s="133" t="s">
        <v>2417</v>
      </c>
      <c r="X1100" s="133" t="s">
        <v>2417</v>
      </c>
      <c r="Y1100" s="133" t="s">
        <v>2417</v>
      </c>
      <c r="Z1100" s="133" t="s">
        <v>2417</v>
      </c>
      <c r="AA1100" s="133" t="s">
        <v>2417</v>
      </c>
      <c r="AB1100" s="133" t="s">
        <v>2417</v>
      </c>
      <c r="AC1100" s="133" t="s">
        <v>2417</v>
      </c>
      <c r="AD1100" s="133" t="s">
        <v>2417</v>
      </c>
      <c r="AE1100" s="139"/>
    </row>
    <row r="1101" spans="1:31" ht="13.2" outlineLevel="2">
      <c r="A1101" s="68" t="s">
        <v>2263</v>
      </c>
      <c r="B1101" s="65" t="s">
        <v>2264</v>
      </c>
      <c r="C1101" s="360" t="s">
        <v>2943</v>
      </c>
      <c r="D1101" s="351"/>
      <c r="E1101" s="133" t="s">
        <v>2417</v>
      </c>
      <c r="F1101" s="133" t="s">
        <v>2417</v>
      </c>
      <c r="G1101" s="133" t="s">
        <v>2417</v>
      </c>
      <c r="H1101" s="133" t="s">
        <v>2417</v>
      </c>
      <c r="I1101" s="134" t="s">
        <v>2418</v>
      </c>
      <c r="J1101" s="133" t="s">
        <v>2417</v>
      </c>
      <c r="K1101" s="133" t="s">
        <v>2417</v>
      </c>
      <c r="L1101" s="133" t="s">
        <v>2417</v>
      </c>
      <c r="M1101" s="133" t="s">
        <v>2417</v>
      </c>
      <c r="N1101" s="133" t="s">
        <v>2417</v>
      </c>
      <c r="O1101" s="133" t="s">
        <v>2417</v>
      </c>
      <c r="P1101" s="133" t="s">
        <v>2417</v>
      </c>
      <c r="Q1101" s="133" t="s">
        <v>2417</v>
      </c>
      <c r="R1101" s="133" t="s">
        <v>2417</v>
      </c>
      <c r="S1101" s="133" t="s">
        <v>2417</v>
      </c>
      <c r="T1101" s="133" t="s">
        <v>2417</v>
      </c>
      <c r="U1101" s="133" t="s">
        <v>2417</v>
      </c>
      <c r="V1101" s="133" t="s">
        <v>2417</v>
      </c>
      <c r="W1101" s="133" t="s">
        <v>2417</v>
      </c>
      <c r="X1101" s="133" t="s">
        <v>2417</v>
      </c>
      <c r="Y1101" s="133" t="s">
        <v>2417</v>
      </c>
      <c r="Z1101" s="133" t="s">
        <v>2417</v>
      </c>
      <c r="AA1101" s="133" t="s">
        <v>2417</v>
      </c>
      <c r="AB1101" s="133" t="s">
        <v>2417</v>
      </c>
      <c r="AC1101" s="133" t="s">
        <v>2417</v>
      </c>
      <c r="AD1101" s="133" t="s">
        <v>2417</v>
      </c>
      <c r="AE1101" s="123"/>
    </row>
    <row r="1102" spans="1:31" ht="13.2" outlineLevel="2">
      <c r="A1102" s="68" t="s">
        <v>2266</v>
      </c>
      <c r="B1102" s="62" t="s">
        <v>2267</v>
      </c>
      <c r="C1102" s="387" t="s">
        <v>2268</v>
      </c>
      <c r="D1102" s="351"/>
      <c r="E1102" s="133" t="s">
        <v>2417</v>
      </c>
      <c r="F1102" s="133" t="s">
        <v>2417</v>
      </c>
      <c r="G1102" s="133" t="s">
        <v>2417</v>
      </c>
      <c r="H1102" s="133" t="s">
        <v>2417</v>
      </c>
      <c r="I1102" s="133" t="s">
        <v>2417</v>
      </c>
      <c r="J1102" s="133" t="s">
        <v>2417</v>
      </c>
      <c r="K1102" s="133" t="s">
        <v>2417</v>
      </c>
      <c r="L1102" s="133" t="s">
        <v>2417</v>
      </c>
      <c r="M1102" s="133" t="s">
        <v>2417</v>
      </c>
      <c r="N1102" s="133" t="s">
        <v>2417</v>
      </c>
      <c r="O1102" s="133" t="s">
        <v>2417</v>
      </c>
      <c r="P1102" s="133" t="s">
        <v>2417</v>
      </c>
      <c r="Q1102" s="133" t="s">
        <v>2417</v>
      </c>
      <c r="R1102" s="133" t="s">
        <v>2417</v>
      </c>
      <c r="S1102" s="133" t="s">
        <v>2417</v>
      </c>
      <c r="T1102" s="133" t="s">
        <v>2417</v>
      </c>
      <c r="U1102" s="133" t="s">
        <v>2417</v>
      </c>
      <c r="V1102" s="133" t="s">
        <v>2417</v>
      </c>
      <c r="W1102" s="133" t="s">
        <v>2417</v>
      </c>
      <c r="X1102" s="133" t="s">
        <v>2417</v>
      </c>
      <c r="Y1102" s="133" t="s">
        <v>2417</v>
      </c>
      <c r="Z1102" s="133" t="s">
        <v>2417</v>
      </c>
      <c r="AA1102" s="133" t="s">
        <v>2417</v>
      </c>
      <c r="AB1102" s="133" t="s">
        <v>2417</v>
      </c>
      <c r="AC1102" s="133" t="s">
        <v>2417</v>
      </c>
      <c r="AD1102" s="133" t="s">
        <v>2417</v>
      </c>
      <c r="AE1102" s="59"/>
    </row>
    <row r="1103" spans="1:31" ht="13.2" outlineLevel="2">
      <c r="A1103" s="68" t="s">
        <v>2269</v>
      </c>
      <c r="B1103" s="62" t="s">
        <v>2270</v>
      </c>
      <c r="C1103" s="360" t="s">
        <v>2944</v>
      </c>
      <c r="D1103" s="351"/>
      <c r="E1103" s="133" t="s">
        <v>2417</v>
      </c>
      <c r="F1103" s="133" t="s">
        <v>2417</v>
      </c>
      <c r="G1103" s="133" t="s">
        <v>2417</v>
      </c>
      <c r="H1103" s="133" t="s">
        <v>2417</v>
      </c>
      <c r="I1103" s="133" t="s">
        <v>2417</v>
      </c>
      <c r="J1103" s="133" t="s">
        <v>2417</v>
      </c>
      <c r="K1103" s="133" t="s">
        <v>2417</v>
      </c>
      <c r="L1103" s="133" t="s">
        <v>2417</v>
      </c>
      <c r="M1103" s="133" t="s">
        <v>2417</v>
      </c>
      <c r="N1103" s="133" t="s">
        <v>2417</v>
      </c>
      <c r="O1103" s="133" t="s">
        <v>2417</v>
      </c>
      <c r="P1103" s="133" t="s">
        <v>2417</v>
      </c>
      <c r="Q1103" s="133" t="s">
        <v>2417</v>
      </c>
      <c r="R1103" s="133" t="s">
        <v>2417</v>
      </c>
      <c r="S1103" s="133" t="s">
        <v>2417</v>
      </c>
      <c r="T1103" s="133" t="s">
        <v>2417</v>
      </c>
      <c r="U1103" s="133" t="s">
        <v>2417</v>
      </c>
      <c r="V1103" s="133" t="s">
        <v>2417</v>
      </c>
      <c r="W1103" s="133" t="s">
        <v>2417</v>
      </c>
      <c r="X1103" s="133" t="s">
        <v>2417</v>
      </c>
      <c r="Y1103" s="133" t="s">
        <v>2417</v>
      </c>
      <c r="Z1103" s="133" t="s">
        <v>2417</v>
      </c>
      <c r="AA1103" s="133" t="s">
        <v>2417</v>
      </c>
      <c r="AB1103" s="133" t="s">
        <v>2417</v>
      </c>
      <c r="AC1103" s="133" t="s">
        <v>2417</v>
      </c>
      <c r="AD1103" s="133" t="s">
        <v>2417</v>
      </c>
      <c r="AE1103" s="123"/>
    </row>
    <row r="1104" spans="1:31" ht="13.2" outlineLevel="1">
      <c r="A1104" s="386" t="s">
        <v>2272</v>
      </c>
      <c r="B1104" s="350"/>
      <c r="C1104" s="350"/>
      <c r="D1104" s="351"/>
      <c r="E1104" s="133" t="s">
        <v>2417</v>
      </c>
      <c r="F1104" s="133" t="s">
        <v>2417</v>
      </c>
      <c r="G1104" s="133" t="s">
        <v>2417</v>
      </c>
      <c r="H1104" s="133" t="s">
        <v>2417</v>
      </c>
      <c r="I1104" s="133" t="s">
        <v>2417</v>
      </c>
      <c r="J1104" s="133" t="s">
        <v>2417</v>
      </c>
      <c r="K1104" s="133" t="s">
        <v>2417</v>
      </c>
      <c r="L1104" s="133" t="s">
        <v>2417</v>
      </c>
      <c r="M1104" s="133" t="s">
        <v>2417</v>
      </c>
      <c r="N1104" s="133" t="s">
        <v>2417</v>
      </c>
      <c r="O1104" s="133" t="s">
        <v>2417</v>
      </c>
      <c r="P1104" s="133" t="s">
        <v>2417</v>
      </c>
      <c r="Q1104" s="133" t="s">
        <v>2417</v>
      </c>
      <c r="R1104" s="133" t="s">
        <v>2417</v>
      </c>
      <c r="S1104" s="133" t="s">
        <v>2417</v>
      </c>
      <c r="T1104" s="133" t="s">
        <v>2417</v>
      </c>
      <c r="U1104" s="133" t="s">
        <v>2417</v>
      </c>
      <c r="V1104" s="133" t="s">
        <v>2417</v>
      </c>
      <c r="W1104" s="133" t="s">
        <v>2417</v>
      </c>
      <c r="X1104" s="133" t="s">
        <v>2417</v>
      </c>
      <c r="Y1104" s="133" t="s">
        <v>2417</v>
      </c>
      <c r="Z1104" s="133" t="s">
        <v>2417</v>
      </c>
      <c r="AA1104" s="133" t="s">
        <v>2417</v>
      </c>
      <c r="AB1104" s="133" t="s">
        <v>2417</v>
      </c>
      <c r="AC1104" s="133" t="s">
        <v>2417</v>
      </c>
      <c r="AD1104" s="133" t="s">
        <v>2417</v>
      </c>
      <c r="AE1104" s="139"/>
    </row>
    <row r="1105" spans="1:31" ht="13.2" outlineLevel="2">
      <c r="A1105" s="68" t="s">
        <v>2273</v>
      </c>
      <c r="B1105" s="64"/>
      <c r="C1105" s="360" t="s">
        <v>2274</v>
      </c>
      <c r="D1105" s="351"/>
      <c r="E1105" s="133" t="s">
        <v>2417</v>
      </c>
      <c r="F1105" s="133" t="s">
        <v>2417</v>
      </c>
      <c r="G1105" s="133" t="s">
        <v>2417</v>
      </c>
      <c r="H1105" s="133" t="s">
        <v>2417</v>
      </c>
      <c r="I1105" s="133" t="s">
        <v>2417</v>
      </c>
      <c r="J1105" s="133" t="s">
        <v>2417</v>
      </c>
      <c r="K1105" s="133" t="s">
        <v>2417</v>
      </c>
      <c r="L1105" s="133" t="s">
        <v>2417</v>
      </c>
      <c r="M1105" s="133" t="s">
        <v>2417</v>
      </c>
      <c r="N1105" s="133" t="s">
        <v>2417</v>
      </c>
      <c r="O1105" s="133" t="s">
        <v>2417</v>
      </c>
      <c r="P1105" s="133" t="s">
        <v>2417</v>
      </c>
      <c r="Q1105" s="133" t="s">
        <v>2417</v>
      </c>
      <c r="R1105" s="133" t="s">
        <v>2417</v>
      </c>
      <c r="S1105" s="133" t="s">
        <v>2417</v>
      </c>
      <c r="T1105" s="133" t="s">
        <v>2417</v>
      </c>
      <c r="U1105" s="133" t="s">
        <v>2417</v>
      </c>
      <c r="V1105" s="133" t="s">
        <v>2417</v>
      </c>
      <c r="W1105" s="133" t="s">
        <v>2417</v>
      </c>
      <c r="X1105" s="133" t="s">
        <v>2417</v>
      </c>
      <c r="Y1105" s="133" t="s">
        <v>2417</v>
      </c>
      <c r="Z1105" s="133" t="s">
        <v>2417</v>
      </c>
      <c r="AA1105" s="133" t="s">
        <v>2417</v>
      </c>
      <c r="AB1105" s="133" t="s">
        <v>2417</v>
      </c>
      <c r="AC1105" s="133" t="s">
        <v>2417</v>
      </c>
      <c r="AD1105" s="133" t="s">
        <v>2417</v>
      </c>
      <c r="AE1105" s="123"/>
    </row>
    <row r="1106" spans="1:31" ht="13.2" outlineLevel="2">
      <c r="A1106" s="68" t="s">
        <v>2275</v>
      </c>
      <c r="B1106" s="62" t="s">
        <v>2276</v>
      </c>
      <c r="C1106" s="360" t="s">
        <v>2945</v>
      </c>
      <c r="D1106" s="351"/>
      <c r="E1106" s="133" t="s">
        <v>2417</v>
      </c>
      <c r="F1106" s="133" t="s">
        <v>2417</v>
      </c>
      <c r="G1106" s="133" t="s">
        <v>2417</v>
      </c>
      <c r="H1106" s="133" t="s">
        <v>2417</v>
      </c>
      <c r="I1106" s="133" t="s">
        <v>2417</v>
      </c>
      <c r="J1106" s="133" t="s">
        <v>2417</v>
      </c>
      <c r="K1106" s="133" t="s">
        <v>2417</v>
      </c>
      <c r="L1106" s="133" t="s">
        <v>2417</v>
      </c>
      <c r="M1106" s="133" t="s">
        <v>2417</v>
      </c>
      <c r="N1106" s="133" t="s">
        <v>2417</v>
      </c>
      <c r="O1106" s="133" t="s">
        <v>2417</v>
      </c>
      <c r="P1106" s="133" t="s">
        <v>2417</v>
      </c>
      <c r="Q1106" s="133" t="s">
        <v>2417</v>
      </c>
      <c r="R1106" s="133" t="s">
        <v>2417</v>
      </c>
      <c r="S1106" s="133" t="s">
        <v>2417</v>
      </c>
      <c r="T1106" s="133" t="s">
        <v>2417</v>
      </c>
      <c r="U1106" s="133" t="s">
        <v>2417</v>
      </c>
      <c r="V1106" s="133" t="s">
        <v>2417</v>
      </c>
      <c r="W1106" s="133" t="s">
        <v>2417</v>
      </c>
      <c r="X1106" s="133" t="s">
        <v>2417</v>
      </c>
      <c r="Y1106" s="133" t="s">
        <v>2417</v>
      </c>
      <c r="Z1106" s="133" t="s">
        <v>2417</v>
      </c>
      <c r="AA1106" s="133" t="s">
        <v>2417</v>
      </c>
      <c r="AB1106" s="133" t="s">
        <v>2417</v>
      </c>
      <c r="AC1106" s="133" t="s">
        <v>2417</v>
      </c>
      <c r="AD1106" s="133" t="s">
        <v>2417</v>
      </c>
      <c r="AE1106" s="123"/>
    </row>
    <row r="1107" spans="1:31" ht="13.2" outlineLevel="2">
      <c r="A1107" s="68" t="s">
        <v>2278</v>
      </c>
      <c r="B1107" s="62" t="s">
        <v>2279</v>
      </c>
      <c r="C1107" s="360" t="s">
        <v>2946</v>
      </c>
      <c r="D1107" s="351"/>
      <c r="E1107" s="133" t="s">
        <v>2417</v>
      </c>
      <c r="F1107" s="133" t="s">
        <v>2417</v>
      </c>
      <c r="G1107" s="133" t="s">
        <v>2417</v>
      </c>
      <c r="H1107" s="133" t="s">
        <v>2417</v>
      </c>
      <c r="I1107" s="133" t="s">
        <v>2417</v>
      </c>
      <c r="J1107" s="133" t="s">
        <v>2417</v>
      </c>
      <c r="K1107" s="133" t="s">
        <v>2417</v>
      </c>
      <c r="L1107" s="133" t="s">
        <v>2417</v>
      </c>
      <c r="M1107" s="133" t="s">
        <v>2417</v>
      </c>
      <c r="N1107" s="133" t="s">
        <v>2417</v>
      </c>
      <c r="O1107" s="133" t="s">
        <v>2417</v>
      </c>
      <c r="P1107" s="133" t="s">
        <v>2417</v>
      </c>
      <c r="Q1107" s="133" t="s">
        <v>2417</v>
      </c>
      <c r="R1107" s="133" t="s">
        <v>2417</v>
      </c>
      <c r="S1107" s="133" t="s">
        <v>2417</v>
      </c>
      <c r="T1107" s="133" t="s">
        <v>2417</v>
      </c>
      <c r="U1107" s="133" t="s">
        <v>2417</v>
      </c>
      <c r="V1107" s="133" t="s">
        <v>2417</v>
      </c>
      <c r="W1107" s="133" t="s">
        <v>2417</v>
      </c>
      <c r="X1107" s="133" t="s">
        <v>2417</v>
      </c>
      <c r="Y1107" s="133" t="s">
        <v>2417</v>
      </c>
      <c r="Z1107" s="133" t="s">
        <v>2417</v>
      </c>
      <c r="AA1107" s="133" t="s">
        <v>2417</v>
      </c>
      <c r="AB1107" s="133" t="s">
        <v>2417</v>
      </c>
      <c r="AC1107" s="133" t="s">
        <v>2417</v>
      </c>
      <c r="AD1107" s="133" t="s">
        <v>2417</v>
      </c>
      <c r="AE1107" s="123"/>
    </row>
    <row r="1108" spans="1:31" ht="13.2" outlineLevel="2">
      <c r="A1108" s="68" t="s">
        <v>2281</v>
      </c>
      <c r="B1108" s="62" t="s">
        <v>2282</v>
      </c>
      <c r="C1108" s="360" t="s">
        <v>2947</v>
      </c>
      <c r="D1108" s="351"/>
      <c r="E1108" s="133" t="s">
        <v>2417</v>
      </c>
      <c r="F1108" s="133" t="s">
        <v>2417</v>
      </c>
      <c r="G1108" s="133" t="s">
        <v>2417</v>
      </c>
      <c r="H1108" s="133" t="s">
        <v>2417</v>
      </c>
      <c r="I1108" s="133" t="s">
        <v>2417</v>
      </c>
      <c r="J1108" s="133" t="s">
        <v>2417</v>
      </c>
      <c r="K1108" s="133" t="s">
        <v>2417</v>
      </c>
      <c r="L1108" s="133" t="s">
        <v>2417</v>
      </c>
      <c r="M1108" s="133" t="s">
        <v>2417</v>
      </c>
      <c r="N1108" s="133" t="s">
        <v>2417</v>
      </c>
      <c r="O1108" s="133" t="s">
        <v>2417</v>
      </c>
      <c r="P1108" s="133" t="s">
        <v>2417</v>
      </c>
      <c r="Q1108" s="133" t="s">
        <v>2417</v>
      </c>
      <c r="R1108" s="133" t="s">
        <v>2417</v>
      </c>
      <c r="S1108" s="133" t="s">
        <v>2417</v>
      </c>
      <c r="T1108" s="133" t="s">
        <v>2417</v>
      </c>
      <c r="U1108" s="133" t="s">
        <v>2417</v>
      </c>
      <c r="V1108" s="133" t="s">
        <v>2417</v>
      </c>
      <c r="W1108" s="133" t="s">
        <v>2417</v>
      </c>
      <c r="X1108" s="133" t="s">
        <v>2417</v>
      </c>
      <c r="Y1108" s="133" t="s">
        <v>2417</v>
      </c>
      <c r="Z1108" s="133" t="s">
        <v>2417</v>
      </c>
      <c r="AA1108" s="133" t="s">
        <v>2417</v>
      </c>
      <c r="AB1108" s="133" t="s">
        <v>2417</v>
      </c>
      <c r="AC1108" s="133" t="s">
        <v>2417</v>
      </c>
      <c r="AD1108" s="133" t="s">
        <v>2417</v>
      </c>
      <c r="AE1108" s="123"/>
    </row>
    <row r="1109" spans="1:31" ht="13.2">
      <c r="A1109" s="434" t="s">
        <v>526</v>
      </c>
      <c r="B1109" s="350"/>
      <c r="C1109" s="350"/>
      <c r="D1109" s="351"/>
      <c r="E1109" s="133" t="s">
        <v>2417</v>
      </c>
      <c r="F1109" s="133" t="s">
        <v>2417</v>
      </c>
      <c r="G1109" s="133" t="s">
        <v>2417</v>
      </c>
      <c r="H1109" s="133" t="s">
        <v>2417</v>
      </c>
      <c r="I1109" s="134" t="s">
        <v>2418</v>
      </c>
      <c r="J1109" s="133" t="s">
        <v>2417</v>
      </c>
      <c r="K1109" s="133" t="s">
        <v>2417</v>
      </c>
      <c r="L1109" s="133" t="s">
        <v>2417</v>
      </c>
      <c r="M1109" s="133" t="s">
        <v>2417</v>
      </c>
      <c r="N1109" s="133" t="s">
        <v>2417</v>
      </c>
      <c r="O1109" s="133" t="s">
        <v>2417</v>
      </c>
      <c r="P1109" s="133" t="s">
        <v>2417</v>
      </c>
      <c r="Q1109" s="133" t="s">
        <v>2417</v>
      </c>
      <c r="R1109" s="133" t="s">
        <v>2417</v>
      </c>
      <c r="S1109" s="133" t="s">
        <v>2417</v>
      </c>
      <c r="T1109" s="133" t="s">
        <v>2417</v>
      </c>
      <c r="U1109" s="133" t="s">
        <v>2417</v>
      </c>
      <c r="V1109" s="133" t="s">
        <v>2417</v>
      </c>
      <c r="W1109" s="133" t="s">
        <v>2417</v>
      </c>
      <c r="X1109" s="133" t="s">
        <v>2417</v>
      </c>
      <c r="Y1109" s="133" t="s">
        <v>2417</v>
      </c>
      <c r="Z1109" s="133" t="s">
        <v>2417</v>
      </c>
      <c r="AA1109" s="133" t="s">
        <v>2417</v>
      </c>
      <c r="AB1109" s="133" t="s">
        <v>2417</v>
      </c>
      <c r="AC1109" s="133" t="s">
        <v>2417</v>
      </c>
      <c r="AD1109" s="133" t="s">
        <v>2417</v>
      </c>
      <c r="AE1109" s="172"/>
    </row>
    <row r="1110" spans="1:31" ht="13.2" hidden="1" outlineLevel="2">
      <c r="A1110" s="68" t="s">
        <v>2948</v>
      </c>
      <c r="B1110" s="201"/>
      <c r="C1110" s="387" t="s">
        <v>2949</v>
      </c>
      <c r="D1110" s="351"/>
      <c r="E1110" s="132" t="s">
        <v>2417</v>
      </c>
      <c r="F1110" s="132" t="s">
        <v>2417</v>
      </c>
      <c r="G1110" s="132" t="s">
        <v>2417</v>
      </c>
      <c r="H1110" s="132" t="s">
        <v>2417</v>
      </c>
      <c r="I1110" s="132" t="s">
        <v>2417</v>
      </c>
      <c r="J1110" s="132" t="s">
        <v>2417</v>
      </c>
      <c r="K1110" s="132" t="s">
        <v>2417</v>
      </c>
      <c r="L1110" s="132" t="s">
        <v>2417</v>
      </c>
      <c r="M1110" s="132" t="s">
        <v>2417</v>
      </c>
      <c r="N1110" s="132" t="s">
        <v>2417</v>
      </c>
      <c r="O1110" s="132" t="s">
        <v>2417</v>
      </c>
      <c r="P1110" s="132" t="s">
        <v>2417</v>
      </c>
      <c r="Q1110" s="132" t="s">
        <v>2417</v>
      </c>
      <c r="R1110" s="132" t="s">
        <v>2417</v>
      </c>
      <c r="S1110" s="132" t="s">
        <v>2417</v>
      </c>
      <c r="T1110" s="132" t="s">
        <v>2417</v>
      </c>
      <c r="U1110" s="132" t="s">
        <v>2417</v>
      </c>
      <c r="V1110" s="132" t="s">
        <v>2417</v>
      </c>
      <c r="W1110" s="132" t="s">
        <v>2417</v>
      </c>
      <c r="X1110" s="132" t="s">
        <v>2417</v>
      </c>
      <c r="Y1110" s="132" t="s">
        <v>2417</v>
      </c>
      <c r="Z1110" s="132" t="s">
        <v>2417</v>
      </c>
      <c r="AA1110" s="132" t="s">
        <v>2417</v>
      </c>
      <c r="AB1110" s="132" t="s">
        <v>2417</v>
      </c>
      <c r="AC1110" s="132" t="s">
        <v>2417</v>
      </c>
      <c r="AD1110" s="133" t="s">
        <v>2441</v>
      </c>
      <c r="AE1110" s="170"/>
    </row>
    <row r="1111" spans="1:31" ht="13.2" outlineLevel="1">
      <c r="A1111" s="384" t="s">
        <v>2284</v>
      </c>
      <c r="B1111" s="350"/>
      <c r="C1111" s="350"/>
      <c r="D1111" s="351"/>
      <c r="E1111" s="133" t="s">
        <v>2417</v>
      </c>
      <c r="F1111" s="133" t="s">
        <v>2417</v>
      </c>
      <c r="G1111" s="133" t="s">
        <v>2417</v>
      </c>
      <c r="H1111" s="133" t="s">
        <v>2417</v>
      </c>
      <c r="I1111" s="133" t="s">
        <v>2417</v>
      </c>
      <c r="J1111" s="133" t="s">
        <v>2417</v>
      </c>
      <c r="K1111" s="133" t="s">
        <v>2417</v>
      </c>
      <c r="L1111" s="133" t="s">
        <v>2417</v>
      </c>
      <c r="M1111" s="133" t="s">
        <v>2417</v>
      </c>
      <c r="N1111" s="133" t="s">
        <v>2417</v>
      </c>
      <c r="O1111" s="133" t="s">
        <v>2417</v>
      </c>
      <c r="P1111" s="133" t="s">
        <v>2417</v>
      </c>
      <c r="Q1111" s="133" t="s">
        <v>2417</v>
      </c>
      <c r="R1111" s="133" t="s">
        <v>2417</v>
      </c>
      <c r="S1111" s="133" t="s">
        <v>2417</v>
      </c>
      <c r="T1111" s="133" t="s">
        <v>2417</v>
      </c>
      <c r="U1111" s="133" t="s">
        <v>2417</v>
      </c>
      <c r="V1111" s="133" t="s">
        <v>2417</v>
      </c>
      <c r="W1111" s="133" t="s">
        <v>2417</v>
      </c>
      <c r="X1111" s="133" t="s">
        <v>2417</v>
      </c>
      <c r="Y1111" s="133" t="s">
        <v>2417</v>
      </c>
      <c r="Z1111" s="133" t="s">
        <v>2417</v>
      </c>
      <c r="AA1111" s="133" t="s">
        <v>2417</v>
      </c>
      <c r="AB1111" s="133" t="s">
        <v>2417</v>
      </c>
      <c r="AC1111" s="133" t="s">
        <v>2417</v>
      </c>
      <c r="AD1111" s="133" t="s">
        <v>2417</v>
      </c>
      <c r="AE1111" s="173"/>
    </row>
    <row r="1112" spans="1:31" ht="13.2" outlineLevel="2">
      <c r="A1112" s="374" t="s">
        <v>2285</v>
      </c>
      <c r="B1112" s="350"/>
      <c r="C1112" s="350"/>
      <c r="D1112" s="351"/>
      <c r="E1112" s="133" t="s">
        <v>2417</v>
      </c>
      <c r="F1112" s="133" t="s">
        <v>2417</v>
      </c>
      <c r="G1112" s="133" t="s">
        <v>2417</v>
      </c>
      <c r="H1112" s="133" t="s">
        <v>2417</v>
      </c>
      <c r="I1112" s="133" t="s">
        <v>2417</v>
      </c>
      <c r="J1112" s="133" t="s">
        <v>2417</v>
      </c>
      <c r="K1112" s="133" t="s">
        <v>2417</v>
      </c>
      <c r="L1112" s="133" t="s">
        <v>2417</v>
      </c>
      <c r="M1112" s="133" t="s">
        <v>2417</v>
      </c>
      <c r="N1112" s="133" t="s">
        <v>2417</v>
      </c>
      <c r="O1112" s="133" t="s">
        <v>2417</v>
      </c>
      <c r="P1112" s="133" t="s">
        <v>2417</v>
      </c>
      <c r="Q1112" s="133" t="s">
        <v>2417</v>
      </c>
      <c r="R1112" s="133" t="s">
        <v>2417</v>
      </c>
      <c r="S1112" s="133" t="s">
        <v>2417</v>
      </c>
      <c r="T1112" s="133" t="s">
        <v>2417</v>
      </c>
      <c r="U1112" s="133" t="s">
        <v>2417</v>
      </c>
      <c r="V1112" s="133" t="s">
        <v>2417</v>
      </c>
      <c r="W1112" s="133" t="s">
        <v>2417</v>
      </c>
      <c r="X1112" s="133" t="s">
        <v>2417</v>
      </c>
      <c r="Y1112" s="133" t="s">
        <v>2417</v>
      </c>
      <c r="Z1112" s="133" t="s">
        <v>2417</v>
      </c>
      <c r="AA1112" s="133" t="s">
        <v>2417</v>
      </c>
      <c r="AB1112" s="133" t="s">
        <v>2417</v>
      </c>
      <c r="AC1112" s="133" t="s">
        <v>2417</v>
      </c>
      <c r="AD1112" s="133" t="s">
        <v>2417</v>
      </c>
      <c r="AE1112" s="170"/>
    </row>
    <row r="1113" spans="1:31" ht="20.399999999999999" outlineLevel="2">
      <c r="A1113" s="68" t="s">
        <v>2286</v>
      </c>
      <c r="B1113" s="63" t="s">
        <v>2287</v>
      </c>
      <c r="C1113" s="360" t="s">
        <v>2288</v>
      </c>
      <c r="D1113" s="351"/>
      <c r="E1113" s="133" t="s">
        <v>2417</v>
      </c>
      <c r="F1113" s="133" t="s">
        <v>2421</v>
      </c>
      <c r="G1113" s="133" t="s">
        <v>2417</v>
      </c>
      <c r="H1113" s="133" t="s">
        <v>2417</v>
      </c>
      <c r="I1113" s="133" t="s">
        <v>2417</v>
      </c>
      <c r="J1113" s="133" t="s">
        <v>2417</v>
      </c>
      <c r="K1113" s="133" t="s">
        <v>2417</v>
      </c>
      <c r="L1113" s="133" t="s">
        <v>2417</v>
      </c>
      <c r="M1113" s="133" t="s">
        <v>2417</v>
      </c>
      <c r="N1113" s="133" t="s">
        <v>2417</v>
      </c>
      <c r="O1113" s="133" t="s">
        <v>2417</v>
      </c>
      <c r="P1113" s="133" t="s">
        <v>2417</v>
      </c>
      <c r="Q1113" s="133" t="s">
        <v>2417</v>
      </c>
      <c r="R1113" s="133" t="s">
        <v>2417</v>
      </c>
      <c r="S1113" s="133" t="s">
        <v>2417</v>
      </c>
      <c r="T1113" s="133" t="s">
        <v>2417</v>
      </c>
      <c r="U1113" s="133" t="s">
        <v>2417</v>
      </c>
      <c r="V1113" s="133" t="s">
        <v>2417</v>
      </c>
      <c r="W1113" s="133" t="s">
        <v>2417</v>
      </c>
      <c r="X1113" s="133" t="s">
        <v>2417</v>
      </c>
      <c r="Y1113" s="133" t="s">
        <v>2417</v>
      </c>
      <c r="Z1113" s="133" t="s">
        <v>2417</v>
      </c>
      <c r="AA1113" s="133" t="s">
        <v>2417</v>
      </c>
      <c r="AB1113" s="133" t="s">
        <v>2417</v>
      </c>
      <c r="AC1113" s="133" t="s">
        <v>2417</v>
      </c>
      <c r="AD1113" s="133" t="s">
        <v>2417</v>
      </c>
      <c r="AE1113" s="123"/>
    </row>
    <row r="1114" spans="1:31" ht="20.399999999999999" outlineLevel="2">
      <c r="A1114" s="68" t="s">
        <v>2289</v>
      </c>
      <c r="B1114" s="63" t="s">
        <v>2290</v>
      </c>
      <c r="C1114" s="360" t="s">
        <v>2291</v>
      </c>
      <c r="D1114" s="351"/>
      <c r="E1114" s="133" t="s">
        <v>2417</v>
      </c>
      <c r="F1114" s="133" t="s">
        <v>2587</v>
      </c>
      <c r="G1114" s="133" t="s">
        <v>2417</v>
      </c>
      <c r="H1114" s="133" t="s">
        <v>2417</v>
      </c>
      <c r="I1114" s="133" t="s">
        <v>2417</v>
      </c>
      <c r="J1114" s="133" t="s">
        <v>2417</v>
      </c>
      <c r="K1114" s="133" t="s">
        <v>2417</v>
      </c>
      <c r="L1114" s="133" t="s">
        <v>2417</v>
      </c>
      <c r="M1114" s="133" t="s">
        <v>2417</v>
      </c>
      <c r="N1114" s="133" t="s">
        <v>2417</v>
      </c>
      <c r="O1114" s="133" t="s">
        <v>2417</v>
      </c>
      <c r="P1114" s="133" t="s">
        <v>2417</v>
      </c>
      <c r="Q1114" s="133" t="s">
        <v>2417</v>
      </c>
      <c r="R1114" s="133" t="s">
        <v>2417</v>
      </c>
      <c r="S1114" s="133" t="s">
        <v>2417</v>
      </c>
      <c r="T1114" s="133" t="s">
        <v>2417</v>
      </c>
      <c r="U1114" s="133" t="s">
        <v>2417</v>
      </c>
      <c r="V1114" s="133" t="s">
        <v>2417</v>
      </c>
      <c r="W1114" s="133" t="s">
        <v>2417</v>
      </c>
      <c r="X1114" s="133" t="s">
        <v>2417</v>
      </c>
      <c r="Y1114" s="133" t="s">
        <v>2417</v>
      </c>
      <c r="Z1114" s="133" t="s">
        <v>2417</v>
      </c>
      <c r="AA1114" s="133" t="s">
        <v>2417</v>
      </c>
      <c r="AB1114" s="133" t="s">
        <v>2417</v>
      </c>
      <c r="AC1114" s="133" t="s">
        <v>2417</v>
      </c>
      <c r="AD1114" s="133" t="s">
        <v>2417</v>
      </c>
      <c r="AE1114" s="123"/>
    </row>
    <row r="1115" spans="1:31" ht="20.399999999999999" outlineLevel="2">
      <c r="A1115" s="68" t="s">
        <v>2292</v>
      </c>
      <c r="B1115" s="63" t="s">
        <v>2293</v>
      </c>
      <c r="C1115" s="360" t="s">
        <v>2294</v>
      </c>
      <c r="D1115" s="351"/>
      <c r="E1115" s="133" t="s">
        <v>2417</v>
      </c>
      <c r="F1115" s="133" t="s">
        <v>592</v>
      </c>
      <c r="G1115" s="133" t="s">
        <v>2417</v>
      </c>
      <c r="H1115" s="133" t="s">
        <v>2417</v>
      </c>
      <c r="I1115" s="133" t="s">
        <v>2417</v>
      </c>
      <c r="J1115" s="133" t="s">
        <v>2417</v>
      </c>
      <c r="K1115" s="133" t="s">
        <v>2417</v>
      </c>
      <c r="L1115" s="133" t="s">
        <v>2417</v>
      </c>
      <c r="M1115" s="133" t="s">
        <v>2417</v>
      </c>
      <c r="N1115" s="133" t="s">
        <v>2417</v>
      </c>
      <c r="O1115" s="133" t="s">
        <v>2417</v>
      </c>
      <c r="P1115" s="133" t="s">
        <v>2417</v>
      </c>
      <c r="Q1115" s="133" t="s">
        <v>2417</v>
      </c>
      <c r="R1115" s="133" t="s">
        <v>2417</v>
      </c>
      <c r="S1115" s="133" t="s">
        <v>2417</v>
      </c>
      <c r="T1115" s="133" t="s">
        <v>2417</v>
      </c>
      <c r="U1115" s="133" t="s">
        <v>2417</v>
      </c>
      <c r="V1115" s="133" t="s">
        <v>2417</v>
      </c>
      <c r="W1115" s="133" t="s">
        <v>2417</v>
      </c>
      <c r="X1115" s="133" t="s">
        <v>2417</v>
      </c>
      <c r="Y1115" s="133" t="s">
        <v>2417</v>
      </c>
      <c r="Z1115" s="133" t="s">
        <v>2417</v>
      </c>
      <c r="AA1115" s="133" t="s">
        <v>2417</v>
      </c>
      <c r="AB1115" s="133" t="s">
        <v>2417</v>
      </c>
      <c r="AC1115" s="133" t="s">
        <v>2417</v>
      </c>
      <c r="AD1115" s="133" t="s">
        <v>2417</v>
      </c>
      <c r="AE1115" s="123"/>
    </row>
    <row r="1116" spans="1:31" ht="20.399999999999999" outlineLevel="2">
      <c r="A1116" s="68" t="s">
        <v>2295</v>
      </c>
      <c r="B1116" s="63" t="s">
        <v>2296</v>
      </c>
      <c r="C1116" s="360" t="s">
        <v>2297</v>
      </c>
      <c r="D1116" s="351"/>
      <c r="E1116" s="133" t="s">
        <v>2417</v>
      </c>
      <c r="F1116" s="133" t="s">
        <v>2426</v>
      </c>
      <c r="G1116" s="133" t="s">
        <v>2417</v>
      </c>
      <c r="H1116" s="133" t="s">
        <v>2417</v>
      </c>
      <c r="I1116" s="133" t="s">
        <v>2417</v>
      </c>
      <c r="J1116" s="133" t="s">
        <v>2417</v>
      </c>
      <c r="K1116" s="133" t="s">
        <v>2417</v>
      </c>
      <c r="L1116" s="133" t="s">
        <v>2417</v>
      </c>
      <c r="M1116" s="133" t="s">
        <v>2417</v>
      </c>
      <c r="N1116" s="133" t="s">
        <v>2417</v>
      </c>
      <c r="O1116" s="133" t="s">
        <v>2417</v>
      </c>
      <c r="P1116" s="133" t="s">
        <v>2417</v>
      </c>
      <c r="Q1116" s="133" t="s">
        <v>2417</v>
      </c>
      <c r="R1116" s="133" t="s">
        <v>2417</v>
      </c>
      <c r="S1116" s="133" t="s">
        <v>2417</v>
      </c>
      <c r="T1116" s="133" t="s">
        <v>2417</v>
      </c>
      <c r="U1116" s="133" t="s">
        <v>2417</v>
      </c>
      <c r="V1116" s="133" t="s">
        <v>2417</v>
      </c>
      <c r="W1116" s="133" t="s">
        <v>2417</v>
      </c>
      <c r="X1116" s="133" t="s">
        <v>2417</v>
      </c>
      <c r="Y1116" s="133" t="s">
        <v>2417</v>
      </c>
      <c r="Z1116" s="133" t="s">
        <v>2417</v>
      </c>
      <c r="AA1116" s="133" t="s">
        <v>2417</v>
      </c>
      <c r="AB1116" s="133" t="s">
        <v>2417</v>
      </c>
      <c r="AC1116" s="133" t="s">
        <v>2417</v>
      </c>
      <c r="AD1116" s="133" t="s">
        <v>2417</v>
      </c>
      <c r="AE1116" s="123"/>
    </row>
    <row r="1117" spans="1:31" ht="20.399999999999999" outlineLevel="2">
      <c r="A1117" s="68" t="s">
        <v>2298</v>
      </c>
      <c r="B1117" s="63" t="s">
        <v>2299</v>
      </c>
      <c r="C1117" s="360" t="s">
        <v>2950</v>
      </c>
      <c r="D1117" s="351"/>
      <c r="E1117" s="133" t="s">
        <v>2417</v>
      </c>
      <c r="F1117" s="133" t="s">
        <v>2396</v>
      </c>
      <c r="G1117" s="133" t="s">
        <v>2417</v>
      </c>
      <c r="H1117" s="133" t="s">
        <v>2417</v>
      </c>
      <c r="I1117" s="133" t="s">
        <v>2417</v>
      </c>
      <c r="J1117" s="133" t="s">
        <v>2417</v>
      </c>
      <c r="K1117" s="133" t="s">
        <v>2417</v>
      </c>
      <c r="L1117" s="133" t="s">
        <v>2417</v>
      </c>
      <c r="M1117" s="133" t="s">
        <v>2417</v>
      </c>
      <c r="N1117" s="133" t="s">
        <v>2417</v>
      </c>
      <c r="O1117" s="133" t="s">
        <v>2417</v>
      </c>
      <c r="P1117" s="133" t="s">
        <v>2417</v>
      </c>
      <c r="Q1117" s="133" t="s">
        <v>2417</v>
      </c>
      <c r="R1117" s="133" t="s">
        <v>2417</v>
      </c>
      <c r="S1117" s="133" t="s">
        <v>2417</v>
      </c>
      <c r="T1117" s="133" t="s">
        <v>2417</v>
      </c>
      <c r="U1117" s="133" t="s">
        <v>2417</v>
      </c>
      <c r="V1117" s="133" t="s">
        <v>2417</v>
      </c>
      <c r="W1117" s="133" t="s">
        <v>2417</v>
      </c>
      <c r="X1117" s="133" t="s">
        <v>2417</v>
      </c>
      <c r="Y1117" s="133" t="s">
        <v>2417</v>
      </c>
      <c r="Z1117" s="133" t="s">
        <v>2417</v>
      </c>
      <c r="AA1117" s="133" t="s">
        <v>2417</v>
      </c>
      <c r="AB1117" s="133" t="s">
        <v>2417</v>
      </c>
      <c r="AC1117" s="133" t="s">
        <v>2417</v>
      </c>
      <c r="AD1117" s="133" t="s">
        <v>2417</v>
      </c>
      <c r="AE1117" s="123"/>
    </row>
    <row r="1118" spans="1:31" ht="30.6" outlineLevel="2">
      <c r="A1118" s="68" t="s">
        <v>2301</v>
      </c>
      <c r="B1118" s="79" t="s">
        <v>2302</v>
      </c>
      <c r="C1118" s="360" t="s">
        <v>2303</v>
      </c>
      <c r="D1118" s="351"/>
      <c r="E1118" s="133" t="s">
        <v>2856</v>
      </c>
      <c r="F1118" s="133" t="s">
        <v>2587</v>
      </c>
      <c r="G1118" s="133" t="s">
        <v>2417</v>
      </c>
      <c r="H1118" s="133" t="s">
        <v>2417</v>
      </c>
      <c r="I1118" s="133" t="s">
        <v>2417</v>
      </c>
      <c r="J1118" s="133" t="s">
        <v>2417</v>
      </c>
      <c r="K1118" s="133" t="s">
        <v>2417</v>
      </c>
      <c r="L1118" s="133" t="s">
        <v>2417</v>
      </c>
      <c r="M1118" s="133" t="s">
        <v>2417</v>
      </c>
      <c r="N1118" s="133" t="s">
        <v>2417</v>
      </c>
      <c r="O1118" s="133" t="s">
        <v>2417</v>
      </c>
      <c r="P1118" s="133" t="s">
        <v>2417</v>
      </c>
      <c r="Q1118" s="133" t="s">
        <v>2417</v>
      </c>
      <c r="R1118" s="133" t="s">
        <v>2417</v>
      </c>
      <c r="S1118" s="133" t="s">
        <v>2417</v>
      </c>
      <c r="T1118" s="133" t="s">
        <v>2417</v>
      </c>
      <c r="U1118" s="133" t="s">
        <v>2417</v>
      </c>
      <c r="V1118" s="133" t="s">
        <v>2417</v>
      </c>
      <c r="W1118" s="133" t="s">
        <v>2417</v>
      </c>
      <c r="X1118" s="133" t="s">
        <v>2417</v>
      </c>
      <c r="Y1118" s="133" t="s">
        <v>2417</v>
      </c>
      <c r="Z1118" s="133" t="s">
        <v>2417</v>
      </c>
      <c r="AA1118" s="133" t="s">
        <v>2417</v>
      </c>
      <c r="AB1118" s="133" t="s">
        <v>2417</v>
      </c>
      <c r="AC1118" s="133" t="s">
        <v>2417</v>
      </c>
      <c r="AD1118" s="133" t="s">
        <v>2417</v>
      </c>
      <c r="AE1118" s="123"/>
    </row>
    <row r="1119" spans="1:31" ht="30.6" hidden="1" outlineLevel="2">
      <c r="A1119" s="68" t="s">
        <v>2951</v>
      </c>
      <c r="B1119" s="63" t="s">
        <v>2952</v>
      </c>
      <c r="C1119" s="360" t="s">
        <v>2953</v>
      </c>
      <c r="D1119" s="351"/>
      <c r="E1119" s="133" t="s">
        <v>2565</v>
      </c>
      <c r="F1119" s="133" t="s">
        <v>2587</v>
      </c>
      <c r="G1119" s="133" t="s">
        <v>2417</v>
      </c>
      <c r="H1119" s="133" t="s">
        <v>2417</v>
      </c>
      <c r="I1119" s="133" t="s">
        <v>2417</v>
      </c>
      <c r="J1119" s="133" t="s">
        <v>2417</v>
      </c>
      <c r="K1119" s="133" t="s">
        <v>2417</v>
      </c>
      <c r="L1119" s="133" t="s">
        <v>2417</v>
      </c>
      <c r="M1119" s="133" t="s">
        <v>2417</v>
      </c>
      <c r="N1119" s="133" t="s">
        <v>2417</v>
      </c>
      <c r="O1119" s="133" t="s">
        <v>2417</v>
      </c>
      <c r="P1119" s="133" t="s">
        <v>2417</v>
      </c>
      <c r="Q1119" s="133" t="s">
        <v>2417</v>
      </c>
      <c r="R1119" s="133" t="s">
        <v>2417</v>
      </c>
      <c r="S1119" s="133" t="s">
        <v>2417</v>
      </c>
      <c r="T1119" s="133" t="s">
        <v>2417</v>
      </c>
      <c r="U1119" s="133" t="s">
        <v>2417</v>
      </c>
      <c r="V1119" s="133" t="s">
        <v>2417</v>
      </c>
      <c r="W1119" s="133" t="s">
        <v>2417</v>
      </c>
      <c r="X1119" s="133" t="s">
        <v>2417</v>
      </c>
      <c r="Y1119" s="133" t="s">
        <v>2417</v>
      </c>
      <c r="Z1119" s="133" t="s">
        <v>2417</v>
      </c>
      <c r="AA1119" s="133" t="s">
        <v>2417</v>
      </c>
      <c r="AB1119" s="133" t="s">
        <v>2417</v>
      </c>
      <c r="AC1119" s="133" t="s">
        <v>2417</v>
      </c>
      <c r="AD1119" s="133" t="s">
        <v>2417</v>
      </c>
      <c r="AE1119" s="123"/>
    </row>
    <row r="1120" spans="1:31" ht="30.6" outlineLevel="2">
      <c r="A1120" s="68" t="s">
        <v>2304</v>
      </c>
      <c r="B1120" s="63" t="s">
        <v>2305</v>
      </c>
      <c r="C1120" s="360" t="s">
        <v>2306</v>
      </c>
      <c r="D1120" s="351"/>
      <c r="E1120" s="133" t="s">
        <v>2417</v>
      </c>
      <c r="F1120" s="133" t="s">
        <v>592</v>
      </c>
      <c r="G1120" s="133" t="s">
        <v>2417</v>
      </c>
      <c r="H1120" s="133" t="s">
        <v>2417</v>
      </c>
      <c r="I1120" s="133" t="s">
        <v>2417</v>
      </c>
      <c r="J1120" s="133" t="s">
        <v>2417</v>
      </c>
      <c r="K1120" s="133" t="s">
        <v>2417</v>
      </c>
      <c r="L1120" s="133" t="s">
        <v>2417</v>
      </c>
      <c r="M1120" s="133" t="s">
        <v>2417</v>
      </c>
      <c r="N1120" s="133" t="s">
        <v>2417</v>
      </c>
      <c r="O1120" s="133" t="s">
        <v>2417</v>
      </c>
      <c r="P1120" s="133" t="s">
        <v>2417</v>
      </c>
      <c r="Q1120" s="133" t="s">
        <v>2417</v>
      </c>
      <c r="R1120" s="133" t="s">
        <v>2417</v>
      </c>
      <c r="S1120" s="133" t="s">
        <v>2417</v>
      </c>
      <c r="T1120" s="133" t="s">
        <v>2417</v>
      </c>
      <c r="U1120" s="133" t="s">
        <v>2417</v>
      </c>
      <c r="V1120" s="133" t="s">
        <v>2417</v>
      </c>
      <c r="W1120" s="133" t="s">
        <v>2417</v>
      </c>
      <c r="X1120" s="133" t="s">
        <v>2417</v>
      </c>
      <c r="Y1120" s="133" t="s">
        <v>2417</v>
      </c>
      <c r="Z1120" s="133" t="s">
        <v>2417</v>
      </c>
      <c r="AA1120" s="133" t="s">
        <v>2417</v>
      </c>
      <c r="AB1120" s="133" t="s">
        <v>2417</v>
      </c>
      <c r="AC1120" s="133" t="s">
        <v>2417</v>
      </c>
      <c r="AD1120" s="133" t="s">
        <v>2417</v>
      </c>
      <c r="AE1120" s="123"/>
    </row>
    <row r="1121" spans="1:31" ht="30.6" outlineLevel="2">
      <c r="A1121" s="68" t="s">
        <v>2307</v>
      </c>
      <c r="B1121" s="63" t="s">
        <v>2308</v>
      </c>
      <c r="C1121" s="360" t="s">
        <v>2309</v>
      </c>
      <c r="D1121" s="351"/>
      <c r="E1121" s="133" t="s">
        <v>2417</v>
      </c>
      <c r="F1121" s="133" t="s">
        <v>2426</v>
      </c>
      <c r="G1121" s="133" t="s">
        <v>2417</v>
      </c>
      <c r="H1121" s="133" t="s">
        <v>2417</v>
      </c>
      <c r="I1121" s="133" t="s">
        <v>2417</v>
      </c>
      <c r="J1121" s="133" t="s">
        <v>2417</v>
      </c>
      <c r="K1121" s="133" t="s">
        <v>2417</v>
      </c>
      <c r="L1121" s="133" t="s">
        <v>2417</v>
      </c>
      <c r="M1121" s="133" t="s">
        <v>2417</v>
      </c>
      <c r="N1121" s="133" t="s">
        <v>2417</v>
      </c>
      <c r="O1121" s="133" t="s">
        <v>2417</v>
      </c>
      <c r="P1121" s="133" t="s">
        <v>2417</v>
      </c>
      <c r="Q1121" s="133" t="s">
        <v>2417</v>
      </c>
      <c r="R1121" s="133" t="s">
        <v>2417</v>
      </c>
      <c r="S1121" s="133" t="s">
        <v>2417</v>
      </c>
      <c r="T1121" s="133" t="s">
        <v>2417</v>
      </c>
      <c r="U1121" s="133" t="s">
        <v>2417</v>
      </c>
      <c r="V1121" s="133" t="s">
        <v>2417</v>
      </c>
      <c r="W1121" s="133" t="s">
        <v>2417</v>
      </c>
      <c r="X1121" s="133" t="s">
        <v>2417</v>
      </c>
      <c r="Y1121" s="133" t="s">
        <v>2417</v>
      </c>
      <c r="Z1121" s="133" t="s">
        <v>2417</v>
      </c>
      <c r="AA1121" s="133" t="s">
        <v>2417</v>
      </c>
      <c r="AB1121" s="133" t="s">
        <v>2417</v>
      </c>
      <c r="AC1121" s="133" t="s">
        <v>2417</v>
      </c>
      <c r="AD1121" s="133" t="s">
        <v>2417</v>
      </c>
      <c r="AE1121" s="123"/>
    </row>
    <row r="1122" spans="1:31" ht="30.6" outlineLevel="2">
      <c r="A1122" s="68" t="s">
        <v>2310</v>
      </c>
      <c r="B1122" s="63" t="s">
        <v>2311</v>
      </c>
      <c r="C1122" s="360" t="s">
        <v>2954</v>
      </c>
      <c r="D1122" s="351"/>
      <c r="E1122" s="133" t="s">
        <v>2417</v>
      </c>
      <c r="F1122" s="133" t="s">
        <v>2396</v>
      </c>
      <c r="G1122" s="133" t="s">
        <v>2417</v>
      </c>
      <c r="H1122" s="133" t="s">
        <v>2417</v>
      </c>
      <c r="I1122" s="133" t="s">
        <v>2417</v>
      </c>
      <c r="J1122" s="133" t="s">
        <v>2417</v>
      </c>
      <c r="K1122" s="133" t="s">
        <v>2417</v>
      </c>
      <c r="L1122" s="133" t="s">
        <v>2417</v>
      </c>
      <c r="M1122" s="133" t="s">
        <v>2417</v>
      </c>
      <c r="N1122" s="133" t="s">
        <v>2417</v>
      </c>
      <c r="O1122" s="133" t="s">
        <v>2417</v>
      </c>
      <c r="P1122" s="133" t="s">
        <v>2417</v>
      </c>
      <c r="Q1122" s="133" t="s">
        <v>2417</v>
      </c>
      <c r="R1122" s="133" t="s">
        <v>2417</v>
      </c>
      <c r="S1122" s="133" t="s">
        <v>2417</v>
      </c>
      <c r="T1122" s="133" t="s">
        <v>2417</v>
      </c>
      <c r="U1122" s="133" t="s">
        <v>2417</v>
      </c>
      <c r="V1122" s="133" t="s">
        <v>2417</v>
      </c>
      <c r="W1122" s="133" t="s">
        <v>2417</v>
      </c>
      <c r="X1122" s="133" t="s">
        <v>2417</v>
      </c>
      <c r="Y1122" s="133" t="s">
        <v>2417</v>
      </c>
      <c r="Z1122" s="133" t="s">
        <v>2417</v>
      </c>
      <c r="AA1122" s="133" t="s">
        <v>2417</v>
      </c>
      <c r="AB1122" s="133" t="s">
        <v>2417</v>
      </c>
      <c r="AC1122" s="133" t="s">
        <v>2417</v>
      </c>
      <c r="AD1122" s="133" t="s">
        <v>2417</v>
      </c>
      <c r="AE1122" s="123"/>
    </row>
    <row r="1123" spans="1:31" ht="40.799999999999997" outlineLevel="2">
      <c r="A1123" s="68" t="s">
        <v>2313</v>
      </c>
      <c r="B1123" s="105" t="s">
        <v>2314</v>
      </c>
      <c r="C1123" s="360" t="s">
        <v>2315</v>
      </c>
      <c r="D1123" s="351"/>
      <c r="E1123" s="133" t="s">
        <v>2417</v>
      </c>
      <c r="F1123" s="133" t="s">
        <v>2417</v>
      </c>
      <c r="G1123" s="133" t="s">
        <v>2417</v>
      </c>
      <c r="H1123" s="133" t="s">
        <v>2417</v>
      </c>
      <c r="I1123" s="133" t="s">
        <v>2417</v>
      </c>
      <c r="J1123" s="133" t="s">
        <v>2417</v>
      </c>
      <c r="K1123" s="133" t="s">
        <v>2417</v>
      </c>
      <c r="L1123" s="133" t="s">
        <v>2417</v>
      </c>
      <c r="M1123" s="133" t="s">
        <v>2417</v>
      </c>
      <c r="N1123" s="133" t="s">
        <v>2417</v>
      </c>
      <c r="O1123" s="133" t="s">
        <v>2417</v>
      </c>
      <c r="P1123" s="133" t="s">
        <v>2417</v>
      </c>
      <c r="Q1123" s="133" t="s">
        <v>2417</v>
      </c>
      <c r="R1123" s="133" t="s">
        <v>2417</v>
      </c>
      <c r="S1123" s="133" t="s">
        <v>2417</v>
      </c>
      <c r="T1123" s="133" t="s">
        <v>2417</v>
      </c>
      <c r="U1123" s="133" t="s">
        <v>2417</v>
      </c>
      <c r="V1123" s="133" t="s">
        <v>2417</v>
      </c>
      <c r="W1123" s="133" t="s">
        <v>2417</v>
      </c>
      <c r="X1123" s="133" t="s">
        <v>2417</v>
      </c>
      <c r="Y1123" s="133" t="s">
        <v>2417</v>
      </c>
      <c r="Z1123" s="133" t="s">
        <v>2417</v>
      </c>
      <c r="AA1123" s="133" t="s">
        <v>2417</v>
      </c>
      <c r="AB1123" s="133" t="s">
        <v>2417</v>
      </c>
      <c r="AC1123" s="133" t="s">
        <v>2417</v>
      </c>
      <c r="AD1123" s="133" t="s">
        <v>2417</v>
      </c>
      <c r="AE1123" s="123"/>
    </row>
    <row r="1124" spans="1:31" ht="13.2" outlineLevel="1">
      <c r="A1124" s="386" t="s">
        <v>2316</v>
      </c>
      <c r="B1124" s="350"/>
      <c r="C1124" s="350"/>
      <c r="D1124" s="351"/>
      <c r="E1124" s="133" t="s">
        <v>2417</v>
      </c>
      <c r="F1124" s="133" t="s">
        <v>2417</v>
      </c>
      <c r="G1124" s="133" t="s">
        <v>2417</v>
      </c>
      <c r="H1124" s="133" t="s">
        <v>2417</v>
      </c>
      <c r="I1124" s="133" t="s">
        <v>2417</v>
      </c>
      <c r="J1124" s="133" t="s">
        <v>2417</v>
      </c>
      <c r="K1124" s="133" t="s">
        <v>2417</v>
      </c>
      <c r="L1124" s="133" t="s">
        <v>2417</v>
      </c>
      <c r="M1124" s="133" t="s">
        <v>2417</v>
      </c>
      <c r="N1124" s="133" t="s">
        <v>2417</v>
      </c>
      <c r="O1124" s="133" t="s">
        <v>2417</v>
      </c>
      <c r="P1124" s="133" t="s">
        <v>2417</v>
      </c>
      <c r="Q1124" s="133" t="s">
        <v>2417</v>
      </c>
      <c r="R1124" s="133" t="s">
        <v>2417</v>
      </c>
      <c r="S1124" s="133" t="s">
        <v>2417</v>
      </c>
      <c r="T1124" s="133" t="s">
        <v>2417</v>
      </c>
      <c r="U1124" s="133" t="s">
        <v>2417</v>
      </c>
      <c r="V1124" s="133" t="s">
        <v>2417</v>
      </c>
      <c r="W1124" s="133" t="s">
        <v>2417</v>
      </c>
      <c r="X1124" s="133" t="s">
        <v>2417</v>
      </c>
      <c r="Y1124" s="133" t="s">
        <v>2417</v>
      </c>
      <c r="Z1124" s="133" t="s">
        <v>2417</v>
      </c>
      <c r="AA1124" s="133" t="s">
        <v>2417</v>
      </c>
      <c r="AB1124" s="133" t="s">
        <v>2417</v>
      </c>
      <c r="AC1124" s="133" t="s">
        <v>2417</v>
      </c>
      <c r="AD1124" s="133" t="s">
        <v>2417</v>
      </c>
      <c r="AE1124" s="139"/>
    </row>
    <row r="1125" spans="1:31" ht="13.2" outlineLevel="2">
      <c r="A1125" s="435" t="s">
        <v>2317</v>
      </c>
      <c r="B1125" s="350"/>
      <c r="C1125" s="350"/>
      <c r="D1125" s="351"/>
      <c r="E1125" s="133" t="s">
        <v>2417</v>
      </c>
      <c r="F1125" s="133" t="s">
        <v>2417</v>
      </c>
      <c r="G1125" s="133" t="s">
        <v>2417</v>
      </c>
      <c r="H1125" s="133" t="s">
        <v>2417</v>
      </c>
      <c r="I1125" s="133" t="s">
        <v>2417</v>
      </c>
      <c r="J1125" s="133" t="s">
        <v>2417</v>
      </c>
      <c r="K1125" s="133" t="s">
        <v>2417</v>
      </c>
      <c r="L1125" s="133" t="s">
        <v>2417</v>
      </c>
      <c r="M1125" s="133" t="s">
        <v>2417</v>
      </c>
      <c r="N1125" s="133" t="s">
        <v>2417</v>
      </c>
      <c r="O1125" s="133" t="s">
        <v>2417</v>
      </c>
      <c r="P1125" s="133" t="s">
        <v>2417</v>
      </c>
      <c r="Q1125" s="133" t="s">
        <v>2417</v>
      </c>
      <c r="R1125" s="133" t="s">
        <v>2417</v>
      </c>
      <c r="S1125" s="133" t="s">
        <v>2417</v>
      </c>
      <c r="T1125" s="133" t="s">
        <v>2417</v>
      </c>
      <c r="U1125" s="133" t="s">
        <v>2417</v>
      </c>
      <c r="V1125" s="133" t="s">
        <v>2417</v>
      </c>
      <c r="W1125" s="133" t="s">
        <v>2417</v>
      </c>
      <c r="X1125" s="133" t="s">
        <v>2417</v>
      </c>
      <c r="Y1125" s="133" t="s">
        <v>2417</v>
      </c>
      <c r="Z1125" s="133" t="s">
        <v>2417</v>
      </c>
      <c r="AA1125" s="133" t="s">
        <v>2417</v>
      </c>
      <c r="AB1125" s="133" t="s">
        <v>2417</v>
      </c>
      <c r="AC1125" s="133" t="s">
        <v>2417</v>
      </c>
      <c r="AD1125" s="133" t="s">
        <v>2417</v>
      </c>
      <c r="AE1125" s="202"/>
    </row>
    <row r="1126" spans="1:31" ht="409.6" customHeight="1" outlineLevel="2">
      <c r="A1126" s="68" t="s">
        <v>2318</v>
      </c>
      <c r="B1126" s="106" t="s">
        <v>2319</v>
      </c>
      <c r="C1126" s="360" t="s">
        <v>2955</v>
      </c>
      <c r="D1126" s="351"/>
      <c r="E1126" s="133" t="s">
        <v>2417</v>
      </c>
      <c r="F1126" s="133" t="s">
        <v>2417</v>
      </c>
      <c r="G1126" s="133" t="s">
        <v>2417</v>
      </c>
      <c r="H1126" s="133" t="s">
        <v>2417</v>
      </c>
      <c r="I1126" s="133" t="s">
        <v>2417</v>
      </c>
      <c r="J1126" s="133" t="s">
        <v>2417</v>
      </c>
      <c r="K1126" s="133" t="s">
        <v>2417</v>
      </c>
      <c r="L1126" s="133" t="s">
        <v>2417</v>
      </c>
      <c r="M1126" s="133" t="s">
        <v>2417</v>
      </c>
      <c r="N1126" s="133" t="s">
        <v>2417</v>
      </c>
      <c r="O1126" s="133" t="s">
        <v>2417</v>
      </c>
      <c r="P1126" s="133" t="s">
        <v>2417</v>
      </c>
      <c r="Q1126" s="133" t="s">
        <v>2417</v>
      </c>
      <c r="R1126" s="133" t="s">
        <v>2417</v>
      </c>
      <c r="S1126" s="133" t="s">
        <v>2417</v>
      </c>
      <c r="T1126" s="133" t="s">
        <v>2417</v>
      </c>
      <c r="U1126" s="133" t="s">
        <v>2417</v>
      </c>
      <c r="V1126" s="133" t="s">
        <v>2417</v>
      </c>
      <c r="W1126" s="133" t="s">
        <v>2417</v>
      </c>
      <c r="X1126" s="133" t="s">
        <v>2417</v>
      </c>
      <c r="Y1126" s="133" t="s">
        <v>2417</v>
      </c>
      <c r="Z1126" s="133" t="s">
        <v>2417</v>
      </c>
      <c r="AA1126" s="133" t="s">
        <v>2417</v>
      </c>
      <c r="AB1126" s="133" t="s">
        <v>2417</v>
      </c>
      <c r="AC1126" s="133" t="s">
        <v>2417</v>
      </c>
      <c r="AD1126" s="133" t="s">
        <v>2417</v>
      </c>
      <c r="AE1126" s="123"/>
    </row>
    <row r="1127" spans="1:31" ht="13.2" outlineLevel="1">
      <c r="A1127" s="384" t="s">
        <v>2321</v>
      </c>
      <c r="B1127" s="350"/>
      <c r="C1127" s="350"/>
      <c r="D1127" s="351"/>
      <c r="E1127" s="133" t="s">
        <v>2417</v>
      </c>
      <c r="F1127" s="133" t="s">
        <v>2417</v>
      </c>
      <c r="G1127" s="133" t="s">
        <v>2417</v>
      </c>
      <c r="H1127" s="133" t="s">
        <v>2417</v>
      </c>
      <c r="I1127" s="133" t="s">
        <v>2417</v>
      </c>
      <c r="J1127" s="133" t="s">
        <v>2417</v>
      </c>
      <c r="K1127" s="133" t="s">
        <v>2417</v>
      </c>
      <c r="L1127" s="133" t="s">
        <v>2417</v>
      </c>
      <c r="M1127" s="133" t="s">
        <v>2417</v>
      </c>
      <c r="N1127" s="133" t="s">
        <v>2417</v>
      </c>
      <c r="O1127" s="133" t="s">
        <v>2417</v>
      </c>
      <c r="P1127" s="133" t="s">
        <v>2417</v>
      </c>
      <c r="Q1127" s="133" t="s">
        <v>2417</v>
      </c>
      <c r="R1127" s="133" t="s">
        <v>2417</v>
      </c>
      <c r="S1127" s="133" t="s">
        <v>2417</v>
      </c>
      <c r="T1127" s="133" t="s">
        <v>2417</v>
      </c>
      <c r="U1127" s="133" t="s">
        <v>2417</v>
      </c>
      <c r="V1127" s="133" t="s">
        <v>2417</v>
      </c>
      <c r="W1127" s="133" t="s">
        <v>2417</v>
      </c>
      <c r="X1127" s="133" t="s">
        <v>2417</v>
      </c>
      <c r="Y1127" s="133" t="s">
        <v>2417</v>
      </c>
      <c r="Z1127" s="133" t="s">
        <v>2417</v>
      </c>
      <c r="AA1127" s="133" t="s">
        <v>2417</v>
      </c>
      <c r="AB1127" s="133" t="s">
        <v>2417</v>
      </c>
      <c r="AC1127" s="133" t="s">
        <v>2417</v>
      </c>
      <c r="AD1127" s="133" t="s">
        <v>2417</v>
      </c>
      <c r="AE1127" s="173"/>
    </row>
    <row r="1128" spans="1:31" ht="13.2" outlineLevel="2">
      <c r="A1128" s="436" t="s">
        <v>2322</v>
      </c>
      <c r="B1128" s="350"/>
      <c r="C1128" s="350"/>
      <c r="D1128" s="351"/>
      <c r="E1128" s="133" t="s">
        <v>2417</v>
      </c>
      <c r="F1128" s="133" t="s">
        <v>2417</v>
      </c>
      <c r="G1128" s="133" t="s">
        <v>2417</v>
      </c>
      <c r="H1128" s="133" t="s">
        <v>2417</v>
      </c>
      <c r="I1128" s="133" t="s">
        <v>2417</v>
      </c>
      <c r="J1128" s="133" t="s">
        <v>2417</v>
      </c>
      <c r="K1128" s="133" t="s">
        <v>2417</v>
      </c>
      <c r="L1128" s="133" t="s">
        <v>2417</v>
      </c>
      <c r="M1128" s="133" t="s">
        <v>2417</v>
      </c>
      <c r="N1128" s="133" t="s">
        <v>2417</v>
      </c>
      <c r="O1128" s="133" t="s">
        <v>2417</v>
      </c>
      <c r="P1128" s="133" t="s">
        <v>2417</v>
      </c>
      <c r="Q1128" s="133" t="s">
        <v>2417</v>
      </c>
      <c r="R1128" s="133" t="s">
        <v>2417</v>
      </c>
      <c r="S1128" s="133" t="s">
        <v>2417</v>
      </c>
      <c r="T1128" s="133" t="s">
        <v>2417</v>
      </c>
      <c r="U1128" s="133" t="s">
        <v>2417</v>
      </c>
      <c r="V1128" s="133" t="s">
        <v>2417</v>
      </c>
      <c r="W1128" s="133" t="s">
        <v>2417</v>
      </c>
      <c r="X1128" s="133" t="s">
        <v>2417</v>
      </c>
      <c r="Y1128" s="133" t="s">
        <v>2417</v>
      </c>
      <c r="Z1128" s="133" t="s">
        <v>2417</v>
      </c>
      <c r="AA1128" s="133" t="s">
        <v>2417</v>
      </c>
      <c r="AB1128" s="133" t="s">
        <v>2417</v>
      </c>
      <c r="AC1128" s="133" t="s">
        <v>2417</v>
      </c>
      <c r="AD1128" s="133" t="s">
        <v>2417</v>
      </c>
      <c r="AE1128" s="202"/>
    </row>
    <row r="1129" spans="1:31" ht="20.399999999999999" outlineLevel="3">
      <c r="A1129" s="68" t="s">
        <v>2323</v>
      </c>
      <c r="B1129" s="107" t="s">
        <v>2324</v>
      </c>
      <c r="C1129" s="360" t="s">
        <v>2956</v>
      </c>
      <c r="D1129" s="351"/>
      <c r="E1129" s="133" t="s">
        <v>2417</v>
      </c>
      <c r="F1129" s="133" t="s">
        <v>2417</v>
      </c>
      <c r="G1129" s="133" t="s">
        <v>2417</v>
      </c>
      <c r="H1129" s="133" t="s">
        <v>2417</v>
      </c>
      <c r="I1129" s="133" t="s">
        <v>2417</v>
      </c>
      <c r="J1129" s="133" t="s">
        <v>2417</v>
      </c>
      <c r="K1129" s="133" t="s">
        <v>2417</v>
      </c>
      <c r="L1129" s="133" t="s">
        <v>2417</v>
      </c>
      <c r="M1129" s="133" t="s">
        <v>2417</v>
      </c>
      <c r="N1129" s="133" t="s">
        <v>2417</v>
      </c>
      <c r="O1129" s="133" t="s">
        <v>2417</v>
      </c>
      <c r="P1129" s="133" t="s">
        <v>2417</v>
      </c>
      <c r="Q1129" s="133" t="s">
        <v>2417</v>
      </c>
      <c r="R1129" s="133" t="s">
        <v>2417</v>
      </c>
      <c r="S1129" s="133" t="s">
        <v>2417</v>
      </c>
      <c r="T1129" s="133" t="s">
        <v>2417</v>
      </c>
      <c r="U1129" s="133" t="s">
        <v>2417</v>
      </c>
      <c r="V1129" s="133" t="s">
        <v>2417</v>
      </c>
      <c r="W1129" s="133" t="s">
        <v>2417</v>
      </c>
      <c r="X1129" s="133" t="s">
        <v>2417</v>
      </c>
      <c r="Y1129" s="133" t="s">
        <v>2417</v>
      </c>
      <c r="Z1129" s="133" t="s">
        <v>2417</v>
      </c>
      <c r="AA1129" s="133" t="s">
        <v>2417</v>
      </c>
      <c r="AB1129" s="133" t="s">
        <v>2417</v>
      </c>
      <c r="AC1129" s="133" t="s">
        <v>2417</v>
      </c>
      <c r="AD1129" s="133" t="s">
        <v>2417</v>
      </c>
      <c r="AE1129" s="123"/>
    </row>
    <row r="1130" spans="1:31" ht="13.2" outlineLevel="2">
      <c r="A1130" s="435" t="s">
        <v>2326</v>
      </c>
      <c r="B1130" s="350"/>
      <c r="C1130" s="350"/>
      <c r="D1130" s="351"/>
      <c r="E1130" s="133" t="s">
        <v>2417</v>
      </c>
      <c r="F1130" s="133" t="s">
        <v>2417</v>
      </c>
      <c r="G1130" s="133" t="s">
        <v>2417</v>
      </c>
      <c r="H1130" s="133" t="s">
        <v>2417</v>
      </c>
      <c r="I1130" s="133" t="s">
        <v>2417</v>
      </c>
      <c r="J1130" s="133" t="s">
        <v>2417</v>
      </c>
      <c r="K1130" s="133" t="s">
        <v>2417</v>
      </c>
      <c r="L1130" s="133" t="s">
        <v>2417</v>
      </c>
      <c r="M1130" s="133" t="s">
        <v>2417</v>
      </c>
      <c r="N1130" s="133" t="s">
        <v>2417</v>
      </c>
      <c r="O1130" s="133" t="s">
        <v>2417</v>
      </c>
      <c r="P1130" s="133" t="s">
        <v>2417</v>
      </c>
      <c r="Q1130" s="133" t="s">
        <v>2417</v>
      </c>
      <c r="R1130" s="133" t="s">
        <v>2417</v>
      </c>
      <c r="S1130" s="133" t="s">
        <v>2417</v>
      </c>
      <c r="T1130" s="133" t="s">
        <v>2417</v>
      </c>
      <c r="U1130" s="133" t="s">
        <v>2417</v>
      </c>
      <c r="V1130" s="133" t="s">
        <v>2417</v>
      </c>
      <c r="W1130" s="133" t="s">
        <v>2417</v>
      </c>
      <c r="X1130" s="133" t="s">
        <v>2417</v>
      </c>
      <c r="Y1130" s="133" t="s">
        <v>2417</v>
      </c>
      <c r="Z1130" s="133" t="s">
        <v>2417</v>
      </c>
      <c r="AA1130" s="133" t="s">
        <v>2417</v>
      </c>
      <c r="AB1130" s="133" t="s">
        <v>2417</v>
      </c>
      <c r="AC1130" s="133" t="s">
        <v>2417</v>
      </c>
      <c r="AD1130" s="133" t="s">
        <v>2417</v>
      </c>
      <c r="AE1130" s="202"/>
    </row>
    <row r="1131" spans="1:31" ht="20.399999999999999" outlineLevel="3">
      <c r="A1131" s="68" t="s">
        <v>2327</v>
      </c>
      <c r="B1131" s="107" t="s">
        <v>2328</v>
      </c>
      <c r="C1131" s="360" t="s">
        <v>2329</v>
      </c>
      <c r="D1131" s="351"/>
      <c r="E1131" s="133" t="s">
        <v>2417</v>
      </c>
      <c r="F1131" s="133" t="s">
        <v>2417</v>
      </c>
      <c r="G1131" s="133" t="s">
        <v>2417</v>
      </c>
      <c r="H1131" s="133" t="s">
        <v>2417</v>
      </c>
      <c r="I1131" s="133" t="s">
        <v>2417</v>
      </c>
      <c r="J1131" s="133" t="s">
        <v>2417</v>
      </c>
      <c r="K1131" s="133" t="s">
        <v>2417</v>
      </c>
      <c r="L1131" s="133" t="s">
        <v>2417</v>
      </c>
      <c r="M1131" s="133" t="s">
        <v>2417</v>
      </c>
      <c r="N1131" s="133" t="s">
        <v>2417</v>
      </c>
      <c r="O1131" s="133" t="s">
        <v>2417</v>
      </c>
      <c r="P1131" s="133" t="s">
        <v>2417</v>
      </c>
      <c r="Q1131" s="133" t="s">
        <v>2417</v>
      </c>
      <c r="R1131" s="133" t="s">
        <v>2417</v>
      </c>
      <c r="S1131" s="133" t="s">
        <v>2417</v>
      </c>
      <c r="T1131" s="133" t="s">
        <v>2417</v>
      </c>
      <c r="U1131" s="133" t="s">
        <v>2417</v>
      </c>
      <c r="V1131" s="133" t="s">
        <v>2417</v>
      </c>
      <c r="W1131" s="133" t="s">
        <v>2417</v>
      </c>
      <c r="X1131" s="133" t="s">
        <v>2417</v>
      </c>
      <c r="Y1131" s="133" t="s">
        <v>2417</v>
      </c>
      <c r="Z1131" s="133" t="s">
        <v>2417</v>
      </c>
      <c r="AA1131" s="133" t="s">
        <v>2417</v>
      </c>
      <c r="AB1131" s="133" t="s">
        <v>2417</v>
      </c>
      <c r="AC1131" s="133" t="s">
        <v>2417</v>
      </c>
      <c r="AD1131" s="133" t="s">
        <v>2417</v>
      </c>
      <c r="AE1131" s="123"/>
    </row>
    <row r="1132" spans="1:31" ht="13.2" outlineLevel="1">
      <c r="A1132" s="384" t="s">
        <v>2330</v>
      </c>
      <c r="B1132" s="350"/>
      <c r="C1132" s="350"/>
      <c r="D1132" s="351"/>
      <c r="E1132" s="133" t="s">
        <v>2417</v>
      </c>
      <c r="F1132" s="133" t="s">
        <v>2417</v>
      </c>
      <c r="G1132" s="133" t="s">
        <v>2417</v>
      </c>
      <c r="H1132" s="133" t="s">
        <v>2417</v>
      </c>
      <c r="I1132" s="133" t="s">
        <v>2417</v>
      </c>
      <c r="J1132" s="133" t="s">
        <v>2417</v>
      </c>
      <c r="K1132" s="133" t="s">
        <v>2417</v>
      </c>
      <c r="L1132" s="133" t="s">
        <v>2417</v>
      </c>
      <c r="M1132" s="133" t="s">
        <v>2417</v>
      </c>
      <c r="N1132" s="133" t="s">
        <v>2417</v>
      </c>
      <c r="O1132" s="133" t="s">
        <v>2417</v>
      </c>
      <c r="P1132" s="133" t="s">
        <v>2417</v>
      </c>
      <c r="Q1132" s="133" t="s">
        <v>2417</v>
      </c>
      <c r="R1132" s="133" t="s">
        <v>2417</v>
      </c>
      <c r="S1132" s="133" t="s">
        <v>2417</v>
      </c>
      <c r="T1132" s="133" t="s">
        <v>2417</v>
      </c>
      <c r="U1132" s="133" t="s">
        <v>2417</v>
      </c>
      <c r="V1132" s="133" t="s">
        <v>2417</v>
      </c>
      <c r="W1132" s="133" t="s">
        <v>2417</v>
      </c>
      <c r="X1132" s="133" t="s">
        <v>2417</v>
      </c>
      <c r="Y1132" s="133" t="s">
        <v>2417</v>
      </c>
      <c r="Z1132" s="133" t="s">
        <v>2417</v>
      </c>
      <c r="AA1132" s="133" t="s">
        <v>2417</v>
      </c>
      <c r="AB1132" s="133" t="s">
        <v>2417</v>
      </c>
      <c r="AC1132" s="133" t="s">
        <v>2417</v>
      </c>
      <c r="AD1132" s="133" t="s">
        <v>2417</v>
      </c>
      <c r="AE1132" s="173"/>
    </row>
    <row r="1133" spans="1:31" ht="13.2" outlineLevel="2">
      <c r="A1133" s="435" t="s">
        <v>2331</v>
      </c>
      <c r="B1133" s="350"/>
      <c r="C1133" s="350"/>
      <c r="D1133" s="351"/>
      <c r="E1133" s="133" t="s">
        <v>2417</v>
      </c>
      <c r="F1133" s="133" t="s">
        <v>2417</v>
      </c>
      <c r="G1133" s="133" t="s">
        <v>2417</v>
      </c>
      <c r="H1133" s="133" t="s">
        <v>2417</v>
      </c>
      <c r="I1133" s="133" t="s">
        <v>2417</v>
      </c>
      <c r="J1133" s="133" t="s">
        <v>2417</v>
      </c>
      <c r="K1133" s="133" t="s">
        <v>2417</v>
      </c>
      <c r="L1133" s="133" t="s">
        <v>2417</v>
      </c>
      <c r="M1133" s="133" t="s">
        <v>2417</v>
      </c>
      <c r="N1133" s="133" t="s">
        <v>2417</v>
      </c>
      <c r="O1133" s="133" t="s">
        <v>2417</v>
      </c>
      <c r="P1133" s="133" t="s">
        <v>2417</v>
      </c>
      <c r="Q1133" s="133" t="s">
        <v>2417</v>
      </c>
      <c r="R1133" s="133" t="s">
        <v>2417</v>
      </c>
      <c r="S1133" s="133" t="s">
        <v>2417</v>
      </c>
      <c r="T1133" s="133" t="s">
        <v>2417</v>
      </c>
      <c r="U1133" s="133" t="s">
        <v>2417</v>
      </c>
      <c r="V1133" s="133" t="s">
        <v>2417</v>
      </c>
      <c r="W1133" s="133" t="s">
        <v>2417</v>
      </c>
      <c r="X1133" s="133" t="s">
        <v>2417</v>
      </c>
      <c r="Y1133" s="133" t="s">
        <v>2417</v>
      </c>
      <c r="Z1133" s="133" t="s">
        <v>2417</v>
      </c>
      <c r="AA1133" s="133" t="s">
        <v>2417</v>
      </c>
      <c r="AB1133" s="133" t="s">
        <v>2417</v>
      </c>
      <c r="AC1133" s="133" t="s">
        <v>2417</v>
      </c>
      <c r="AD1133" s="133" t="s">
        <v>2417</v>
      </c>
      <c r="AE1133" s="202"/>
    </row>
    <row r="1134" spans="1:31" ht="20.399999999999999" outlineLevel="3">
      <c r="A1134" s="68" t="s">
        <v>446</v>
      </c>
      <c r="B1134" s="108" t="s">
        <v>2332</v>
      </c>
      <c r="C1134" s="360" t="s">
        <v>2333</v>
      </c>
      <c r="D1134" s="351"/>
      <c r="E1134" s="133" t="s">
        <v>2417</v>
      </c>
      <c r="F1134" s="133" t="s">
        <v>2417</v>
      </c>
      <c r="G1134" s="133" t="s">
        <v>2417</v>
      </c>
      <c r="H1134" s="133" t="s">
        <v>2417</v>
      </c>
      <c r="I1134" s="133" t="s">
        <v>2417</v>
      </c>
      <c r="J1134" s="133" t="s">
        <v>2417</v>
      </c>
      <c r="K1134" s="133" t="s">
        <v>2417</v>
      </c>
      <c r="L1134" s="133" t="s">
        <v>2417</v>
      </c>
      <c r="M1134" s="133" t="s">
        <v>2417</v>
      </c>
      <c r="N1134" s="133" t="s">
        <v>2417</v>
      </c>
      <c r="O1134" s="133" t="s">
        <v>2417</v>
      </c>
      <c r="P1134" s="133" t="s">
        <v>2417</v>
      </c>
      <c r="Q1134" s="133" t="s">
        <v>2417</v>
      </c>
      <c r="R1134" s="133" t="s">
        <v>2417</v>
      </c>
      <c r="S1134" s="133" t="s">
        <v>2417</v>
      </c>
      <c r="T1134" s="133" t="s">
        <v>2417</v>
      </c>
      <c r="U1134" s="133" t="s">
        <v>2417</v>
      </c>
      <c r="V1134" s="133" t="s">
        <v>2417</v>
      </c>
      <c r="W1134" s="133" t="s">
        <v>2417</v>
      </c>
      <c r="X1134" s="133" t="s">
        <v>2417</v>
      </c>
      <c r="Y1134" s="133" t="s">
        <v>2417</v>
      </c>
      <c r="Z1134" s="133" t="s">
        <v>2417</v>
      </c>
      <c r="AA1134" s="133" t="s">
        <v>2417</v>
      </c>
      <c r="AB1134" s="133" t="s">
        <v>2417</v>
      </c>
      <c r="AC1134" s="133" t="s">
        <v>2417</v>
      </c>
      <c r="AD1134" s="133" t="s">
        <v>2417</v>
      </c>
      <c r="AE1134" s="123"/>
    </row>
    <row r="1135" spans="1:31" ht="13.2" outlineLevel="1">
      <c r="A1135" s="384" t="s">
        <v>2334</v>
      </c>
      <c r="B1135" s="350"/>
      <c r="C1135" s="350"/>
      <c r="D1135" s="351"/>
      <c r="E1135" s="133" t="s">
        <v>2417</v>
      </c>
      <c r="F1135" s="133" t="s">
        <v>2417</v>
      </c>
      <c r="G1135" s="133" t="s">
        <v>2417</v>
      </c>
      <c r="H1135" s="133" t="s">
        <v>2417</v>
      </c>
      <c r="I1135" s="133" t="s">
        <v>2417</v>
      </c>
      <c r="J1135" s="133" t="s">
        <v>2417</v>
      </c>
      <c r="K1135" s="133" t="s">
        <v>2417</v>
      </c>
      <c r="L1135" s="133" t="s">
        <v>2417</v>
      </c>
      <c r="M1135" s="133" t="s">
        <v>2417</v>
      </c>
      <c r="N1135" s="133" t="s">
        <v>2417</v>
      </c>
      <c r="O1135" s="133" t="s">
        <v>2417</v>
      </c>
      <c r="P1135" s="133" t="s">
        <v>2417</v>
      </c>
      <c r="Q1135" s="133" t="s">
        <v>2417</v>
      </c>
      <c r="R1135" s="133" t="s">
        <v>2417</v>
      </c>
      <c r="S1135" s="133" t="s">
        <v>2417</v>
      </c>
      <c r="T1135" s="133" t="s">
        <v>2417</v>
      </c>
      <c r="U1135" s="133" t="s">
        <v>2417</v>
      </c>
      <c r="V1135" s="133" t="s">
        <v>2417</v>
      </c>
      <c r="W1135" s="133" t="s">
        <v>2417</v>
      </c>
      <c r="X1135" s="133" t="s">
        <v>2417</v>
      </c>
      <c r="Y1135" s="133" t="s">
        <v>2417</v>
      </c>
      <c r="Z1135" s="133" t="s">
        <v>2417</v>
      </c>
      <c r="AA1135" s="133" t="s">
        <v>2417</v>
      </c>
      <c r="AB1135" s="133" t="s">
        <v>2417</v>
      </c>
      <c r="AC1135" s="133" t="s">
        <v>2417</v>
      </c>
      <c r="AD1135" s="133" t="s">
        <v>2417</v>
      </c>
      <c r="AE1135" s="173"/>
    </row>
    <row r="1136" spans="1:31" ht="13.2" outlineLevel="2">
      <c r="A1136" s="435" t="s">
        <v>2335</v>
      </c>
      <c r="B1136" s="350"/>
      <c r="C1136" s="350"/>
      <c r="D1136" s="351"/>
      <c r="E1136" s="133" t="s">
        <v>2417</v>
      </c>
      <c r="F1136" s="133" t="s">
        <v>2417</v>
      </c>
      <c r="G1136" s="133" t="s">
        <v>2417</v>
      </c>
      <c r="H1136" s="133" t="s">
        <v>2417</v>
      </c>
      <c r="I1136" s="133" t="s">
        <v>2417</v>
      </c>
      <c r="J1136" s="133" t="s">
        <v>2417</v>
      </c>
      <c r="K1136" s="133" t="s">
        <v>2417</v>
      </c>
      <c r="L1136" s="133" t="s">
        <v>2417</v>
      </c>
      <c r="M1136" s="133" t="s">
        <v>2417</v>
      </c>
      <c r="N1136" s="133" t="s">
        <v>2417</v>
      </c>
      <c r="O1136" s="133" t="s">
        <v>2417</v>
      </c>
      <c r="P1136" s="133" t="s">
        <v>2417</v>
      </c>
      <c r="Q1136" s="133" t="s">
        <v>2417</v>
      </c>
      <c r="R1136" s="133" t="s">
        <v>2417</v>
      </c>
      <c r="S1136" s="133" t="s">
        <v>2417</v>
      </c>
      <c r="T1136" s="133" t="s">
        <v>2417</v>
      </c>
      <c r="U1136" s="133" t="s">
        <v>2417</v>
      </c>
      <c r="V1136" s="133" t="s">
        <v>2417</v>
      </c>
      <c r="W1136" s="133" t="s">
        <v>2417</v>
      </c>
      <c r="X1136" s="133" t="s">
        <v>2417</v>
      </c>
      <c r="Y1136" s="133" t="s">
        <v>2417</v>
      </c>
      <c r="Z1136" s="133" t="s">
        <v>2417</v>
      </c>
      <c r="AA1136" s="133" t="s">
        <v>2417</v>
      </c>
      <c r="AB1136" s="133" t="s">
        <v>2417</v>
      </c>
      <c r="AC1136" s="133" t="s">
        <v>2417</v>
      </c>
      <c r="AD1136" s="133" t="s">
        <v>2417</v>
      </c>
      <c r="AE1136" s="202"/>
    </row>
    <row r="1137" spans="1:31" ht="13.2" outlineLevel="3">
      <c r="A1137" s="68" t="s">
        <v>2336</v>
      </c>
      <c r="B1137" s="107" t="s">
        <v>2337</v>
      </c>
      <c r="C1137" s="360" t="s">
        <v>2338</v>
      </c>
      <c r="D1137" s="351"/>
      <c r="E1137" s="133" t="s">
        <v>2417</v>
      </c>
      <c r="F1137" s="133" t="s">
        <v>2417</v>
      </c>
      <c r="G1137" s="133" t="s">
        <v>2417</v>
      </c>
      <c r="H1137" s="133" t="s">
        <v>2417</v>
      </c>
      <c r="I1137" s="133" t="s">
        <v>2417</v>
      </c>
      <c r="J1137" s="133" t="s">
        <v>2417</v>
      </c>
      <c r="K1137" s="133" t="s">
        <v>2417</v>
      </c>
      <c r="L1137" s="133" t="s">
        <v>2417</v>
      </c>
      <c r="M1137" s="133" t="s">
        <v>2417</v>
      </c>
      <c r="N1137" s="133" t="s">
        <v>2417</v>
      </c>
      <c r="O1137" s="133" t="s">
        <v>2417</v>
      </c>
      <c r="P1137" s="133" t="s">
        <v>2417</v>
      </c>
      <c r="Q1137" s="133" t="s">
        <v>2417</v>
      </c>
      <c r="R1137" s="133" t="s">
        <v>2417</v>
      </c>
      <c r="S1137" s="133" t="s">
        <v>2417</v>
      </c>
      <c r="T1137" s="133" t="s">
        <v>2417</v>
      </c>
      <c r="U1137" s="133" t="s">
        <v>2417</v>
      </c>
      <c r="V1137" s="133" t="s">
        <v>2417</v>
      </c>
      <c r="W1137" s="133" t="s">
        <v>2417</v>
      </c>
      <c r="X1137" s="133" t="s">
        <v>2417</v>
      </c>
      <c r="Y1137" s="133" t="s">
        <v>2417</v>
      </c>
      <c r="Z1137" s="133" t="s">
        <v>2417</v>
      </c>
      <c r="AA1137" s="133" t="s">
        <v>2417</v>
      </c>
      <c r="AB1137" s="133" t="s">
        <v>2417</v>
      </c>
      <c r="AC1137" s="133" t="s">
        <v>2417</v>
      </c>
      <c r="AD1137" s="133" t="s">
        <v>2417</v>
      </c>
      <c r="AE1137" s="123"/>
    </row>
    <row r="1138" spans="1:31" ht="13.2" outlineLevel="1">
      <c r="A1138" s="384" t="s">
        <v>2339</v>
      </c>
      <c r="B1138" s="350"/>
      <c r="C1138" s="350"/>
      <c r="D1138" s="351"/>
      <c r="E1138" s="133" t="s">
        <v>2417</v>
      </c>
      <c r="F1138" s="133" t="s">
        <v>2417</v>
      </c>
      <c r="G1138" s="133" t="s">
        <v>2417</v>
      </c>
      <c r="H1138" s="133" t="s">
        <v>2417</v>
      </c>
      <c r="I1138" s="133" t="s">
        <v>2417</v>
      </c>
      <c r="J1138" s="133" t="s">
        <v>2417</v>
      </c>
      <c r="K1138" s="133" t="s">
        <v>2417</v>
      </c>
      <c r="L1138" s="133" t="s">
        <v>2417</v>
      </c>
      <c r="M1138" s="133" t="s">
        <v>2417</v>
      </c>
      <c r="N1138" s="133" t="s">
        <v>2417</v>
      </c>
      <c r="O1138" s="133" t="s">
        <v>2417</v>
      </c>
      <c r="P1138" s="133" t="s">
        <v>2417</v>
      </c>
      <c r="Q1138" s="133" t="s">
        <v>2417</v>
      </c>
      <c r="R1138" s="133" t="s">
        <v>2417</v>
      </c>
      <c r="S1138" s="133" t="s">
        <v>2417</v>
      </c>
      <c r="T1138" s="133" t="s">
        <v>2417</v>
      </c>
      <c r="U1138" s="133" t="s">
        <v>2417</v>
      </c>
      <c r="V1138" s="133" t="s">
        <v>2417</v>
      </c>
      <c r="W1138" s="133" t="s">
        <v>2417</v>
      </c>
      <c r="X1138" s="133" t="s">
        <v>2417</v>
      </c>
      <c r="Y1138" s="133" t="s">
        <v>2417</v>
      </c>
      <c r="Z1138" s="133" t="s">
        <v>2417</v>
      </c>
      <c r="AA1138" s="133" t="s">
        <v>2417</v>
      </c>
      <c r="AB1138" s="133" t="s">
        <v>2417</v>
      </c>
      <c r="AC1138" s="133" t="s">
        <v>2417</v>
      </c>
      <c r="AD1138" s="133" t="s">
        <v>2417</v>
      </c>
      <c r="AE1138" s="173"/>
    </row>
    <row r="1139" spans="1:31" ht="13.2" outlineLevel="2">
      <c r="A1139" s="437" t="s">
        <v>2340</v>
      </c>
      <c r="B1139" s="350"/>
      <c r="C1139" s="350"/>
      <c r="D1139" s="351"/>
      <c r="E1139" s="133" t="s">
        <v>2417</v>
      </c>
      <c r="F1139" s="133" t="s">
        <v>2417</v>
      </c>
      <c r="G1139" s="133" t="s">
        <v>2417</v>
      </c>
      <c r="H1139" s="133" t="s">
        <v>2417</v>
      </c>
      <c r="I1139" s="133" t="s">
        <v>2417</v>
      </c>
      <c r="J1139" s="133" t="s">
        <v>2417</v>
      </c>
      <c r="K1139" s="133" t="s">
        <v>2417</v>
      </c>
      <c r="L1139" s="133" t="s">
        <v>2417</v>
      </c>
      <c r="M1139" s="133" t="s">
        <v>2417</v>
      </c>
      <c r="N1139" s="133" t="s">
        <v>2417</v>
      </c>
      <c r="O1139" s="133" t="s">
        <v>2417</v>
      </c>
      <c r="P1139" s="133" t="s">
        <v>2417</v>
      </c>
      <c r="Q1139" s="133" t="s">
        <v>2417</v>
      </c>
      <c r="R1139" s="133" t="s">
        <v>2417</v>
      </c>
      <c r="S1139" s="133" t="s">
        <v>2417</v>
      </c>
      <c r="T1139" s="133" t="s">
        <v>2417</v>
      </c>
      <c r="U1139" s="133" t="s">
        <v>2417</v>
      </c>
      <c r="V1139" s="133" t="s">
        <v>2417</v>
      </c>
      <c r="W1139" s="133" t="s">
        <v>2417</v>
      </c>
      <c r="X1139" s="133" t="s">
        <v>2417</v>
      </c>
      <c r="Y1139" s="133" t="s">
        <v>2417</v>
      </c>
      <c r="Z1139" s="133" t="s">
        <v>2417</v>
      </c>
      <c r="AA1139" s="133" t="s">
        <v>2417</v>
      </c>
      <c r="AB1139" s="133" t="s">
        <v>2417</v>
      </c>
      <c r="AC1139" s="133" t="s">
        <v>2417</v>
      </c>
      <c r="AD1139" s="133" t="s">
        <v>2417</v>
      </c>
      <c r="AE1139" s="203"/>
    </row>
    <row r="1140" spans="1:31" ht="20.399999999999999" outlineLevel="3">
      <c r="A1140" s="68" t="s">
        <v>2341</v>
      </c>
      <c r="B1140" s="106" t="s">
        <v>2342</v>
      </c>
      <c r="C1140" s="360" t="s">
        <v>2343</v>
      </c>
      <c r="D1140" s="351"/>
      <c r="E1140" s="133" t="s">
        <v>2417</v>
      </c>
      <c r="F1140" s="133" t="s">
        <v>2417</v>
      </c>
      <c r="G1140" s="133" t="s">
        <v>2417</v>
      </c>
      <c r="H1140" s="133" t="s">
        <v>2417</v>
      </c>
      <c r="I1140" s="133" t="s">
        <v>2417</v>
      </c>
      <c r="J1140" s="133" t="s">
        <v>2417</v>
      </c>
      <c r="K1140" s="133" t="s">
        <v>2417</v>
      </c>
      <c r="L1140" s="133" t="s">
        <v>2417</v>
      </c>
      <c r="M1140" s="133" t="s">
        <v>2417</v>
      </c>
      <c r="N1140" s="133" t="s">
        <v>2417</v>
      </c>
      <c r="O1140" s="133" t="s">
        <v>2417</v>
      </c>
      <c r="P1140" s="133" t="s">
        <v>2417</v>
      </c>
      <c r="Q1140" s="133" t="s">
        <v>2417</v>
      </c>
      <c r="R1140" s="133" t="s">
        <v>2417</v>
      </c>
      <c r="S1140" s="133" t="s">
        <v>2417</v>
      </c>
      <c r="T1140" s="133" t="s">
        <v>2417</v>
      </c>
      <c r="U1140" s="133" t="s">
        <v>2417</v>
      </c>
      <c r="V1140" s="133" t="s">
        <v>2417</v>
      </c>
      <c r="W1140" s="133" t="s">
        <v>2417</v>
      </c>
      <c r="X1140" s="133" t="s">
        <v>2417</v>
      </c>
      <c r="Y1140" s="133" t="s">
        <v>2417</v>
      </c>
      <c r="Z1140" s="133" t="s">
        <v>2417</v>
      </c>
      <c r="AA1140" s="133" t="s">
        <v>2417</v>
      </c>
      <c r="AB1140" s="133" t="s">
        <v>2417</v>
      </c>
      <c r="AC1140" s="133" t="s">
        <v>2417</v>
      </c>
      <c r="AD1140" s="133" t="s">
        <v>2417</v>
      </c>
      <c r="AE1140" s="123"/>
    </row>
    <row r="1141" spans="1:31" ht="13.2" outlineLevel="1">
      <c r="A1141" s="384" t="s">
        <v>2344</v>
      </c>
      <c r="B1141" s="350"/>
      <c r="C1141" s="350"/>
      <c r="D1141" s="351"/>
      <c r="E1141" s="133" t="s">
        <v>2417</v>
      </c>
      <c r="F1141" s="133" t="s">
        <v>2417</v>
      </c>
      <c r="G1141" s="133" t="s">
        <v>2417</v>
      </c>
      <c r="H1141" s="133" t="s">
        <v>2417</v>
      </c>
      <c r="I1141" s="133" t="s">
        <v>2417</v>
      </c>
      <c r="J1141" s="133" t="s">
        <v>2417</v>
      </c>
      <c r="K1141" s="133" t="s">
        <v>2417</v>
      </c>
      <c r="L1141" s="133" t="s">
        <v>2417</v>
      </c>
      <c r="M1141" s="133" t="s">
        <v>2417</v>
      </c>
      <c r="N1141" s="133" t="s">
        <v>2417</v>
      </c>
      <c r="O1141" s="133" t="s">
        <v>2417</v>
      </c>
      <c r="P1141" s="133" t="s">
        <v>2417</v>
      </c>
      <c r="Q1141" s="133" t="s">
        <v>2417</v>
      </c>
      <c r="R1141" s="133" t="s">
        <v>2417</v>
      </c>
      <c r="S1141" s="133" t="s">
        <v>2417</v>
      </c>
      <c r="T1141" s="133" t="s">
        <v>2417</v>
      </c>
      <c r="U1141" s="133" t="s">
        <v>2417</v>
      </c>
      <c r="V1141" s="133" t="s">
        <v>2417</v>
      </c>
      <c r="W1141" s="133" t="s">
        <v>2417</v>
      </c>
      <c r="X1141" s="133" t="s">
        <v>2417</v>
      </c>
      <c r="Y1141" s="133" t="s">
        <v>2417</v>
      </c>
      <c r="Z1141" s="133" t="s">
        <v>2417</v>
      </c>
      <c r="AA1141" s="133" t="s">
        <v>2417</v>
      </c>
      <c r="AB1141" s="133" t="s">
        <v>2417</v>
      </c>
      <c r="AC1141" s="133" t="s">
        <v>2417</v>
      </c>
      <c r="AD1141" s="133" t="s">
        <v>2417</v>
      </c>
      <c r="AE1141" s="173"/>
    </row>
    <row r="1142" spans="1:31" ht="13.2" outlineLevel="2">
      <c r="A1142" s="437" t="s">
        <v>2345</v>
      </c>
      <c r="B1142" s="350"/>
      <c r="C1142" s="350"/>
      <c r="D1142" s="351"/>
      <c r="E1142" s="133" t="s">
        <v>2417</v>
      </c>
      <c r="F1142" s="133" t="s">
        <v>2417</v>
      </c>
      <c r="G1142" s="133" t="s">
        <v>2417</v>
      </c>
      <c r="H1142" s="133" t="s">
        <v>2417</v>
      </c>
      <c r="I1142" s="133" t="s">
        <v>2417</v>
      </c>
      <c r="J1142" s="133" t="s">
        <v>2417</v>
      </c>
      <c r="K1142" s="133" t="s">
        <v>2417</v>
      </c>
      <c r="L1142" s="133" t="s">
        <v>2417</v>
      </c>
      <c r="M1142" s="133" t="s">
        <v>2417</v>
      </c>
      <c r="N1142" s="133" t="s">
        <v>2417</v>
      </c>
      <c r="O1142" s="133" t="s">
        <v>2417</v>
      </c>
      <c r="P1142" s="133" t="s">
        <v>2417</v>
      </c>
      <c r="Q1142" s="133" t="s">
        <v>2417</v>
      </c>
      <c r="R1142" s="133" t="s">
        <v>2417</v>
      </c>
      <c r="S1142" s="133" t="s">
        <v>2417</v>
      </c>
      <c r="T1142" s="133" t="s">
        <v>2417</v>
      </c>
      <c r="U1142" s="133" t="s">
        <v>2417</v>
      </c>
      <c r="V1142" s="133" t="s">
        <v>2417</v>
      </c>
      <c r="W1142" s="133" t="s">
        <v>2417</v>
      </c>
      <c r="X1142" s="133" t="s">
        <v>2417</v>
      </c>
      <c r="Y1142" s="133" t="s">
        <v>2417</v>
      </c>
      <c r="Z1142" s="133" t="s">
        <v>2417</v>
      </c>
      <c r="AA1142" s="133" t="s">
        <v>2417</v>
      </c>
      <c r="AB1142" s="133" t="s">
        <v>2417</v>
      </c>
      <c r="AC1142" s="133" t="s">
        <v>2417</v>
      </c>
      <c r="AD1142" s="133" t="s">
        <v>2417</v>
      </c>
      <c r="AE1142" s="203"/>
    </row>
    <row r="1143" spans="1:31" ht="20.399999999999999" outlineLevel="3">
      <c r="A1143" s="68" t="s">
        <v>2346</v>
      </c>
      <c r="B1143" s="106" t="s">
        <v>2347</v>
      </c>
      <c r="C1143" s="360" t="s">
        <v>2348</v>
      </c>
      <c r="D1143" s="351"/>
      <c r="E1143" s="133" t="s">
        <v>2417</v>
      </c>
      <c r="F1143" s="133" t="s">
        <v>2417</v>
      </c>
      <c r="G1143" s="133" t="s">
        <v>2417</v>
      </c>
      <c r="H1143" s="133" t="s">
        <v>2417</v>
      </c>
      <c r="I1143" s="133" t="s">
        <v>2417</v>
      </c>
      <c r="J1143" s="133" t="s">
        <v>2417</v>
      </c>
      <c r="K1143" s="133" t="s">
        <v>2417</v>
      </c>
      <c r="L1143" s="133" t="s">
        <v>2417</v>
      </c>
      <c r="M1143" s="133" t="s">
        <v>2417</v>
      </c>
      <c r="N1143" s="133" t="s">
        <v>2417</v>
      </c>
      <c r="O1143" s="133" t="s">
        <v>2417</v>
      </c>
      <c r="P1143" s="133" t="s">
        <v>2417</v>
      </c>
      <c r="Q1143" s="133" t="s">
        <v>2417</v>
      </c>
      <c r="R1143" s="133" t="s">
        <v>2417</v>
      </c>
      <c r="S1143" s="133" t="s">
        <v>2417</v>
      </c>
      <c r="T1143" s="133" t="s">
        <v>2417</v>
      </c>
      <c r="U1143" s="133" t="s">
        <v>2417</v>
      </c>
      <c r="V1143" s="133" t="s">
        <v>2417</v>
      </c>
      <c r="W1143" s="133" t="s">
        <v>2417</v>
      </c>
      <c r="X1143" s="133" t="s">
        <v>2417</v>
      </c>
      <c r="Y1143" s="133" t="s">
        <v>2417</v>
      </c>
      <c r="Z1143" s="133" t="s">
        <v>2417</v>
      </c>
      <c r="AA1143" s="133" t="s">
        <v>2417</v>
      </c>
      <c r="AB1143" s="133" t="s">
        <v>2417</v>
      </c>
      <c r="AC1143" s="133" t="s">
        <v>2417</v>
      </c>
      <c r="AD1143" s="133" t="s">
        <v>2417</v>
      </c>
      <c r="AE1143" s="123"/>
    </row>
    <row r="1144" spans="1:31" ht="13.2">
      <c r="A1144" s="433" t="s">
        <v>2349</v>
      </c>
      <c r="B1144" s="350"/>
      <c r="C1144" s="350"/>
      <c r="D1144" s="351"/>
      <c r="E1144" s="133" t="s">
        <v>2417</v>
      </c>
      <c r="F1144" s="133" t="s">
        <v>2417</v>
      </c>
      <c r="G1144" s="133" t="s">
        <v>2417</v>
      </c>
      <c r="H1144" s="133" t="s">
        <v>2417</v>
      </c>
      <c r="I1144" s="134" t="s">
        <v>2418</v>
      </c>
      <c r="J1144" s="133" t="s">
        <v>2417</v>
      </c>
      <c r="K1144" s="133" t="s">
        <v>2417</v>
      </c>
      <c r="L1144" s="133" t="s">
        <v>2417</v>
      </c>
      <c r="M1144" s="133" t="s">
        <v>2417</v>
      </c>
      <c r="N1144" s="133" t="s">
        <v>2417</v>
      </c>
      <c r="O1144" s="133" t="s">
        <v>2417</v>
      </c>
      <c r="P1144" s="133" t="s">
        <v>2417</v>
      </c>
      <c r="Q1144" s="133" t="s">
        <v>2417</v>
      </c>
      <c r="R1144" s="133" t="s">
        <v>2417</v>
      </c>
      <c r="S1144" s="133" t="s">
        <v>2417</v>
      </c>
      <c r="T1144" s="133" t="s">
        <v>2417</v>
      </c>
      <c r="U1144" s="133" t="s">
        <v>2417</v>
      </c>
      <c r="V1144" s="133" t="s">
        <v>2417</v>
      </c>
      <c r="W1144" s="133" t="s">
        <v>2417</v>
      </c>
      <c r="X1144" s="133" t="s">
        <v>2417</v>
      </c>
      <c r="Y1144" s="133" t="s">
        <v>2417</v>
      </c>
      <c r="Z1144" s="133" t="s">
        <v>2417</v>
      </c>
      <c r="AA1144" s="133" t="s">
        <v>2417</v>
      </c>
      <c r="AB1144" s="133" t="s">
        <v>2417</v>
      </c>
      <c r="AC1144" s="133" t="s">
        <v>2417</v>
      </c>
      <c r="AD1144" s="133" t="s">
        <v>2417</v>
      </c>
      <c r="AE1144" s="172"/>
    </row>
    <row r="1145" spans="1:31" ht="13.2" outlineLevel="1">
      <c r="A1145" s="438" t="s">
        <v>2350</v>
      </c>
      <c r="B1145" s="350"/>
      <c r="C1145" s="350"/>
      <c r="D1145" s="351"/>
      <c r="E1145" s="133" t="s">
        <v>2417</v>
      </c>
      <c r="F1145" s="133" t="s">
        <v>2417</v>
      </c>
      <c r="G1145" s="133" t="s">
        <v>2417</v>
      </c>
      <c r="H1145" s="133" t="s">
        <v>2417</v>
      </c>
      <c r="I1145" s="134" t="s">
        <v>2418</v>
      </c>
      <c r="J1145" s="133" t="s">
        <v>2417</v>
      </c>
      <c r="K1145" s="133" t="s">
        <v>2417</v>
      </c>
      <c r="L1145" s="133" t="s">
        <v>2417</v>
      </c>
      <c r="M1145" s="133" t="s">
        <v>2417</v>
      </c>
      <c r="N1145" s="133" t="s">
        <v>2417</v>
      </c>
      <c r="O1145" s="133" t="s">
        <v>2417</v>
      </c>
      <c r="P1145" s="133" t="s">
        <v>2417</v>
      </c>
      <c r="Q1145" s="133" t="s">
        <v>2417</v>
      </c>
      <c r="R1145" s="133" t="s">
        <v>2417</v>
      </c>
      <c r="S1145" s="133" t="s">
        <v>2417</v>
      </c>
      <c r="T1145" s="133" t="s">
        <v>2417</v>
      </c>
      <c r="U1145" s="133" t="s">
        <v>2417</v>
      </c>
      <c r="V1145" s="133" t="s">
        <v>2417</v>
      </c>
      <c r="W1145" s="133" t="s">
        <v>2417</v>
      </c>
      <c r="X1145" s="133" t="s">
        <v>2417</v>
      </c>
      <c r="Y1145" s="133" t="s">
        <v>2417</v>
      </c>
      <c r="Z1145" s="133" t="s">
        <v>2417</v>
      </c>
      <c r="AA1145" s="133" t="s">
        <v>2417</v>
      </c>
      <c r="AB1145" s="133" t="s">
        <v>2417</v>
      </c>
      <c r="AC1145" s="133" t="s">
        <v>2417</v>
      </c>
      <c r="AD1145" s="133" t="s">
        <v>2417</v>
      </c>
      <c r="AE1145" s="173"/>
    </row>
    <row r="1146" spans="1:31" ht="13.2" outlineLevel="1">
      <c r="A1146" s="438" t="s">
        <v>2351</v>
      </c>
      <c r="B1146" s="350"/>
      <c r="C1146" s="350"/>
      <c r="D1146" s="351"/>
      <c r="E1146" s="133" t="s">
        <v>2417</v>
      </c>
      <c r="F1146" s="133" t="s">
        <v>2417</v>
      </c>
      <c r="G1146" s="133" t="s">
        <v>2417</v>
      </c>
      <c r="H1146" s="133" t="s">
        <v>2417</v>
      </c>
      <c r="I1146" s="134" t="s">
        <v>2418</v>
      </c>
      <c r="J1146" s="133" t="s">
        <v>2417</v>
      </c>
      <c r="K1146" s="133" t="s">
        <v>2417</v>
      </c>
      <c r="L1146" s="133" t="s">
        <v>2417</v>
      </c>
      <c r="M1146" s="133" t="s">
        <v>2417</v>
      </c>
      <c r="N1146" s="133" t="s">
        <v>2417</v>
      </c>
      <c r="O1146" s="133" t="s">
        <v>2417</v>
      </c>
      <c r="P1146" s="133" t="s">
        <v>2417</v>
      </c>
      <c r="Q1146" s="133" t="s">
        <v>2417</v>
      </c>
      <c r="R1146" s="133" t="s">
        <v>2417</v>
      </c>
      <c r="S1146" s="133" t="s">
        <v>2417</v>
      </c>
      <c r="T1146" s="133" t="s">
        <v>2417</v>
      </c>
      <c r="U1146" s="133" t="s">
        <v>2417</v>
      </c>
      <c r="V1146" s="133" t="s">
        <v>2417</v>
      </c>
      <c r="W1146" s="133" t="s">
        <v>2417</v>
      </c>
      <c r="X1146" s="133" t="s">
        <v>2417</v>
      </c>
      <c r="Y1146" s="133" t="s">
        <v>2417</v>
      </c>
      <c r="Z1146" s="133" t="s">
        <v>2417</v>
      </c>
      <c r="AA1146" s="133" t="s">
        <v>2417</v>
      </c>
      <c r="AB1146" s="133" t="s">
        <v>2417</v>
      </c>
      <c r="AC1146" s="133" t="s">
        <v>2417</v>
      </c>
      <c r="AD1146" s="133" t="s">
        <v>2417</v>
      </c>
      <c r="AE1146" s="173"/>
    </row>
    <row r="1147" spans="1:31" ht="13.2" outlineLevel="1">
      <c r="A1147" s="68" t="s">
        <v>2352</v>
      </c>
      <c r="B1147" s="65"/>
      <c r="C1147" s="360" t="s">
        <v>2353</v>
      </c>
      <c r="D1147" s="351"/>
      <c r="E1147" s="133" t="s">
        <v>2417</v>
      </c>
      <c r="F1147" s="133" t="s">
        <v>2417</v>
      </c>
      <c r="G1147" s="133" t="s">
        <v>2417</v>
      </c>
      <c r="H1147" s="133" t="s">
        <v>2417</v>
      </c>
      <c r="I1147" s="134" t="s">
        <v>2418</v>
      </c>
      <c r="J1147" s="133" t="s">
        <v>2417</v>
      </c>
      <c r="K1147" s="133" t="s">
        <v>2417</v>
      </c>
      <c r="L1147" s="133" t="s">
        <v>2417</v>
      </c>
      <c r="M1147" s="133" t="s">
        <v>2417</v>
      </c>
      <c r="N1147" s="133" t="s">
        <v>2417</v>
      </c>
      <c r="O1147" s="133" t="s">
        <v>2417</v>
      </c>
      <c r="P1147" s="133" t="s">
        <v>2417</v>
      </c>
      <c r="Q1147" s="133" t="s">
        <v>2417</v>
      </c>
      <c r="R1147" s="133" t="s">
        <v>2417</v>
      </c>
      <c r="S1147" s="133" t="s">
        <v>2417</v>
      </c>
      <c r="T1147" s="133" t="s">
        <v>2417</v>
      </c>
      <c r="U1147" s="133" t="s">
        <v>2417</v>
      </c>
      <c r="V1147" s="133" t="s">
        <v>2417</v>
      </c>
      <c r="W1147" s="133" t="s">
        <v>2417</v>
      </c>
      <c r="X1147" s="133" t="s">
        <v>2417</v>
      </c>
      <c r="Y1147" s="133" t="s">
        <v>2417</v>
      </c>
      <c r="Z1147" s="133" t="s">
        <v>2417</v>
      </c>
      <c r="AA1147" s="133" t="s">
        <v>2417</v>
      </c>
      <c r="AB1147" s="133" t="s">
        <v>2417</v>
      </c>
      <c r="AC1147" s="133" t="s">
        <v>2417</v>
      </c>
      <c r="AD1147" s="133" t="s">
        <v>2417</v>
      </c>
      <c r="AE1147" s="123"/>
    </row>
    <row r="1148" spans="1:31" ht="13.2" outlineLevel="1">
      <c r="A1148" s="68" t="s">
        <v>2354</v>
      </c>
      <c r="B1148" s="64" t="s">
        <v>2355</v>
      </c>
      <c r="C1148" s="387" t="s">
        <v>2356</v>
      </c>
      <c r="D1148" s="351"/>
      <c r="E1148" s="133" t="s">
        <v>2823</v>
      </c>
      <c r="F1148" s="133" t="s">
        <v>2417</v>
      </c>
      <c r="G1148" s="133" t="s">
        <v>2417</v>
      </c>
      <c r="H1148" s="133" t="s">
        <v>2417</v>
      </c>
      <c r="I1148" s="134" t="s">
        <v>2418</v>
      </c>
      <c r="J1148" s="133" t="s">
        <v>2417</v>
      </c>
      <c r="K1148" s="133" t="s">
        <v>2417</v>
      </c>
      <c r="L1148" s="133" t="s">
        <v>2417</v>
      </c>
      <c r="M1148" s="133" t="s">
        <v>2417</v>
      </c>
      <c r="N1148" s="133" t="s">
        <v>2417</v>
      </c>
      <c r="O1148" s="133" t="s">
        <v>2417</v>
      </c>
      <c r="P1148" s="133" t="s">
        <v>2417</v>
      </c>
      <c r="Q1148" s="133" t="s">
        <v>2417</v>
      </c>
      <c r="R1148" s="133" t="s">
        <v>2417</v>
      </c>
      <c r="S1148" s="133" t="s">
        <v>2417</v>
      </c>
      <c r="T1148" s="133" t="s">
        <v>2417</v>
      </c>
      <c r="U1148" s="133" t="s">
        <v>2417</v>
      </c>
      <c r="V1148" s="133" t="s">
        <v>2417</v>
      </c>
      <c r="W1148" s="133" t="s">
        <v>2417</v>
      </c>
      <c r="X1148" s="133" t="s">
        <v>2417</v>
      </c>
      <c r="Y1148" s="133" t="s">
        <v>2417</v>
      </c>
      <c r="Z1148" s="133" t="s">
        <v>2417</v>
      </c>
      <c r="AA1148" s="133" t="s">
        <v>2417</v>
      </c>
      <c r="AB1148" s="133" t="s">
        <v>2417</v>
      </c>
      <c r="AC1148" s="133" t="s">
        <v>2417</v>
      </c>
      <c r="AD1148" s="133" t="s">
        <v>2417</v>
      </c>
      <c r="AE1148" s="59"/>
    </row>
    <row r="1149" spans="1:31" ht="13.2" outlineLevel="1">
      <c r="A1149" s="68" t="s">
        <v>2357</v>
      </c>
      <c r="B1149" s="64" t="s">
        <v>2358</v>
      </c>
      <c r="C1149" s="387" t="s">
        <v>2359</v>
      </c>
      <c r="D1149" s="351"/>
      <c r="E1149" s="133" t="s">
        <v>2957</v>
      </c>
      <c r="F1149" s="133" t="s">
        <v>2417</v>
      </c>
      <c r="G1149" s="133" t="s">
        <v>2417</v>
      </c>
      <c r="H1149" s="133" t="s">
        <v>2417</v>
      </c>
      <c r="I1149" s="134" t="s">
        <v>2418</v>
      </c>
      <c r="J1149" s="133" t="s">
        <v>2417</v>
      </c>
      <c r="K1149" s="133" t="s">
        <v>2417</v>
      </c>
      <c r="L1149" s="133" t="s">
        <v>2417</v>
      </c>
      <c r="M1149" s="133" t="s">
        <v>2417</v>
      </c>
      <c r="N1149" s="133" t="s">
        <v>2417</v>
      </c>
      <c r="O1149" s="133" t="s">
        <v>2417</v>
      </c>
      <c r="P1149" s="133" t="s">
        <v>2417</v>
      </c>
      <c r="Q1149" s="133" t="s">
        <v>2417</v>
      </c>
      <c r="R1149" s="133" t="s">
        <v>2417</v>
      </c>
      <c r="S1149" s="133" t="s">
        <v>2417</v>
      </c>
      <c r="T1149" s="133" t="s">
        <v>2417</v>
      </c>
      <c r="U1149" s="133" t="s">
        <v>2417</v>
      </c>
      <c r="V1149" s="133" t="s">
        <v>2417</v>
      </c>
      <c r="W1149" s="133" t="s">
        <v>2417</v>
      </c>
      <c r="X1149" s="133" t="s">
        <v>2417</v>
      </c>
      <c r="Y1149" s="133" t="s">
        <v>2417</v>
      </c>
      <c r="Z1149" s="133" t="s">
        <v>2417</v>
      </c>
      <c r="AA1149" s="133" t="s">
        <v>2417</v>
      </c>
      <c r="AB1149" s="133" t="s">
        <v>2417</v>
      </c>
      <c r="AC1149" s="133" t="s">
        <v>2417</v>
      </c>
      <c r="AD1149" s="133" t="s">
        <v>2417</v>
      </c>
      <c r="AE1149" s="59"/>
    </row>
    <row r="1150" spans="1:31" ht="13.2">
      <c r="A1150" s="433" t="s">
        <v>2360</v>
      </c>
      <c r="B1150" s="350"/>
      <c r="C1150" s="350"/>
      <c r="D1150" s="351"/>
      <c r="E1150" s="133" t="s">
        <v>2417</v>
      </c>
      <c r="F1150" s="133" t="s">
        <v>2417</v>
      </c>
      <c r="G1150" s="133" t="s">
        <v>2417</v>
      </c>
      <c r="H1150" s="133" t="s">
        <v>2417</v>
      </c>
      <c r="I1150" s="134" t="s">
        <v>2418</v>
      </c>
      <c r="J1150" s="133" t="s">
        <v>2417</v>
      </c>
      <c r="K1150" s="133" t="s">
        <v>2417</v>
      </c>
      <c r="L1150" s="133" t="s">
        <v>2417</v>
      </c>
      <c r="M1150" s="133" t="s">
        <v>2417</v>
      </c>
      <c r="N1150" s="133" t="s">
        <v>2417</v>
      </c>
      <c r="O1150" s="133" t="s">
        <v>2417</v>
      </c>
      <c r="P1150" s="133" t="s">
        <v>2417</v>
      </c>
      <c r="Q1150" s="133" t="s">
        <v>2417</v>
      </c>
      <c r="R1150" s="133" t="s">
        <v>2417</v>
      </c>
      <c r="S1150" s="133" t="s">
        <v>2417</v>
      </c>
      <c r="T1150" s="133" t="s">
        <v>2417</v>
      </c>
      <c r="U1150" s="133" t="s">
        <v>2417</v>
      </c>
      <c r="V1150" s="133" t="s">
        <v>2417</v>
      </c>
      <c r="W1150" s="133" t="s">
        <v>2417</v>
      </c>
      <c r="X1150" s="133" t="s">
        <v>2417</v>
      </c>
      <c r="Y1150" s="133" t="s">
        <v>2417</v>
      </c>
      <c r="Z1150" s="133" t="s">
        <v>2417</v>
      </c>
      <c r="AA1150" s="133" t="s">
        <v>2417</v>
      </c>
      <c r="AB1150" s="133" t="s">
        <v>2417</v>
      </c>
      <c r="AC1150" s="133" t="s">
        <v>2417</v>
      </c>
      <c r="AD1150" s="133" t="s">
        <v>2417</v>
      </c>
      <c r="AE1150" s="172"/>
    </row>
    <row r="1151" spans="1:31" ht="13.2" outlineLevel="1">
      <c r="A1151" s="438" t="s">
        <v>2958</v>
      </c>
      <c r="B1151" s="350"/>
      <c r="C1151" s="350"/>
      <c r="D1151" s="351"/>
      <c r="E1151" s="133" t="s">
        <v>2417</v>
      </c>
      <c r="F1151" s="133" t="s">
        <v>2417</v>
      </c>
      <c r="G1151" s="133" t="s">
        <v>2417</v>
      </c>
      <c r="H1151" s="133" t="s">
        <v>2417</v>
      </c>
      <c r="I1151" s="134" t="s">
        <v>2418</v>
      </c>
      <c r="J1151" s="133" t="s">
        <v>2417</v>
      </c>
      <c r="K1151" s="133" t="s">
        <v>2417</v>
      </c>
      <c r="L1151" s="133" t="s">
        <v>2417</v>
      </c>
      <c r="M1151" s="133" t="s">
        <v>2417</v>
      </c>
      <c r="N1151" s="133" t="s">
        <v>2417</v>
      </c>
      <c r="O1151" s="133" t="s">
        <v>2417</v>
      </c>
      <c r="P1151" s="133" t="s">
        <v>2417</v>
      </c>
      <c r="Q1151" s="133" t="s">
        <v>2417</v>
      </c>
      <c r="R1151" s="133" t="s">
        <v>2417</v>
      </c>
      <c r="S1151" s="133" t="s">
        <v>2417</v>
      </c>
      <c r="T1151" s="133" t="s">
        <v>2417</v>
      </c>
      <c r="U1151" s="133" t="s">
        <v>2417</v>
      </c>
      <c r="V1151" s="133" t="s">
        <v>2417</v>
      </c>
      <c r="W1151" s="133" t="s">
        <v>2417</v>
      </c>
      <c r="X1151" s="133" t="s">
        <v>2417</v>
      </c>
      <c r="Y1151" s="133" t="s">
        <v>2417</v>
      </c>
      <c r="Z1151" s="133" t="s">
        <v>2417</v>
      </c>
      <c r="AA1151" s="133" t="s">
        <v>2417</v>
      </c>
      <c r="AB1151" s="133" t="s">
        <v>2417</v>
      </c>
      <c r="AC1151" s="133" t="s">
        <v>2417</v>
      </c>
      <c r="AD1151" s="133" t="s">
        <v>2417</v>
      </c>
      <c r="AE1151" s="173"/>
    </row>
    <row r="1152" spans="1:31" ht="30.6" outlineLevel="2">
      <c r="A1152" s="68" t="s">
        <v>452</v>
      </c>
      <c r="B1152" s="64" t="s">
        <v>2959</v>
      </c>
      <c r="C1152" s="360" t="s">
        <v>2960</v>
      </c>
      <c r="D1152" s="351"/>
      <c r="E1152" s="133" t="s">
        <v>2417</v>
      </c>
      <c r="F1152" s="133" t="s">
        <v>2417</v>
      </c>
      <c r="G1152" s="133" t="s">
        <v>2417</v>
      </c>
      <c r="H1152" s="133" t="s">
        <v>2417</v>
      </c>
      <c r="I1152" s="134" t="s">
        <v>2418</v>
      </c>
      <c r="J1152" s="133" t="s">
        <v>2417</v>
      </c>
      <c r="K1152" s="133" t="s">
        <v>2417</v>
      </c>
      <c r="L1152" s="133" t="s">
        <v>2397</v>
      </c>
      <c r="M1152" s="133" t="s">
        <v>2417</v>
      </c>
      <c r="N1152" s="133" t="s">
        <v>2417</v>
      </c>
      <c r="O1152" s="133" t="s">
        <v>2417</v>
      </c>
      <c r="P1152" s="133" t="s">
        <v>2417</v>
      </c>
      <c r="Q1152" s="133" t="s">
        <v>2417</v>
      </c>
      <c r="R1152" s="133" t="s">
        <v>2417</v>
      </c>
      <c r="S1152" s="133" t="s">
        <v>2417</v>
      </c>
      <c r="T1152" s="133" t="s">
        <v>2417</v>
      </c>
      <c r="U1152" s="133" t="s">
        <v>2417</v>
      </c>
      <c r="V1152" s="133" t="s">
        <v>2417</v>
      </c>
      <c r="W1152" s="133" t="s">
        <v>2417</v>
      </c>
      <c r="X1152" s="133" t="s">
        <v>2417</v>
      </c>
      <c r="Y1152" s="133" t="s">
        <v>2417</v>
      </c>
      <c r="Z1152" s="133" t="s">
        <v>2417</v>
      </c>
      <c r="AA1152" s="133" t="s">
        <v>2417</v>
      </c>
      <c r="AB1152" s="133" t="s">
        <v>2417</v>
      </c>
      <c r="AC1152" s="133" t="s">
        <v>2417</v>
      </c>
      <c r="AD1152" s="133" t="s">
        <v>2417</v>
      </c>
      <c r="AE1152" s="123"/>
    </row>
    <row r="1153" spans="1:31" ht="13.2" outlineLevel="2">
      <c r="A1153" s="68" t="s">
        <v>2961</v>
      </c>
      <c r="B1153" s="64" t="s">
        <v>2962</v>
      </c>
      <c r="C1153" s="455" t="s">
        <v>2963</v>
      </c>
      <c r="D1153" s="351"/>
      <c r="E1153" s="133" t="s">
        <v>2417</v>
      </c>
      <c r="F1153" s="133" t="s">
        <v>2417</v>
      </c>
      <c r="G1153" s="133" t="s">
        <v>2417</v>
      </c>
      <c r="H1153" s="133" t="s">
        <v>2417</v>
      </c>
      <c r="I1153" s="134" t="s">
        <v>2418</v>
      </c>
      <c r="J1153" s="133" t="s">
        <v>2417</v>
      </c>
      <c r="K1153" s="133" t="s">
        <v>2417</v>
      </c>
      <c r="L1153" s="133" t="s">
        <v>2397</v>
      </c>
      <c r="M1153" s="133" t="s">
        <v>2417</v>
      </c>
      <c r="N1153" s="133" t="s">
        <v>2417</v>
      </c>
      <c r="O1153" s="133" t="s">
        <v>2417</v>
      </c>
      <c r="P1153" s="133" t="s">
        <v>2417</v>
      </c>
      <c r="Q1153" s="133" t="s">
        <v>2417</v>
      </c>
      <c r="R1153" s="133" t="s">
        <v>2417</v>
      </c>
      <c r="S1153" s="133" t="s">
        <v>2417</v>
      </c>
      <c r="T1153" s="133" t="s">
        <v>2417</v>
      </c>
      <c r="U1153" s="133" t="s">
        <v>2417</v>
      </c>
      <c r="V1153" s="133" t="s">
        <v>2417</v>
      </c>
      <c r="W1153" s="133" t="s">
        <v>2417</v>
      </c>
      <c r="X1153" s="133" t="s">
        <v>2417</v>
      </c>
      <c r="Y1153" s="133" t="s">
        <v>2417</v>
      </c>
      <c r="Z1153" s="133" t="s">
        <v>2417</v>
      </c>
      <c r="AA1153" s="133" t="s">
        <v>2417</v>
      </c>
      <c r="AB1153" s="133" t="s">
        <v>2417</v>
      </c>
      <c r="AC1153" s="133" t="s">
        <v>2417</v>
      </c>
      <c r="AD1153" s="133" t="s">
        <v>2417</v>
      </c>
      <c r="AE1153" s="204"/>
    </row>
    <row r="1154" spans="1:31" ht="30.6" outlineLevel="2">
      <c r="A1154" s="68" t="s">
        <v>2964</v>
      </c>
      <c r="B1154" s="65" t="s">
        <v>2965</v>
      </c>
      <c r="C1154" s="360" t="s">
        <v>2966</v>
      </c>
      <c r="D1154" s="351"/>
      <c r="E1154" s="133" t="s">
        <v>2417</v>
      </c>
      <c r="F1154" s="133" t="s">
        <v>2417</v>
      </c>
      <c r="G1154" s="133" t="s">
        <v>2417</v>
      </c>
      <c r="H1154" s="133" t="s">
        <v>2417</v>
      </c>
      <c r="I1154" s="134" t="s">
        <v>2418</v>
      </c>
      <c r="J1154" s="133" t="s">
        <v>2417</v>
      </c>
      <c r="K1154" s="133" t="s">
        <v>2417</v>
      </c>
      <c r="L1154" s="133" t="s">
        <v>2397</v>
      </c>
      <c r="M1154" s="133" t="s">
        <v>2417</v>
      </c>
      <c r="N1154" s="133" t="s">
        <v>2417</v>
      </c>
      <c r="O1154" s="133" t="s">
        <v>2417</v>
      </c>
      <c r="P1154" s="133" t="s">
        <v>2417</v>
      </c>
      <c r="Q1154" s="133" t="s">
        <v>2417</v>
      </c>
      <c r="R1154" s="133" t="s">
        <v>2417</v>
      </c>
      <c r="S1154" s="133" t="s">
        <v>2417</v>
      </c>
      <c r="T1154" s="133" t="s">
        <v>2417</v>
      </c>
      <c r="U1154" s="133" t="s">
        <v>2417</v>
      </c>
      <c r="V1154" s="133" t="s">
        <v>2417</v>
      </c>
      <c r="W1154" s="133" t="s">
        <v>2417</v>
      </c>
      <c r="X1154" s="133" t="s">
        <v>2417</v>
      </c>
      <c r="Y1154" s="133" t="s">
        <v>2417</v>
      </c>
      <c r="Z1154" s="133" t="s">
        <v>2417</v>
      </c>
      <c r="AA1154" s="133" t="s">
        <v>2417</v>
      </c>
      <c r="AB1154" s="133" t="s">
        <v>2417</v>
      </c>
      <c r="AC1154" s="133" t="s">
        <v>2417</v>
      </c>
      <c r="AD1154" s="133" t="s">
        <v>2417</v>
      </c>
      <c r="AE1154" s="123"/>
    </row>
    <row r="1155" spans="1:31" ht="13.2" outlineLevel="2">
      <c r="A1155" s="68" t="s">
        <v>2967</v>
      </c>
      <c r="B1155" s="64" t="s">
        <v>2968</v>
      </c>
      <c r="C1155" s="455" t="s">
        <v>2969</v>
      </c>
      <c r="D1155" s="351"/>
      <c r="E1155" s="133" t="s">
        <v>2417</v>
      </c>
      <c r="F1155" s="133" t="s">
        <v>2417</v>
      </c>
      <c r="G1155" s="133" t="s">
        <v>2417</v>
      </c>
      <c r="H1155" s="133" t="s">
        <v>2417</v>
      </c>
      <c r="I1155" s="134" t="s">
        <v>2418</v>
      </c>
      <c r="J1155" s="133" t="s">
        <v>2417</v>
      </c>
      <c r="K1155" s="133" t="s">
        <v>2417</v>
      </c>
      <c r="L1155" s="133" t="s">
        <v>2397</v>
      </c>
      <c r="M1155" s="133" t="s">
        <v>2417</v>
      </c>
      <c r="N1155" s="133" t="s">
        <v>2417</v>
      </c>
      <c r="O1155" s="133" t="s">
        <v>2417</v>
      </c>
      <c r="P1155" s="133" t="s">
        <v>2417</v>
      </c>
      <c r="Q1155" s="133" t="s">
        <v>2417</v>
      </c>
      <c r="R1155" s="133" t="s">
        <v>2417</v>
      </c>
      <c r="S1155" s="133" t="s">
        <v>2417</v>
      </c>
      <c r="T1155" s="133" t="s">
        <v>2417</v>
      </c>
      <c r="U1155" s="133" t="s">
        <v>2417</v>
      </c>
      <c r="V1155" s="133" t="s">
        <v>2417</v>
      </c>
      <c r="W1155" s="133" t="s">
        <v>2417</v>
      </c>
      <c r="X1155" s="133" t="s">
        <v>2417</v>
      </c>
      <c r="Y1155" s="133" t="s">
        <v>2417</v>
      </c>
      <c r="Z1155" s="133" t="s">
        <v>2417</v>
      </c>
      <c r="AA1155" s="133" t="s">
        <v>2417</v>
      </c>
      <c r="AB1155" s="133" t="s">
        <v>2417</v>
      </c>
      <c r="AC1155" s="133" t="s">
        <v>2417</v>
      </c>
      <c r="AD1155" s="133" t="s">
        <v>2417</v>
      </c>
      <c r="AE1155" s="204"/>
    </row>
    <row r="1156" spans="1:31" ht="20.399999999999999" outlineLevel="2">
      <c r="A1156" s="68" t="s">
        <v>2970</v>
      </c>
      <c r="B1156" s="64" t="s">
        <v>2971</v>
      </c>
      <c r="C1156" s="360" t="s">
        <v>2972</v>
      </c>
      <c r="D1156" s="351"/>
      <c r="E1156" s="133" t="s">
        <v>2417</v>
      </c>
      <c r="F1156" s="133" t="s">
        <v>2417</v>
      </c>
      <c r="G1156" s="133" t="s">
        <v>2417</v>
      </c>
      <c r="H1156" s="133" t="s">
        <v>2417</v>
      </c>
      <c r="I1156" s="134" t="s">
        <v>2418</v>
      </c>
      <c r="J1156" s="133" t="s">
        <v>2417</v>
      </c>
      <c r="K1156" s="133" t="s">
        <v>2417</v>
      </c>
      <c r="L1156" s="133" t="s">
        <v>2397</v>
      </c>
      <c r="M1156" s="133" t="s">
        <v>2417</v>
      </c>
      <c r="N1156" s="133" t="s">
        <v>2417</v>
      </c>
      <c r="O1156" s="133" t="s">
        <v>2417</v>
      </c>
      <c r="P1156" s="133" t="s">
        <v>2417</v>
      </c>
      <c r="Q1156" s="133" t="s">
        <v>2417</v>
      </c>
      <c r="R1156" s="133" t="s">
        <v>2417</v>
      </c>
      <c r="S1156" s="133" t="s">
        <v>2417</v>
      </c>
      <c r="T1156" s="133" t="s">
        <v>2417</v>
      </c>
      <c r="U1156" s="133" t="s">
        <v>2417</v>
      </c>
      <c r="V1156" s="133" t="s">
        <v>2417</v>
      </c>
      <c r="W1156" s="133" t="s">
        <v>2417</v>
      </c>
      <c r="X1156" s="133" t="s">
        <v>2417</v>
      </c>
      <c r="Y1156" s="133" t="s">
        <v>2417</v>
      </c>
      <c r="Z1156" s="133" t="s">
        <v>2417</v>
      </c>
      <c r="AA1156" s="133" t="s">
        <v>2417</v>
      </c>
      <c r="AB1156" s="133" t="s">
        <v>2417</v>
      </c>
      <c r="AC1156" s="133" t="s">
        <v>2417</v>
      </c>
      <c r="AD1156" s="133" t="s">
        <v>2417</v>
      </c>
      <c r="AE1156" s="123"/>
    </row>
    <row r="1157" spans="1:31" ht="20.399999999999999" outlineLevel="2">
      <c r="A1157" s="68" t="s">
        <v>2973</v>
      </c>
      <c r="B1157" s="64" t="s">
        <v>2974</v>
      </c>
      <c r="C1157" s="455" t="s">
        <v>2975</v>
      </c>
      <c r="D1157" s="351"/>
      <c r="E1157" s="133" t="s">
        <v>2417</v>
      </c>
      <c r="F1157" s="133" t="s">
        <v>2417</v>
      </c>
      <c r="G1157" s="133" t="s">
        <v>2417</v>
      </c>
      <c r="H1157" s="133" t="s">
        <v>2417</v>
      </c>
      <c r="I1157" s="134" t="s">
        <v>2418</v>
      </c>
      <c r="J1157" s="133" t="s">
        <v>2417</v>
      </c>
      <c r="K1157" s="133" t="s">
        <v>2417</v>
      </c>
      <c r="L1157" s="133" t="s">
        <v>2397</v>
      </c>
      <c r="M1157" s="133" t="s">
        <v>2417</v>
      </c>
      <c r="N1157" s="133" t="s">
        <v>2417</v>
      </c>
      <c r="O1157" s="133" t="s">
        <v>2417</v>
      </c>
      <c r="P1157" s="133" t="s">
        <v>2417</v>
      </c>
      <c r="Q1157" s="133" t="s">
        <v>2417</v>
      </c>
      <c r="R1157" s="133" t="s">
        <v>2417</v>
      </c>
      <c r="S1157" s="133" t="s">
        <v>2417</v>
      </c>
      <c r="T1157" s="133" t="s">
        <v>2417</v>
      </c>
      <c r="U1157" s="133" t="s">
        <v>2417</v>
      </c>
      <c r="V1157" s="133" t="s">
        <v>2417</v>
      </c>
      <c r="W1157" s="133" t="s">
        <v>2417</v>
      </c>
      <c r="X1157" s="133" t="s">
        <v>2417</v>
      </c>
      <c r="Y1157" s="133" t="s">
        <v>2417</v>
      </c>
      <c r="Z1157" s="133" t="s">
        <v>2417</v>
      </c>
      <c r="AA1157" s="133" t="s">
        <v>2417</v>
      </c>
      <c r="AB1157" s="133" t="s">
        <v>2417</v>
      </c>
      <c r="AC1157" s="133" t="s">
        <v>2417</v>
      </c>
      <c r="AD1157" s="133" t="s">
        <v>2417</v>
      </c>
      <c r="AE1157" s="204"/>
    </row>
    <row r="1158" spans="1:31" ht="20.399999999999999" outlineLevel="2">
      <c r="A1158" s="68" t="s">
        <v>2976</v>
      </c>
      <c r="B1158" s="64" t="s">
        <v>2977</v>
      </c>
      <c r="C1158" s="360" t="s">
        <v>2978</v>
      </c>
      <c r="D1158" s="351"/>
      <c r="E1158" s="133" t="s">
        <v>2417</v>
      </c>
      <c r="F1158" s="133" t="s">
        <v>2417</v>
      </c>
      <c r="G1158" s="133" t="s">
        <v>2417</v>
      </c>
      <c r="H1158" s="133" t="s">
        <v>2417</v>
      </c>
      <c r="I1158" s="134" t="s">
        <v>2418</v>
      </c>
      <c r="J1158" s="133" t="s">
        <v>2417</v>
      </c>
      <c r="K1158" s="133" t="s">
        <v>2417</v>
      </c>
      <c r="L1158" s="133" t="s">
        <v>2397</v>
      </c>
      <c r="M1158" s="133" t="s">
        <v>2417</v>
      </c>
      <c r="N1158" s="133" t="s">
        <v>2417</v>
      </c>
      <c r="O1158" s="133" t="s">
        <v>2417</v>
      </c>
      <c r="P1158" s="133" t="s">
        <v>2417</v>
      </c>
      <c r="Q1158" s="133" t="s">
        <v>2417</v>
      </c>
      <c r="R1158" s="133" t="s">
        <v>2417</v>
      </c>
      <c r="S1158" s="133" t="s">
        <v>2417</v>
      </c>
      <c r="T1158" s="133" t="s">
        <v>2417</v>
      </c>
      <c r="U1158" s="133" t="s">
        <v>2417</v>
      </c>
      <c r="V1158" s="133" t="s">
        <v>2417</v>
      </c>
      <c r="W1158" s="133" t="s">
        <v>2417</v>
      </c>
      <c r="X1158" s="133" t="s">
        <v>2417</v>
      </c>
      <c r="Y1158" s="133" t="s">
        <v>2417</v>
      </c>
      <c r="Z1158" s="133" t="s">
        <v>2417</v>
      </c>
      <c r="AA1158" s="133" t="s">
        <v>2417</v>
      </c>
      <c r="AB1158" s="133" t="s">
        <v>2417</v>
      </c>
      <c r="AC1158" s="133" t="s">
        <v>2417</v>
      </c>
      <c r="AD1158" s="133" t="s">
        <v>2417</v>
      </c>
      <c r="AE1158" s="123"/>
    </row>
    <row r="1159" spans="1:31" ht="20.399999999999999" outlineLevel="2">
      <c r="A1159" s="68" t="s">
        <v>2979</v>
      </c>
      <c r="B1159" s="64" t="s">
        <v>2980</v>
      </c>
      <c r="C1159" s="455" t="s">
        <v>2981</v>
      </c>
      <c r="D1159" s="351"/>
      <c r="E1159" s="133" t="s">
        <v>2417</v>
      </c>
      <c r="F1159" s="133" t="s">
        <v>2417</v>
      </c>
      <c r="G1159" s="133" t="s">
        <v>2417</v>
      </c>
      <c r="H1159" s="133" t="s">
        <v>2417</v>
      </c>
      <c r="I1159" s="134" t="s">
        <v>2418</v>
      </c>
      <c r="J1159" s="133" t="s">
        <v>2417</v>
      </c>
      <c r="K1159" s="133" t="s">
        <v>2417</v>
      </c>
      <c r="L1159" s="133" t="s">
        <v>2397</v>
      </c>
      <c r="M1159" s="133" t="s">
        <v>2417</v>
      </c>
      <c r="N1159" s="133" t="s">
        <v>2417</v>
      </c>
      <c r="O1159" s="133" t="s">
        <v>2417</v>
      </c>
      <c r="P1159" s="133" t="s">
        <v>2417</v>
      </c>
      <c r="Q1159" s="133" t="s">
        <v>2417</v>
      </c>
      <c r="R1159" s="133" t="s">
        <v>2417</v>
      </c>
      <c r="S1159" s="133" t="s">
        <v>2417</v>
      </c>
      <c r="T1159" s="133" t="s">
        <v>2417</v>
      </c>
      <c r="U1159" s="133" t="s">
        <v>2417</v>
      </c>
      <c r="V1159" s="133" t="s">
        <v>2417</v>
      </c>
      <c r="W1159" s="133" t="s">
        <v>2417</v>
      </c>
      <c r="X1159" s="133" t="s">
        <v>2417</v>
      </c>
      <c r="Y1159" s="133" t="s">
        <v>2417</v>
      </c>
      <c r="Z1159" s="133" t="s">
        <v>2417</v>
      </c>
      <c r="AA1159" s="133" t="s">
        <v>2417</v>
      </c>
      <c r="AB1159" s="133" t="s">
        <v>2417</v>
      </c>
      <c r="AC1159" s="133" t="s">
        <v>2417</v>
      </c>
      <c r="AD1159" s="133" t="s">
        <v>2417</v>
      </c>
      <c r="AE1159" s="204"/>
    </row>
    <row r="1160" spans="1:31" ht="40.799999999999997" outlineLevel="2">
      <c r="A1160" s="68" t="s">
        <v>2982</v>
      </c>
      <c r="B1160" s="64" t="s">
        <v>2983</v>
      </c>
      <c r="C1160" s="360" t="s">
        <v>2984</v>
      </c>
      <c r="D1160" s="351"/>
      <c r="E1160" s="133" t="s">
        <v>2417</v>
      </c>
      <c r="F1160" s="133" t="s">
        <v>2417</v>
      </c>
      <c r="G1160" s="133" t="s">
        <v>2417</v>
      </c>
      <c r="H1160" s="133" t="s">
        <v>2417</v>
      </c>
      <c r="I1160" s="134" t="s">
        <v>2418</v>
      </c>
      <c r="J1160" s="133" t="s">
        <v>2417</v>
      </c>
      <c r="K1160" s="133" t="s">
        <v>2417</v>
      </c>
      <c r="L1160" s="133" t="s">
        <v>2397</v>
      </c>
      <c r="M1160" s="133" t="s">
        <v>2417</v>
      </c>
      <c r="N1160" s="133" t="s">
        <v>2417</v>
      </c>
      <c r="O1160" s="133" t="s">
        <v>2417</v>
      </c>
      <c r="P1160" s="133" t="s">
        <v>2417</v>
      </c>
      <c r="Q1160" s="133" t="s">
        <v>2417</v>
      </c>
      <c r="R1160" s="133" t="s">
        <v>2417</v>
      </c>
      <c r="S1160" s="133" t="s">
        <v>2417</v>
      </c>
      <c r="T1160" s="133" t="s">
        <v>2417</v>
      </c>
      <c r="U1160" s="133" t="s">
        <v>2417</v>
      </c>
      <c r="V1160" s="133" t="s">
        <v>2417</v>
      </c>
      <c r="W1160" s="133" t="s">
        <v>2417</v>
      </c>
      <c r="X1160" s="133" t="s">
        <v>2417</v>
      </c>
      <c r="Y1160" s="133" t="s">
        <v>2417</v>
      </c>
      <c r="Z1160" s="133" t="s">
        <v>2417</v>
      </c>
      <c r="AA1160" s="133" t="s">
        <v>2417</v>
      </c>
      <c r="AB1160" s="133" t="s">
        <v>2417</v>
      </c>
      <c r="AC1160" s="133" t="s">
        <v>2417</v>
      </c>
      <c r="AD1160" s="133" t="s">
        <v>2417</v>
      </c>
      <c r="AE1160" s="123"/>
    </row>
    <row r="1161" spans="1:31" ht="20.399999999999999" outlineLevel="2">
      <c r="A1161" s="68" t="s">
        <v>2985</v>
      </c>
      <c r="B1161" s="64" t="s">
        <v>2986</v>
      </c>
      <c r="C1161" s="455" t="s">
        <v>2987</v>
      </c>
      <c r="D1161" s="351"/>
      <c r="E1161" s="133" t="s">
        <v>2417</v>
      </c>
      <c r="F1161" s="133" t="s">
        <v>2417</v>
      </c>
      <c r="G1161" s="133" t="s">
        <v>2417</v>
      </c>
      <c r="H1161" s="133" t="s">
        <v>2417</v>
      </c>
      <c r="I1161" s="134" t="s">
        <v>2418</v>
      </c>
      <c r="J1161" s="133" t="s">
        <v>2417</v>
      </c>
      <c r="K1161" s="133" t="s">
        <v>2417</v>
      </c>
      <c r="L1161" s="133" t="s">
        <v>2397</v>
      </c>
      <c r="M1161" s="133" t="s">
        <v>2417</v>
      </c>
      <c r="N1161" s="133" t="s">
        <v>2417</v>
      </c>
      <c r="O1161" s="133" t="s">
        <v>2417</v>
      </c>
      <c r="P1161" s="133" t="s">
        <v>2417</v>
      </c>
      <c r="Q1161" s="133" t="s">
        <v>2417</v>
      </c>
      <c r="R1161" s="133" t="s">
        <v>2417</v>
      </c>
      <c r="S1161" s="133" t="s">
        <v>2417</v>
      </c>
      <c r="T1161" s="133" t="s">
        <v>2417</v>
      </c>
      <c r="U1161" s="133" t="s">
        <v>2417</v>
      </c>
      <c r="V1161" s="133" t="s">
        <v>2417</v>
      </c>
      <c r="W1161" s="133" t="s">
        <v>2417</v>
      </c>
      <c r="X1161" s="133" t="s">
        <v>2417</v>
      </c>
      <c r="Y1161" s="133" t="s">
        <v>2417</v>
      </c>
      <c r="Z1161" s="133" t="s">
        <v>2417</v>
      </c>
      <c r="AA1161" s="133" t="s">
        <v>2417</v>
      </c>
      <c r="AB1161" s="133" t="s">
        <v>2417</v>
      </c>
      <c r="AC1161" s="133" t="s">
        <v>2417</v>
      </c>
      <c r="AD1161" s="133" t="s">
        <v>2417</v>
      </c>
      <c r="AE1161" s="204"/>
    </row>
    <row r="1162" spans="1:31" ht="21" outlineLevel="2">
      <c r="A1162" s="68" t="s">
        <v>2988</v>
      </c>
      <c r="B1162" s="64" t="s">
        <v>2989</v>
      </c>
      <c r="C1162" s="389" t="s">
        <v>2990</v>
      </c>
      <c r="D1162" s="351"/>
      <c r="E1162" s="133" t="s">
        <v>2417</v>
      </c>
      <c r="F1162" s="133" t="s">
        <v>2417</v>
      </c>
      <c r="G1162" s="133" t="s">
        <v>2417</v>
      </c>
      <c r="H1162" s="133" t="s">
        <v>2417</v>
      </c>
      <c r="I1162" s="134" t="s">
        <v>2418</v>
      </c>
      <c r="J1162" s="133" t="s">
        <v>2417</v>
      </c>
      <c r="K1162" s="133" t="s">
        <v>2417</v>
      </c>
      <c r="L1162" s="133" t="s">
        <v>2397</v>
      </c>
      <c r="M1162" s="133" t="s">
        <v>2417</v>
      </c>
      <c r="N1162" s="133" t="s">
        <v>2417</v>
      </c>
      <c r="O1162" s="133" t="s">
        <v>2417</v>
      </c>
      <c r="P1162" s="133" t="s">
        <v>2417</v>
      </c>
      <c r="Q1162" s="133" t="s">
        <v>2417</v>
      </c>
      <c r="R1162" s="133" t="s">
        <v>2417</v>
      </c>
      <c r="S1162" s="133" t="s">
        <v>2417</v>
      </c>
      <c r="T1162" s="133" t="s">
        <v>2417</v>
      </c>
      <c r="U1162" s="133" t="s">
        <v>2417</v>
      </c>
      <c r="V1162" s="133" t="s">
        <v>2417</v>
      </c>
      <c r="W1162" s="133" t="s">
        <v>2417</v>
      </c>
      <c r="X1162" s="133" t="s">
        <v>2417</v>
      </c>
      <c r="Y1162" s="133" t="s">
        <v>2417</v>
      </c>
      <c r="Z1162" s="133" t="s">
        <v>2417</v>
      </c>
      <c r="AA1162" s="133" t="s">
        <v>2417</v>
      </c>
      <c r="AB1162" s="133" t="s">
        <v>2417</v>
      </c>
      <c r="AC1162" s="133" t="s">
        <v>2417</v>
      </c>
      <c r="AD1162" s="133" t="s">
        <v>2417</v>
      </c>
      <c r="AE1162" s="123"/>
    </row>
    <row r="1163" spans="1:31" ht="21" outlineLevel="2">
      <c r="A1163" s="68" t="s">
        <v>2991</v>
      </c>
      <c r="B1163" s="64" t="s">
        <v>2992</v>
      </c>
      <c r="C1163" s="389" t="s">
        <v>2993</v>
      </c>
      <c r="D1163" s="351"/>
      <c r="E1163" s="133" t="s">
        <v>2417</v>
      </c>
      <c r="F1163" s="133" t="s">
        <v>2417</v>
      </c>
      <c r="G1163" s="133" t="s">
        <v>2417</v>
      </c>
      <c r="H1163" s="133" t="s">
        <v>2417</v>
      </c>
      <c r="I1163" s="134" t="s">
        <v>2418</v>
      </c>
      <c r="J1163" s="133" t="s">
        <v>2417</v>
      </c>
      <c r="K1163" s="133" t="s">
        <v>2417</v>
      </c>
      <c r="L1163" s="133" t="s">
        <v>2397</v>
      </c>
      <c r="M1163" s="133" t="s">
        <v>2417</v>
      </c>
      <c r="N1163" s="133" t="s">
        <v>2417</v>
      </c>
      <c r="O1163" s="133" t="s">
        <v>2417</v>
      </c>
      <c r="P1163" s="133" t="s">
        <v>2417</v>
      </c>
      <c r="Q1163" s="133" t="s">
        <v>2417</v>
      </c>
      <c r="R1163" s="133" t="s">
        <v>2417</v>
      </c>
      <c r="S1163" s="133" t="s">
        <v>2417</v>
      </c>
      <c r="T1163" s="133" t="s">
        <v>2417</v>
      </c>
      <c r="U1163" s="133" t="s">
        <v>2417</v>
      </c>
      <c r="V1163" s="133" t="s">
        <v>2417</v>
      </c>
      <c r="W1163" s="133" t="s">
        <v>2417</v>
      </c>
      <c r="X1163" s="133" t="s">
        <v>2417</v>
      </c>
      <c r="Y1163" s="133" t="s">
        <v>2417</v>
      </c>
      <c r="Z1163" s="133" t="s">
        <v>2417</v>
      </c>
      <c r="AA1163" s="133" t="s">
        <v>2417</v>
      </c>
      <c r="AB1163" s="133" t="s">
        <v>2417</v>
      </c>
      <c r="AC1163" s="133" t="s">
        <v>2417</v>
      </c>
      <c r="AD1163" s="133" t="s">
        <v>2417</v>
      </c>
      <c r="AE1163" s="123"/>
    </row>
    <row r="1164" spans="1:31" ht="21" outlineLevel="2">
      <c r="A1164" s="68" t="s">
        <v>2994</v>
      </c>
      <c r="B1164" s="64" t="s">
        <v>2995</v>
      </c>
      <c r="C1164" s="389" t="s">
        <v>2996</v>
      </c>
      <c r="D1164" s="351"/>
      <c r="E1164" s="133" t="s">
        <v>2417</v>
      </c>
      <c r="F1164" s="133" t="s">
        <v>2417</v>
      </c>
      <c r="G1164" s="133" t="s">
        <v>2417</v>
      </c>
      <c r="H1164" s="133" t="s">
        <v>2417</v>
      </c>
      <c r="I1164" s="134" t="s">
        <v>2418</v>
      </c>
      <c r="J1164" s="133" t="s">
        <v>2417</v>
      </c>
      <c r="K1164" s="133" t="s">
        <v>2417</v>
      </c>
      <c r="L1164" s="133" t="s">
        <v>2397</v>
      </c>
      <c r="M1164" s="133" t="s">
        <v>2417</v>
      </c>
      <c r="N1164" s="133" t="s">
        <v>2417</v>
      </c>
      <c r="O1164" s="133" t="s">
        <v>2417</v>
      </c>
      <c r="P1164" s="133" t="s">
        <v>2417</v>
      </c>
      <c r="Q1164" s="133" t="s">
        <v>2417</v>
      </c>
      <c r="R1164" s="133" t="s">
        <v>2417</v>
      </c>
      <c r="S1164" s="133" t="s">
        <v>2417</v>
      </c>
      <c r="T1164" s="133" t="s">
        <v>2417</v>
      </c>
      <c r="U1164" s="133" t="s">
        <v>2417</v>
      </c>
      <c r="V1164" s="133" t="s">
        <v>2417</v>
      </c>
      <c r="W1164" s="133" t="s">
        <v>2417</v>
      </c>
      <c r="X1164" s="133" t="s">
        <v>2417</v>
      </c>
      <c r="Y1164" s="133" t="s">
        <v>2417</v>
      </c>
      <c r="Z1164" s="133" t="s">
        <v>2417</v>
      </c>
      <c r="AA1164" s="133" t="s">
        <v>2417</v>
      </c>
      <c r="AB1164" s="133" t="s">
        <v>2417</v>
      </c>
      <c r="AC1164" s="133" t="s">
        <v>2417</v>
      </c>
      <c r="AD1164" s="133" t="s">
        <v>2417</v>
      </c>
      <c r="AE1164" s="123"/>
    </row>
    <row r="1165" spans="1:31" ht="21" outlineLevel="2">
      <c r="A1165" s="68" t="s">
        <v>2997</v>
      </c>
      <c r="B1165" s="64" t="s">
        <v>2998</v>
      </c>
      <c r="C1165" s="389" t="s">
        <v>2999</v>
      </c>
      <c r="D1165" s="351"/>
      <c r="E1165" s="133" t="s">
        <v>2417</v>
      </c>
      <c r="F1165" s="133" t="s">
        <v>2417</v>
      </c>
      <c r="G1165" s="133" t="s">
        <v>2417</v>
      </c>
      <c r="H1165" s="133" t="s">
        <v>2417</v>
      </c>
      <c r="I1165" s="134" t="s">
        <v>2418</v>
      </c>
      <c r="J1165" s="133" t="s">
        <v>2417</v>
      </c>
      <c r="K1165" s="133" t="s">
        <v>2417</v>
      </c>
      <c r="L1165" s="133" t="s">
        <v>2397</v>
      </c>
      <c r="M1165" s="133" t="s">
        <v>2417</v>
      </c>
      <c r="N1165" s="133" t="s">
        <v>2417</v>
      </c>
      <c r="O1165" s="133" t="s">
        <v>2417</v>
      </c>
      <c r="P1165" s="133" t="s">
        <v>2417</v>
      </c>
      <c r="Q1165" s="133" t="s">
        <v>2417</v>
      </c>
      <c r="R1165" s="133" t="s">
        <v>2417</v>
      </c>
      <c r="S1165" s="133" t="s">
        <v>2417</v>
      </c>
      <c r="T1165" s="133" t="s">
        <v>2417</v>
      </c>
      <c r="U1165" s="133" t="s">
        <v>2417</v>
      </c>
      <c r="V1165" s="133" t="s">
        <v>2417</v>
      </c>
      <c r="W1165" s="133" t="s">
        <v>2417</v>
      </c>
      <c r="X1165" s="133" t="s">
        <v>2417</v>
      </c>
      <c r="Y1165" s="133" t="s">
        <v>2417</v>
      </c>
      <c r="Z1165" s="133" t="s">
        <v>2417</v>
      </c>
      <c r="AA1165" s="133" t="s">
        <v>2417</v>
      </c>
      <c r="AB1165" s="133" t="s">
        <v>2417</v>
      </c>
      <c r="AC1165" s="133" t="s">
        <v>2417</v>
      </c>
      <c r="AD1165" s="133" t="s">
        <v>2417</v>
      </c>
      <c r="AE1165" s="123"/>
    </row>
    <row r="1166" spans="1:31" ht="21" outlineLevel="2">
      <c r="A1166" s="68" t="s">
        <v>3000</v>
      </c>
      <c r="B1166" s="64" t="s">
        <v>3001</v>
      </c>
      <c r="C1166" s="389" t="s">
        <v>3002</v>
      </c>
      <c r="D1166" s="351"/>
      <c r="E1166" s="133" t="s">
        <v>2417</v>
      </c>
      <c r="F1166" s="133" t="s">
        <v>2417</v>
      </c>
      <c r="G1166" s="133" t="s">
        <v>2417</v>
      </c>
      <c r="H1166" s="133" t="s">
        <v>2417</v>
      </c>
      <c r="I1166" s="134" t="s">
        <v>2418</v>
      </c>
      <c r="J1166" s="133" t="s">
        <v>2417</v>
      </c>
      <c r="K1166" s="133" t="s">
        <v>2417</v>
      </c>
      <c r="L1166" s="133" t="s">
        <v>2397</v>
      </c>
      <c r="M1166" s="133" t="s">
        <v>2417</v>
      </c>
      <c r="N1166" s="133" t="s">
        <v>2417</v>
      </c>
      <c r="O1166" s="133" t="s">
        <v>2417</v>
      </c>
      <c r="P1166" s="133" t="s">
        <v>2417</v>
      </c>
      <c r="Q1166" s="133" t="s">
        <v>2417</v>
      </c>
      <c r="R1166" s="133" t="s">
        <v>2417</v>
      </c>
      <c r="S1166" s="133" t="s">
        <v>2417</v>
      </c>
      <c r="T1166" s="133" t="s">
        <v>2417</v>
      </c>
      <c r="U1166" s="133" t="s">
        <v>2417</v>
      </c>
      <c r="V1166" s="133" t="s">
        <v>2417</v>
      </c>
      <c r="W1166" s="133" t="s">
        <v>2417</v>
      </c>
      <c r="X1166" s="133" t="s">
        <v>2417</v>
      </c>
      <c r="Y1166" s="133" t="s">
        <v>2417</v>
      </c>
      <c r="Z1166" s="133" t="s">
        <v>2417</v>
      </c>
      <c r="AA1166" s="133" t="s">
        <v>2417</v>
      </c>
      <c r="AB1166" s="133" t="s">
        <v>2417</v>
      </c>
      <c r="AC1166" s="133" t="s">
        <v>2417</v>
      </c>
      <c r="AD1166" s="133" t="s">
        <v>2417</v>
      </c>
      <c r="AE1166" s="123"/>
    </row>
    <row r="1167" spans="1:31" ht="21" outlineLevel="2">
      <c r="A1167" s="68" t="s">
        <v>3003</v>
      </c>
      <c r="B1167" s="64" t="s">
        <v>3004</v>
      </c>
      <c r="C1167" s="389" t="s">
        <v>3005</v>
      </c>
      <c r="D1167" s="351"/>
      <c r="E1167" s="133" t="s">
        <v>2417</v>
      </c>
      <c r="F1167" s="133" t="s">
        <v>2417</v>
      </c>
      <c r="G1167" s="133" t="s">
        <v>2417</v>
      </c>
      <c r="H1167" s="133" t="s">
        <v>2417</v>
      </c>
      <c r="I1167" s="134" t="s">
        <v>2418</v>
      </c>
      <c r="J1167" s="133" t="s">
        <v>2417</v>
      </c>
      <c r="K1167" s="133" t="s">
        <v>2417</v>
      </c>
      <c r="L1167" s="133" t="s">
        <v>2397</v>
      </c>
      <c r="M1167" s="133" t="s">
        <v>2417</v>
      </c>
      <c r="N1167" s="133" t="s">
        <v>2417</v>
      </c>
      <c r="O1167" s="133" t="s">
        <v>2417</v>
      </c>
      <c r="P1167" s="133" t="s">
        <v>2417</v>
      </c>
      <c r="Q1167" s="133" t="s">
        <v>2417</v>
      </c>
      <c r="R1167" s="133" t="s">
        <v>2417</v>
      </c>
      <c r="S1167" s="133" t="s">
        <v>2417</v>
      </c>
      <c r="T1167" s="133" t="s">
        <v>2417</v>
      </c>
      <c r="U1167" s="133" t="s">
        <v>2417</v>
      </c>
      <c r="V1167" s="133" t="s">
        <v>2417</v>
      </c>
      <c r="W1167" s="133" t="s">
        <v>2417</v>
      </c>
      <c r="X1167" s="133" t="s">
        <v>2417</v>
      </c>
      <c r="Y1167" s="133" t="s">
        <v>2417</v>
      </c>
      <c r="Z1167" s="133" t="s">
        <v>2417</v>
      </c>
      <c r="AA1167" s="133" t="s">
        <v>2417</v>
      </c>
      <c r="AB1167" s="133" t="s">
        <v>2417</v>
      </c>
      <c r="AC1167" s="133" t="s">
        <v>2417</v>
      </c>
      <c r="AD1167" s="133" t="s">
        <v>2417</v>
      </c>
      <c r="AE1167" s="123"/>
    </row>
    <row r="1168" spans="1:31" ht="21" outlineLevel="2">
      <c r="A1168" s="68" t="s">
        <v>3006</v>
      </c>
      <c r="B1168" s="64" t="s">
        <v>3007</v>
      </c>
      <c r="C1168" s="389" t="s">
        <v>3008</v>
      </c>
      <c r="D1168" s="351"/>
      <c r="E1168" s="133" t="s">
        <v>2417</v>
      </c>
      <c r="F1168" s="133" t="s">
        <v>2417</v>
      </c>
      <c r="G1168" s="133" t="s">
        <v>2417</v>
      </c>
      <c r="H1168" s="133" t="s">
        <v>2417</v>
      </c>
      <c r="I1168" s="134" t="s">
        <v>2418</v>
      </c>
      <c r="J1168" s="133" t="s">
        <v>2417</v>
      </c>
      <c r="K1168" s="133" t="s">
        <v>2417</v>
      </c>
      <c r="L1168" s="133" t="s">
        <v>2397</v>
      </c>
      <c r="M1168" s="133" t="s">
        <v>2417</v>
      </c>
      <c r="N1168" s="133" t="s">
        <v>2417</v>
      </c>
      <c r="O1168" s="133" t="s">
        <v>2417</v>
      </c>
      <c r="P1168" s="133" t="s">
        <v>2417</v>
      </c>
      <c r="Q1168" s="133" t="s">
        <v>2417</v>
      </c>
      <c r="R1168" s="133" t="s">
        <v>2417</v>
      </c>
      <c r="S1168" s="133" t="s">
        <v>2417</v>
      </c>
      <c r="T1168" s="133" t="s">
        <v>2417</v>
      </c>
      <c r="U1168" s="133" t="s">
        <v>2417</v>
      </c>
      <c r="V1168" s="133" t="s">
        <v>2417</v>
      </c>
      <c r="W1168" s="133" t="s">
        <v>2417</v>
      </c>
      <c r="X1168" s="133" t="s">
        <v>2417</v>
      </c>
      <c r="Y1168" s="133" t="s">
        <v>2417</v>
      </c>
      <c r="Z1168" s="133" t="s">
        <v>2417</v>
      </c>
      <c r="AA1168" s="133" t="s">
        <v>2417</v>
      </c>
      <c r="AB1168" s="133" t="s">
        <v>2417</v>
      </c>
      <c r="AC1168" s="133" t="s">
        <v>2417</v>
      </c>
      <c r="AD1168" s="133" t="s">
        <v>2417</v>
      </c>
      <c r="AE1168" s="123"/>
    </row>
    <row r="1169" spans="1:31" ht="31.2" outlineLevel="2">
      <c r="A1169" s="68" t="s">
        <v>3009</v>
      </c>
      <c r="B1169" s="64" t="s">
        <v>3010</v>
      </c>
      <c r="C1169" s="389" t="s">
        <v>3011</v>
      </c>
      <c r="D1169" s="351"/>
      <c r="E1169" s="133" t="s">
        <v>2417</v>
      </c>
      <c r="F1169" s="133" t="s">
        <v>2417</v>
      </c>
      <c r="G1169" s="133" t="s">
        <v>2417</v>
      </c>
      <c r="H1169" s="133" t="s">
        <v>2417</v>
      </c>
      <c r="I1169" s="134" t="s">
        <v>2418</v>
      </c>
      <c r="J1169" s="133" t="s">
        <v>2417</v>
      </c>
      <c r="K1169" s="133" t="s">
        <v>2417</v>
      </c>
      <c r="L1169" s="133" t="s">
        <v>2397</v>
      </c>
      <c r="M1169" s="133" t="s">
        <v>2417</v>
      </c>
      <c r="N1169" s="133" t="s">
        <v>2417</v>
      </c>
      <c r="O1169" s="133" t="s">
        <v>2417</v>
      </c>
      <c r="P1169" s="133" t="s">
        <v>2417</v>
      </c>
      <c r="Q1169" s="133" t="s">
        <v>2417</v>
      </c>
      <c r="R1169" s="133" t="s">
        <v>2417</v>
      </c>
      <c r="S1169" s="133" t="s">
        <v>2417</v>
      </c>
      <c r="T1169" s="133" t="s">
        <v>2417</v>
      </c>
      <c r="U1169" s="133" t="s">
        <v>2417</v>
      </c>
      <c r="V1169" s="133" t="s">
        <v>2417</v>
      </c>
      <c r="W1169" s="133" t="s">
        <v>2417</v>
      </c>
      <c r="X1169" s="133" t="s">
        <v>2417</v>
      </c>
      <c r="Y1169" s="133" t="s">
        <v>2417</v>
      </c>
      <c r="Z1169" s="133" t="s">
        <v>2417</v>
      </c>
      <c r="AA1169" s="133" t="s">
        <v>2417</v>
      </c>
      <c r="AB1169" s="133" t="s">
        <v>2417</v>
      </c>
      <c r="AC1169" s="133" t="s">
        <v>2417</v>
      </c>
      <c r="AD1169" s="133" t="s">
        <v>2417</v>
      </c>
      <c r="AE1169" s="123"/>
    </row>
    <row r="1170" spans="1:31" ht="21" outlineLevel="2">
      <c r="A1170" s="68" t="s">
        <v>3012</v>
      </c>
      <c r="B1170" s="64" t="s">
        <v>3013</v>
      </c>
      <c r="C1170" s="389" t="s">
        <v>3014</v>
      </c>
      <c r="D1170" s="351"/>
      <c r="E1170" s="133" t="s">
        <v>2417</v>
      </c>
      <c r="F1170" s="133" t="s">
        <v>2417</v>
      </c>
      <c r="G1170" s="133" t="s">
        <v>2417</v>
      </c>
      <c r="H1170" s="133" t="s">
        <v>2417</v>
      </c>
      <c r="I1170" s="134" t="s">
        <v>2418</v>
      </c>
      <c r="J1170" s="133" t="s">
        <v>2417</v>
      </c>
      <c r="K1170" s="133" t="s">
        <v>2417</v>
      </c>
      <c r="L1170" s="133" t="s">
        <v>2397</v>
      </c>
      <c r="M1170" s="133" t="s">
        <v>2417</v>
      </c>
      <c r="N1170" s="133" t="s">
        <v>2417</v>
      </c>
      <c r="O1170" s="133" t="s">
        <v>2417</v>
      </c>
      <c r="P1170" s="133" t="s">
        <v>2417</v>
      </c>
      <c r="Q1170" s="133" t="s">
        <v>2417</v>
      </c>
      <c r="R1170" s="133" t="s">
        <v>2417</v>
      </c>
      <c r="S1170" s="133" t="s">
        <v>2417</v>
      </c>
      <c r="T1170" s="133" t="s">
        <v>2417</v>
      </c>
      <c r="U1170" s="133" t="s">
        <v>2417</v>
      </c>
      <c r="V1170" s="133" t="s">
        <v>2417</v>
      </c>
      <c r="W1170" s="133" t="s">
        <v>2417</v>
      </c>
      <c r="X1170" s="133" t="s">
        <v>2417</v>
      </c>
      <c r="Y1170" s="133" t="s">
        <v>2417</v>
      </c>
      <c r="Z1170" s="133" t="s">
        <v>2417</v>
      </c>
      <c r="AA1170" s="133" t="s">
        <v>2417</v>
      </c>
      <c r="AB1170" s="133" t="s">
        <v>2417</v>
      </c>
      <c r="AC1170" s="133" t="s">
        <v>2417</v>
      </c>
      <c r="AD1170" s="133" t="s">
        <v>2417</v>
      </c>
      <c r="AE1170" s="123"/>
    </row>
    <row r="1171" spans="1:31" ht="31.2" outlineLevel="2">
      <c r="A1171" s="68" t="s">
        <v>3015</v>
      </c>
      <c r="B1171" s="64" t="s">
        <v>3016</v>
      </c>
      <c r="C1171" s="389" t="s">
        <v>3017</v>
      </c>
      <c r="D1171" s="351"/>
      <c r="E1171" s="133" t="s">
        <v>2417</v>
      </c>
      <c r="F1171" s="133" t="s">
        <v>2417</v>
      </c>
      <c r="G1171" s="133" t="s">
        <v>2417</v>
      </c>
      <c r="H1171" s="133" t="s">
        <v>2417</v>
      </c>
      <c r="I1171" s="134" t="s">
        <v>2418</v>
      </c>
      <c r="J1171" s="133" t="s">
        <v>2417</v>
      </c>
      <c r="K1171" s="133" t="s">
        <v>2417</v>
      </c>
      <c r="L1171" s="133" t="s">
        <v>2397</v>
      </c>
      <c r="M1171" s="133" t="s">
        <v>2417</v>
      </c>
      <c r="N1171" s="133" t="s">
        <v>2417</v>
      </c>
      <c r="O1171" s="133" t="s">
        <v>2417</v>
      </c>
      <c r="P1171" s="133" t="s">
        <v>2417</v>
      </c>
      <c r="Q1171" s="133" t="s">
        <v>2417</v>
      </c>
      <c r="R1171" s="133" t="s">
        <v>2417</v>
      </c>
      <c r="S1171" s="133" t="s">
        <v>2417</v>
      </c>
      <c r="T1171" s="133" t="s">
        <v>2417</v>
      </c>
      <c r="U1171" s="133" t="s">
        <v>2417</v>
      </c>
      <c r="V1171" s="133" t="s">
        <v>2417</v>
      </c>
      <c r="W1171" s="133" t="s">
        <v>2417</v>
      </c>
      <c r="X1171" s="133" t="s">
        <v>2417</v>
      </c>
      <c r="Y1171" s="133" t="s">
        <v>2417</v>
      </c>
      <c r="Z1171" s="133" t="s">
        <v>2417</v>
      </c>
      <c r="AA1171" s="133" t="s">
        <v>2417</v>
      </c>
      <c r="AB1171" s="133" t="s">
        <v>2417</v>
      </c>
      <c r="AC1171" s="133" t="s">
        <v>2417</v>
      </c>
      <c r="AD1171" s="133" t="s">
        <v>2417</v>
      </c>
      <c r="AE1171" s="123"/>
    </row>
    <row r="1172" spans="1:31" ht="21" outlineLevel="2">
      <c r="A1172" s="68" t="s">
        <v>3018</v>
      </c>
      <c r="B1172" s="64" t="s">
        <v>3019</v>
      </c>
      <c r="C1172" s="389" t="s">
        <v>3020</v>
      </c>
      <c r="D1172" s="351"/>
      <c r="E1172" s="133" t="s">
        <v>2417</v>
      </c>
      <c r="F1172" s="133" t="s">
        <v>2417</v>
      </c>
      <c r="G1172" s="133" t="s">
        <v>2417</v>
      </c>
      <c r="H1172" s="133" t="s">
        <v>2417</v>
      </c>
      <c r="I1172" s="134" t="s">
        <v>2418</v>
      </c>
      <c r="J1172" s="133" t="s">
        <v>2417</v>
      </c>
      <c r="K1172" s="133" t="s">
        <v>2417</v>
      </c>
      <c r="L1172" s="133" t="s">
        <v>2397</v>
      </c>
      <c r="M1172" s="133" t="s">
        <v>2417</v>
      </c>
      <c r="N1172" s="133" t="s">
        <v>2417</v>
      </c>
      <c r="O1172" s="133" t="s">
        <v>2417</v>
      </c>
      <c r="P1172" s="133" t="s">
        <v>2417</v>
      </c>
      <c r="Q1172" s="133" t="s">
        <v>2417</v>
      </c>
      <c r="R1172" s="133" t="s">
        <v>2417</v>
      </c>
      <c r="S1172" s="133" t="s">
        <v>2417</v>
      </c>
      <c r="T1172" s="133" t="s">
        <v>2417</v>
      </c>
      <c r="U1172" s="133" t="s">
        <v>2417</v>
      </c>
      <c r="V1172" s="133" t="s">
        <v>2417</v>
      </c>
      <c r="W1172" s="133" t="s">
        <v>2417</v>
      </c>
      <c r="X1172" s="133" t="s">
        <v>2417</v>
      </c>
      <c r="Y1172" s="133" t="s">
        <v>2417</v>
      </c>
      <c r="Z1172" s="133" t="s">
        <v>2417</v>
      </c>
      <c r="AA1172" s="133" t="s">
        <v>2417</v>
      </c>
      <c r="AB1172" s="133" t="s">
        <v>2417</v>
      </c>
      <c r="AC1172" s="133" t="s">
        <v>2417</v>
      </c>
      <c r="AD1172" s="133" t="s">
        <v>2417</v>
      </c>
      <c r="AE1172" s="123"/>
    </row>
    <row r="1173" spans="1:31" ht="13.2" outlineLevel="1">
      <c r="A1173" s="386" t="s">
        <v>3021</v>
      </c>
      <c r="B1173" s="350"/>
      <c r="C1173" s="350"/>
      <c r="D1173" s="351"/>
      <c r="E1173" s="133" t="s">
        <v>2417</v>
      </c>
      <c r="F1173" s="133" t="s">
        <v>2417</v>
      </c>
      <c r="G1173" s="133" t="s">
        <v>2417</v>
      </c>
      <c r="H1173" s="133" t="s">
        <v>2417</v>
      </c>
      <c r="I1173" s="134" t="s">
        <v>2418</v>
      </c>
      <c r="J1173" s="133" t="s">
        <v>2417</v>
      </c>
      <c r="K1173" s="133" t="s">
        <v>2417</v>
      </c>
      <c r="L1173" s="133" t="s">
        <v>2417</v>
      </c>
      <c r="M1173" s="133" t="s">
        <v>2417</v>
      </c>
      <c r="N1173" s="133" t="s">
        <v>2417</v>
      </c>
      <c r="O1173" s="133" t="s">
        <v>2417</v>
      </c>
      <c r="P1173" s="133" t="s">
        <v>2417</v>
      </c>
      <c r="Q1173" s="133" t="s">
        <v>2417</v>
      </c>
      <c r="R1173" s="133" t="s">
        <v>2417</v>
      </c>
      <c r="S1173" s="133" t="s">
        <v>2417</v>
      </c>
      <c r="T1173" s="133" t="s">
        <v>2417</v>
      </c>
      <c r="U1173" s="133" t="s">
        <v>2417</v>
      </c>
      <c r="V1173" s="133" t="s">
        <v>2417</v>
      </c>
      <c r="W1173" s="133" t="s">
        <v>2417</v>
      </c>
      <c r="X1173" s="133" t="s">
        <v>2417</v>
      </c>
      <c r="Y1173" s="133" t="s">
        <v>2417</v>
      </c>
      <c r="Z1173" s="133" t="s">
        <v>2417</v>
      </c>
      <c r="AA1173" s="133" t="s">
        <v>2417</v>
      </c>
      <c r="AB1173" s="133" t="s">
        <v>2417</v>
      </c>
      <c r="AC1173" s="133" t="s">
        <v>2417</v>
      </c>
      <c r="AD1173" s="133" t="s">
        <v>2417</v>
      </c>
      <c r="AE1173" s="155"/>
    </row>
    <row r="1174" spans="1:31" ht="13.2" outlineLevel="2">
      <c r="A1174" s="68" t="s">
        <v>3022</v>
      </c>
      <c r="B1174" s="62" t="s">
        <v>3023</v>
      </c>
      <c r="C1174" s="392" t="s">
        <v>3024</v>
      </c>
      <c r="D1174" s="351"/>
      <c r="E1174" s="205" t="s">
        <v>2417</v>
      </c>
      <c r="F1174" s="133" t="s">
        <v>2417</v>
      </c>
      <c r="G1174" s="133" t="s">
        <v>2417</v>
      </c>
      <c r="H1174" s="133" t="s">
        <v>2417</v>
      </c>
      <c r="I1174" s="134" t="s">
        <v>2418</v>
      </c>
      <c r="J1174" s="133" t="s">
        <v>2417</v>
      </c>
      <c r="K1174" s="133" t="s">
        <v>2417</v>
      </c>
      <c r="L1174" s="133" t="s">
        <v>2417</v>
      </c>
      <c r="M1174" s="133" t="s">
        <v>2417</v>
      </c>
      <c r="N1174" s="133" t="s">
        <v>2417</v>
      </c>
      <c r="O1174" s="133" t="s">
        <v>2417</v>
      </c>
      <c r="P1174" s="133" t="s">
        <v>2417</v>
      </c>
      <c r="Q1174" s="133" t="s">
        <v>2417</v>
      </c>
      <c r="R1174" s="133" t="s">
        <v>2417</v>
      </c>
      <c r="S1174" s="133" t="s">
        <v>2417</v>
      </c>
      <c r="T1174" s="133" t="s">
        <v>2417</v>
      </c>
      <c r="U1174" s="133" t="s">
        <v>2417</v>
      </c>
      <c r="V1174" s="133" t="s">
        <v>2417</v>
      </c>
      <c r="W1174" s="133" t="s">
        <v>2417</v>
      </c>
      <c r="X1174" s="133" t="s">
        <v>2417</v>
      </c>
      <c r="Y1174" s="133" t="s">
        <v>2417</v>
      </c>
      <c r="Z1174" s="133" t="s">
        <v>2417</v>
      </c>
      <c r="AA1174" s="133" t="s">
        <v>2417</v>
      </c>
      <c r="AB1174" s="133" t="s">
        <v>2417</v>
      </c>
      <c r="AC1174" s="133" t="s">
        <v>2417</v>
      </c>
      <c r="AD1174" s="133" t="s">
        <v>2417</v>
      </c>
      <c r="AE1174" s="151"/>
    </row>
    <row r="1175" spans="1:31" ht="21" outlineLevel="2">
      <c r="A1175" s="68" t="s">
        <v>3025</v>
      </c>
      <c r="B1175" s="62" t="s">
        <v>3026</v>
      </c>
      <c r="C1175" s="392" t="s">
        <v>3027</v>
      </c>
      <c r="D1175" s="351"/>
      <c r="E1175" s="133" t="s">
        <v>2417</v>
      </c>
      <c r="F1175" s="133" t="s">
        <v>2417</v>
      </c>
      <c r="G1175" s="133" t="s">
        <v>2417</v>
      </c>
      <c r="H1175" s="133" t="s">
        <v>2417</v>
      </c>
      <c r="I1175" s="134" t="s">
        <v>2418</v>
      </c>
      <c r="J1175" s="133" t="s">
        <v>2417</v>
      </c>
      <c r="K1175" s="133" t="s">
        <v>2417</v>
      </c>
      <c r="L1175" s="133" t="s">
        <v>2417</v>
      </c>
      <c r="M1175" s="133" t="s">
        <v>2417</v>
      </c>
      <c r="N1175" s="133" t="s">
        <v>2417</v>
      </c>
      <c r="O1175" s="133" t="s">
        <v>2417</v>
      </c>
      <c r="P1175" s="133" t="s">
        <v>2417</v>
      </c>
      <c r="Q1175" s="133" t="s">
        <v>2417</v>
      </c>
      <c r="R1175" s="133" t="s">
        <v>2417</v>
      </c>
      <c r="S1175" s="133" t="s">
        <v>2417</v>
      </c>
      <c r="T1175" s="133" t="s">
        <v>2417</v>
      </c>
      <c r="U1175" s="133" t="s">
        <v>2417</v>
      </c>
      <c r="V1175" s="133" t="s">
        <v>2417</v>
      </c>
      <c r="W1175" s="133" t="s">
        <v>2417</v>
      </c>
      <c r="X1175" s="133" t="s">
        <v>2417</v>
      </c>
      <c r="Y1175" s="133" t="s">
        <v>2417</v>
      </c>
      <c r="Z1175" s="133" t="s">
        <v>2417</v>
      </c>
      <c r="AA1175" s="133" t="s">
        <v>2417</v>
      </c>
      <c r="AB1175" s="133" t="s">
        <v>2417</v>
      </c>
      <c r="AC1175" s="133" t="s">
        <v>2417</v>
      </c>
      <c r="AD1175" s="133" t="s">
        <v>2417</v>
      </c>
      <c r="AE1175" s="151"/>
    </row>
    <row r="1176" spans="1:31" ht="13.2" outlineLevel="2">
      <c r="A1176" s="68" t="s">
        <v>3028</v>
      </c>
      <c r="B1176" s="62" t="s">
        <v>3029</v>
      </c>
      <c r="C1176" s="456" t="s">
        <v>3030</v>
      </c>
      <c r="D1176" s="351"/>
      <c r="E1176" s="133" t="s">
        <v>2417</v>
      </c>
      <c r="F1176" s="133" t="s">
        <v>2417</v>
      </c>
      <c r="G1176" s="133" t="s">
        <v>2417</v>
      </c>
      <c r="H1176" s="133" t="s">
        <v>2417</v>
      </c>
      <c r="I1176" s="134" t="s">
        <v>2418</v>
      </c>
      <c r="J1176" s="133" t="s">
        <v>2417</v>
      </c>
      <c r="K1176" s="133" t="s">
        <v>2417</v>
      </c>
      <c r="L1176" s="133" t="s">
        <v>2417</v>
      </c>
      <c r="M1176" s="133" t="s">
        <v>2417</v>
      </c>
      <c r="N1176" s="133" t="s">
        <v>2417</v>
      </c>
      <c r="O1176" s="133" t="s">
        <v>2417</v>
      </c>
      <c r="P1176" s="133" t="s">
        <v>2417</v>
      </c>
      <c r="Q1176" s="133" t="s">
        <v>2417</v>
      </c>
      <c r="R1176" s="133" t="s">
        <v>2417</v>
      </c>
      <c r="S1176" s="133" t="s">
        <v>2417</v>
      </c>
      <c r="T1176" s="133" t="s">
        <v>2417</v>
      </c>
      <c r="U1176" s="133" t="s">
        <v>2417</v>
      </c>
      <c r="V1176" s="133" t="s">
        <v>2417</v>
      </c>
      <c r="W1176" s="133" t="s">
        <v>2417</v>
      </c>
      <c r="X1176" s="133" t="s">
        <v>2417</v>
      </c>
      <c r="Y1176" s="133" t="s">
        <v>2417</v>
      </c>
      <c r="Z1176" s="133" t="s">
        <v>2417</v>
      </c>
      <c r="AA1176" s="133" t="s">
        <v>2417</v>
      </c>
      <c r="AB1176" s="133" t="s">
        <v>2417</v>
      </c>
      <c r="AC1176" s="133" t="s">
        <v>2417</v>
      </c>
      <c r="AD1176" s="133" t="s">
        <v>2417</v>
      </c>
      <c r="AE1176" s="206"/>
    </row>
    <row r="1177" spans="1:31" ht="21" outlineLevel="2">
      <c r="A1177" s="68" t="s">
        <v>3031</v>
      </c>
      <c r="B1177" s="207" t="s">
        <v>3032</v>
      </c>
      <c r="C1177" s="392" t="s">
        <v>3033</v>
      </c>
      <c r="D1177" s="351"/>
      <c r="E1177" s="133" t="s">
        <v>2417</v>
      </c>
      <c r="F1177" s="133" t="s">
        <v>2417</v>
      </c>
      <c r="G1177" s="133" t="s">
        <v>2417</v>
      </c>
      <c r="H1177" s="133" t="s">
        <v>2417</v>
      </c>
      <c r="I1177" s="134" t="s">
        <v>2418</v>
      </c>
      <c r="J1177" s="133" t="s">
        <v>2417</v>
      </c>
      <c r="K1177" s="133" t="s">
        <v>2417</v>
      </c>
      <c r="L1177" s="133" t="s">
        <v>2417</v>
      </c>
      <c r="M1177" s="133" t="s">
        <v>2417</v>
      </c>
      <c r="N1177" s="133" t="s">
        <v>2417</v>
      </c>
      <c r="O1177" s="133" t="s">
        <v>2417</v>
      </c>
      <c r="P1177" s="133" t="s">
        <v>2417</v>
      </c>
      <c r="Q1177" s="133" t="s">
        <v>2417</v>
      </c>
      <c r="R1177" s="133" t="s">
        <v>2417</v>
      </c>
      <c r="S1177" s="133" t="s">
        <v>2417</v>
      </c>
      <c r="T1177" s="133" t="s">
        <v>2417</v>
      </c>
      <c r="U1177" s="133" t="s">
        <v>2417</v>
      </c>
      <c r="V1177" s="133" t="s">
        <v>2417</v>
      </c>
      <c r="W1177" s="133" t="s">
        <v>2417</v>
      </c>
      <c r="X1177" s="133" t="s">
        <v>2417</v>
      </c>
      <c r="Y1177" s="133" t="s">
        <v>2417</v>
      </c>
      <c r="Z1177" s="133" t="s">
        <v>2417</v>
      </c>
      <c r="AA1177" s="133" t="s">
        <v>2417</v>
      </c>
      <c r="AB1177" s="133" t="s">
        <v>2417</v>
      </c>
      <c r="AC1177" s="133" t="s">
        <v>2417</v>
      </c>
      <c r="AD1177" s="133" t="s">
        <v>2417</v>
      </c>
      <c r="AE1177" s="151"/>
    </row>
    <row r="1178" spans="1:31" ht="21" outlineLevel="2">
      <c r="A1178" s="68" t="s">
        <v>3034</v>
      </c>
      <c r="B1178" s="62" t="s">
        <v>3035</v>
      </c>
      <c r="C1178" s="392" t="s">
        <v>3036</v>
      </c>
      <c r="D1178" s="351"/>
      <c r="E1178" s="133" t="s">
        <v>2417</v>
      </c>
      <c r="F1178" s="133" t="s">
        <v>2417</v>
      </c>
      <c r="G1178" s="133" t="s">
        <v>2417</v>
      </c>
      <c r="H1178" s="133" t="s">
        <v>2417</v>
      </c>
      <c r="I1178" s="134" t="s">
        <v>2418</v>
      </c>
      <c r="J1178" s="133" t="s">
        <v>2417</v>
      </c>
      <c r="K1178" s="133" t="s">
        <v>2417</v>
      </c>
      <c r="L1178" s="133" t="s">
        <v>2417</v>
      </c>
      <c r="M1178" s="133" t="s">
        <v>2417</v>
      </c>
      <c r="N1178" s="133" t="s">
        <v>2417</v>
      </c>
      <c r="O1178" s="133" t="s">
        <v>2417</v>
      </c>
      <c r="P1178" s="133" t="s">
        <v>2417</v>
      </c>
      <c r="Q1178" s="133" t="s">
        <v>2417</v>
      </c>
      <c r="R1178" s="133" t="s">
        <v>2417</v>
      </c>
      <c r="S1178" s="133" t="s">
        <v>2417</v>
      </c>
      <c r="T1178" s="133" t="s">
        <v>2417</v>
      </c>
      <c r="U1178" s="133" t="s">
        <v>2417</v>
      </c>
      <c r="V1178" s="133" t="s">
        <v>2417</v>
      </c>
      <c r="W1178" s="133" t="s">
        <v>2417</v>
      </c>
      <c r="X1178" s="133" t="s">
        <v>2417</v>
      </c>
      <c r="Y1178" s="133" t="s">
        <v>2417</v>
      </c>
      <c r="Z1178" s="133" t="s">
        <v>2417</v>
      </c>
      <c r="AA1178" s="133" t="s">
        <v>2417</v>
      </c>
      <c r="AB1178" s="133" t="s">
        <v>2417</v>
      </c>
      <c r="AC1178" s="133" t="s">
        <v>2417</v>
      </c>
      <c r="AD1178" s="133" t="s">
        <v>2417</v>
      </c>
      <c r="AE1178" s="151"/>
    </row>
    <row r="1179" spans="1:31" ht="13.2" outlineLevel="2">
      <c r="A1179" s="68" t="s">
        <v>3037</v>
      </c>
      <c r="B1179" s="207" t="s">
        <v>3038</v>
      </c>
      <c r="C1179" s="392" t="s">
        <v>3039</v>
      </c>
      <c r="D1179" s="351"/>
      <c r="E1179" s="133" t="s">
        <v>2417</v>
      </c>
      <c r="F1179" s="133" t="s">
        <v>2417</v>
      </c>
      <c r="G1179" s="133" t="s">
        <v>2417</v>
      </c>
      <c r="H1179" s="133" t="s">
        <v>2417</v>
      </c>
      <c r="I1179" s="134" t="s">
        <v>2418</v>
      </c>
      <c r="J1179" s="133" t="s">
        <v>2417</v>
      </c>
      <c r="K1179" s="133" t="s">
        <v>2417</v>
      </c>
      <c r="L1179" s="133" t="s">
        <v>2417</v>
      </c>
      <c r="M1179" s="133" t="s">
        <v>2417</v>
      </c>
      <c r="N1179" s="133" t="s">
        <v>2417</v>
      </c>
      <c r="O1179" s="133" t="s">
        <v>2417</v>
      </c>
      <c r="P1179" s="133" t="s">
        <v>2417</v>
      </c>
      <c r="Q1179" s="133" t="s">
        <v>2417</v>
      </c>
      <c r="R1179" s="133" t="s">
        <v>2417</v>
      </c>
      <c r="S1179" s="133" t="s">
        <v>2417</v>
      </c>
      <c r="T1179" s="133" t="s">
        <v>2417</v>
      </c>
      <c r="U1179" s="133" t="s">
        <v>2417</v>
      </c>
      <c r="V1179" s="133" t="s">
        <v>2417</v>
      </c>
      <c r="W1179" s="133" t="s">
        <v>2417</v>
      </c>
      <c r="X1179" s="133" t="s">
        <v>2417</v>
      </c>
      <c r="Y1179" s="133" t="s">
        <v>2417</v>
      </c>
      <c r="Z1179" s="133" t="s">
        <v>2417</v>
      </c>
      <c r="AA1179" s="133" t="s">
        <v>2417</v>
      </c>
      <c r="AB1179" s="133" t="s">
        <v>2417</v>
      </c>
      <c r="AC1179" s="133" t="s">
        <v>2417</v>
      </c>
      <c r="AD1179" s="133" t="s">
        <v>2417</v>
      </c>
      <c r="AE1179" s="151"/>
    </row>
    <row r="1180" spans="1:31" ht="20.399999999999999" outlineLevel="2">
      <c r="A1180" s="68" t="s">
        <v>3040</v>
      </c>
      <c r="B1180" s="64" t="s">
        <v>3041</v>
      </c>
      <c r="C1180" s="456" t="s">
        <v>3030</v>
      </c>
      <c r="D1180" s="351"/>
      <c r="E1180" s="133" t="s">
        <v>2417</v>
      </c>
      <c r="F1180" s="133" t="s">
        <v>2417</v>
      </c>
      <c r="G1180" s="133" t="s">
        <v>2417</v>
      </c>
      <c r="H1180" s="133" t="s">
        <v>2440</v>
      </c>
      <c r="I1180" s="134" t="s">
        <v>2418</v>
      </c>
      <c r="J1180" s="133" t="s">
        <v>2417</v>
      </c>
      <c r="K1180" s="133" t="s">
        <v>2417</v>
      </c>
      <c r="L1180" s="133" t="s">
        <v>2417</v>
      </c>
      <c r="M1180" s="133" t="s">
        <v>2417</v>
      </c>
      <c r="N1180" s="133" t="s">
        <v>2417</v>
      </c>
      <c r="O1180" s="133" t="s">
        <v>2417</v>
      </c>
      <c r="P1180" s="133" t="s">
        <v>2417</v>
      </c>
      <c r="Q1180" s="133" t="s">
        <v>2417</v>
      </c>
      <c r="R1180" s="133" t="s">
        <v>2417</v>
      </c>
      <c r="S1180" s="133" t="s">
        <v>2417</v>
      </c>
      <c r="T1180" s="133" t="s">
        <v>2417</v>
      </c>
      <c r="U1180" s="133" t="s">
        <v>2417</v>
      </c>
      <c r="V1180" s="133" t="s">
        <v>2417</v>
      </c>
      <c r="W1180" s="133" t="s">
        <v>2417</v>
      </c>
      <c r="X1180" s="133" t="s">
        <v>2417</v>
      </c>
      <c r="Y1180" s="133" t="s">
        <v>2417</v>
      </c>
      <c r="Z1180" s="133" t="s">
        <v>2417</v>
      </c>
      <c r="AA1180" s="133" t="s">
        <v>2417</v>
      </c>
      <c r="AB1180" s="133" t="s">
        <v>2417</v>
      </c>
      <c r="AC1180" s="133" t="s">
        <v>2417</v>
      </c>
      <c r="AD1180" s="133" t="s">
        <v>2417</v>
      </c>
      <c r="AE1180" s="173"/>
    </row>
    <row r="1181" spans="1:31" ht="21" outlineLevel="2">
      <c r="A1181" s="68" t="s">
        <v>3042</v>
      </c>
      <c r="B1181" s="64" t="s">
        <v>3043</v>
      </c>
      <c r="C1181" s="392" t="s">
        <v>3039</v>
      </c>
      <c r="D1181" s="351"/>
      <c r="E1181" s="133" t="s">
        <v>2417</v>
      </c>
      <c r="F1181" s="133" t="s">
        <v>2417</v>
      </c>
      <c r="G1181" s="133" t="s">
        <v>2417</v>
      </c>
      <c r="H1181" s="133" t="s">
        <v>2440</v>
      </c>
      <c r="I1181" s="134" t="s">
        <v>2418</v>
      </c>
      <c r="J1181" s="133" t="s">
        <v>2417</v>
      </c>
      <c r="K1181" s="133" t="s">
        <v>2417</v>
      </c>
      <c r="L1181" s="133" t="s">
        <v>2417</v>
      </c>
      <c r="M1181" s="133" t="s">
        <v>2417</v>
      </c>
      <c r="N1181" s="133" t="s">
        <v>2417</v>
      </c>
      <c r="O1181" s="133" t="s">
        <v>2417</v>
      </c>
      <c r="P1181" s="133" t="s">
        <v>2417</v>
      </c>
      <c r="Q1181" s="133" t="s">
        <v>2417</v>
      </c>
      <c r="R1181" s="133" t="s">
        <v>2417</v>
      </c>
      <c r="S1181" s="133" t="s">
        <v>2417</v>
      </c>
      <c r="T1181" s="133" t="s">
        <v>2417</v>
      </c>
      <c r="U1181" s="133" t="s">
        <v>2417</v>
      </c>
      <c r="V1181" s="133" t="s">
        <v>2417</v>
      </c>
      <c r="W1181" s="133" t="s">
        <v>2417</v>
      </c>
      <c r="X1181" s="133" t="s">
        <v>2417</v>
      </c>
      <c r="Y1181" s="133" t="s">
        <v>2417</v>
      </c>
      <c r="Z1181" s="133" t="s">
        <v>2417</v>
      </c>
      <c r="AA1181" s="133" t="s">
        <v>2417</v>
      </c>
      <c r="AB1181" s="133" t="s">
        <v>2417</v>
      </c>
      <c r="AC1181" s="133" t="s">
        <v>2417</v>
      </c>
      <c r="AD1181" s="133" t="s">
        <v>2417</v>
      </c>
      <c r="AE1181" s="173"/>
    </row>
    <row r="1182" spans="1:31" ht="21" outlineLevel="2">
      <c r="A1182" s="68" t="s">
        <v>3044</v>
      </c>
      <c r="B1182" s="64" t="s">
        <v>3045</v>
      </c>
      <c r="C1182" s="392" t="s">
        <v>3046</v>
      </c>
      <c r="D1182" s="351"/>
      <c r="E1182" s="133" t="s">
        <v>2417</v>
      </c>
      <c r="F1182" s="133" t="s">
        <v>2417</v>
      </c>
      <c r="G1182" s="133" t="s">
        <v>2417</v>
      </c>
      <c r="H1182" s="133" t="s">
        <v>2440</v>
      </c>
      <c r="I1182" s="134" t="s">
        <v>2418</v>
      </c>
      <c r="J1182" s="133" t="s">
        <v>2417</v>
      </c>
      <c r="K1182" s="133" t="s">
        <v>2417</v>
      </c>
      <c r="L1182" s="133" t="s">
        <v>2417</v>
      </c>
      <c r="M1182" s="133" t="s">
        <v>2417</v>
      </c>
      <c r="N1182" s="133" t="s">
        <v>2417</v>
      </c>
      <c r="O1182" s="133" t="s">
        <v>2417</v>
      </c>
      <c r="P1182" s="133" t="s">
        <v>2417</v>
      </c>
      <c r="Q1182" s="133" t="s">
        <v>2417</v>
      </c>
      <c r="R1182" s="133" t="s">
        <v>2417</v>
      </c>
      <c r="S1182" s="133" t="s">
        <v>2417</v>
      </c>
      <c r="T1182" s="133" t="s">
        <v>2417</v>
      </c>
      <c r="U1182" s="133" t="s">
        <v>2417</v>
      </c>
      <c r="V1182" s="133" t="s">
        <v>2417</v>
      </c>
      <c r="W1182" s="133" t="s">
        <v>2417</v>
      </c>
      <c r="X1182" s="133" t="s">
        <v>2417</v>
      </c>
      <c r="Y1182" s="133" t="s">
        <v>2417</v>
      </c>
      <c r="Z1182" s="133" t="s">
        <v>2417</v>
      </c>
      <c r="AA1182" s="133" t="s">
        <v>2417</v>
      </c>
      <c r="AB1182" s="133" t="s">
        <v>2417</v>
      </c>
      <c r="AC1182" s="133" t="s">
        <v>2417</v>
      </c>
      <c r="AD1182" s="133" t="s">
        <v>2417</v>
      </c>
      <c r="AE1182" s="173"/>
    </row>
    <row r="1183" spans="1:31" ht="21" outlineLevel="2">
      <c r="A1183" s="68" t="s">
        <v>3047</v>
      </c>
      <c r="B1183" s="64" t="s">
        <v>3048</v>
      </c>
      <c r="C1183" s="392" t="s">
        <v>3049</v>
      </c>
      <c r="D1183" s="351"/>
      <c r="E1183" s="133" t="s">
        <v>2417</v>
      </c>
      <c r="F1183" s="133" t="s">
        <v>2417</v>
      </c>
      <c r="G1183" s="133" t="s">
        <v>2417</v>
      </c>
      <c r="H1183" s="133" t="s">
        <v>2440</v>
      </c>
      <c r="I1183" s="134" t="s">
        <v>2418</v>
      </c>
      <c r="J1183" s="133" t="s">
        <v>2417</v>
      </c>
      <c r="K1183" s="133" t="s">
        <v>2417</v>
      </c>
      <c r="L1183" s="133" t="s">
        <v>2417</v>
      </c>
      <c r="M1183" s="133" t="s">
        <v>2417</v>
      </c>
      <c r="N1183" s="133" t="s">
        <v>2417</v>
      </c>
      <c r="O1183" s="133" t="s">
        <v>2417</v>
      </c>
      <c r="P1183" s="133" t="s">
        <v>2417</v>
      </c>
      <c r="Q1183" s="133" t="s">
        <v>2417</v>
      </c>
      <c r="R1183" s="133" t="s">
        <v>2417</v>
      </c>
      <c r="S1183" s="133" t="s">
        <v>2417</v>
      </c>
      <c r="T1183" s="133" t="s">
        <v>2417</v>
      </c>
      <c r="U1183" s="133" t="s">
        <v>2417</v>
      </c>
      <c r="V1183" s="133" t="s">
        <v>2417</v>
      </c>
      <c r="W1183" s="133" t="s">
        <v>2417</v>
      </c>
      <c r="X1183" s="133" t="s">
        <v>2417</v>
      </c>
      <c r="Y1183" s="133" t="s">
        <v>2417</v>
      </c>
      <c r="Z1183" s="133" t="s">
        <v>2417</v>
      </c>
      <c r="AA1183" s="133" t="s">
        <v>2417</v>
      </c>
      <c r="AB1183" s="133" t="s">
        <v>2417</v>
      </c>
      <c r="AC1183" s="133" t="s">
        <v>2417</v>
      </c>
      <c r="AD1183" s="133" t="s">
        <v>2417</v>
      </c>
      <c r="AE1183" s="173"/>
    </row>
    <row r="1184" spans="1:31" ht="13.2" outlineLevel="1">
      <c r="A1184" s="438" t="s">
        <v>3050</v>
      </c>
      <c r="B1184" s="350"/>
      <c r="C1184" s="350"/>
      <c r="D1184" s="351"/>
      <c r="E1184" s="133" t="s">
        <v>2417</v>
      </c>
      <c r="F1184" s="133" t="s">
        <v>2417</v>
      </c>
      <c r="G1184" s="133" t="s">
        <v>2417</v>
      </c>
      <c r="H1184" s="133" t="s">
        <v>2417</v>
      </c>
      <c r="I1184" s="134" t="s">
        <v>2418</v>
      </c>
      <c r="J1184" s="133" t="s">
        <v>2417</v>
      </c>
      <c r="K1184" s="133" t="s">
        <v>2417</v>
      </c>
      <c r="L1184" s="133" t="s">
        <v>2417</v>
      </c>
      <c r="M1184" s="133" t="s">
        <v>2417</v>
      </c>
      <c r="N1184" s="133" t="s">
        <v>2417</v>
      </c>
      <c r="O1184" s="133" t="s">
        <v>2417</v>
      </c>
      <c r="P1184" s="133" t="s">
        <v>2417</v>
      </c>
      <c r="Q1184" s="133" t="s">
        <v>2417</v>
      </c>
      <c r="R1184" s="133" t="s">
        <v>2417</v>
      </c>
      <c r="S1184" s="133" t="s">
        <v>2417</v>
      </c>
      <c r="T1184" s="133" t="s">
        <v>2417</v>
      </c>
      <c r="U1184" s="133" t="s">
        <v>2417</v>
      </c>
      <c r="V1184" s="133" t="s">
        <v>2417</v>
      </c>
      <c r="W1184" s="133" t="s">
        <v>2417</v>
      </c>
      <c r="X1184" s="133" t="s">
        <v>2417</v>
      </c>
      <c r="Y1184" s="133" t="s">
        <v>2417</v>
      </c>
      <c r="Z1184" s="133" t="s">
        <v>2417</v>
      </c>
      <c r="AA1184" s="133" t="s">
        <v>2417</v>
      </c>
      <c r="AB1184" s="133" t="s">
        <v>2417</v>
      </c>
      <c r="AC1184" s="133" t="s">
        <v>2417</v>
      </c>
      <c r="AD1184" s="133" t="s">
        <v>2417</v>
      </c>
      <c r="AE1184" s="173"/>
    </row>
    <row r="1185" spans="1:31" ht="13.2" outlineLevel="2">
      <c r="A1185" s="68" t="s">
        <v>455</v>
      </c>
      <c r="B1185" s="64" t="s">
        <v>3051</v>
      </c>
      <c r="C1185" s="389" t="s">
        <v>3052</v>
      </c>
      <c r="D1185" s="351"/>
      <c r="E1185" s="133" t="s">
        <v>2417</v>
      </c>
      <c r="F1185" s="133" t="s">
        <v>2417</v>
      </c>
      <c r="G1185" s="133" t="s">
        <v>2417</v>
      </c>
      <c r="H1185" s="133" t="s">
        <v>2417</v>
      </c>
      <c r="I1185" s="134" t="s">
        <v>2418</v>
      </c>
      <c r="J1185" s="133" t="s">
        <v>2417</v>
      </c>
      <c r="K1185" s="133" t="s">
        <v>2417</v>
      </c>
      <c r="L1185" s="133" t="s">
        <v>2397</v>
      </c>
      <c r="M1185" s="133" t="s">
        <v>2417</v>
      </c>
      <c r="N1185" s="133" t="s">
        <v>2417</v>
      </c>
      <c r="O1185" s="133" t="s">
        <v>2417</v>
      </c>
      <c r="P1185" s="133" t="s">
        <v>2417</v>
      </c>
      <c r="Q1185" s="133" t="s">
        <v>2417</v>
      </c>
      <c r="R1185" s="133" t="s">
        <v>2417</v>
      </c>
      <c r="S1185" s="133" t="s">
        <v>2417</v>
      </c>
      <c r="T1185" s="133" t="s">
        <v>2417</v>
      </c>
      <c r="U1185" s="133" t="s">
        <v>2417</v>
      </c>
      <c r="V1185" s="133" t="s">
        <v>2417</v>
      </c>
      <c r="W1185" s="133" t="s">
        <v>2417</v>
      </c>
      <c r="X1185" s="133" t="s">
        <v>2417</v>
      </c>
      <c r="Y1185" s="133" t="s">
        <v>2417</v>
      </c>
      <c r="Z1185" s="133" t="s">
        <v>2417</v>
      </c>
      <c r="AA1185" s="133" t="s">
        <v>2417</v>
      </c>
      <c r="AB1185" s="133" t="s">
        <v>2417</v>
      </c>
      <c r="AC1185" s="133" t="s">
        <v>2417</v>
      </c>
      <c r="AD1185" s="133" t="s">
        <v>2417</v>
      </c>
      <c r="AE1185" s="123"/>
    </row>
    <row r="1186" spans="1:31" ht="13.2" outlineLevel="2">
      <c r="A1186" s="68" t="s">
        <v>3053</v>
      </c>
      <c r="B1186" s="64" t="s">
        <v>3054</v>
      </c>
      <c r="C1186" s="389" t="s">
        <v>3055</v>
      </c>
      <c r="D1186" s="351"/>
      <c r="E1186" s="133" t="s">
        <v>2417</v>
      </c>
      <c r="F1186" s="133" t="s">
        <v>2417</v>
      </c>
      <c r="G1186" s="133" t="s">
        <v>2417</v>
      </c>
      <c r="H1186" s="133" t="s">
        <v>2417</v>
      </c>
      <c r="I1186" s="134" t="s">
        <v>2418</v>
      </c>
      <c r="J1186" s="133" t="s">
        <v>2417</v>
      </c>
      <c r="K1186" s="133" t="s">
        <v>2417</v>
      </c>
      <c r="L1186" s="133" t="s">
        <v>2397</v>
      </c>
      <c r="M1186" s="133" t="s">
        <v>2417</v>
      </c>
      <c r="N1186" s="133" t="s">
        <v>2417</v>
      </c>
      <c r="O1186" s="133" t="s">
        <v>2417</v>
      </c>
      <c r="P1186" s="133" t="s">
        <v>2417</v>
      </c>
      <c r="Q1186" s="133" t="s">
        <v>2417</v>
      </c>
      <c r="R1186" s="133" t="s">
        <v>2417</v>
      </c>
      <c r="S1186" s="133" t="s">
        <v>2417</v>
      </c>
      <c r="T1186" s="133" t="s">
        <v>2417</v>
      </c>
      <c r="U1186" s="133" t="s">
        <v>2417</v>
      </c>
      <c r="V1186" s="133" t="s">
        <v>2417</v>
      </c>
      <c r="W1186" s="133" t="s">
        <v>2417</v>
      </c>
      <c r="X1186" s="133" t="s">
        <v>2417</v>
      </c>
      <c r="Y1186" s="133" t="s">
        <v>2417</v>
      </c>
      <c r="Z1186" s="133" t="s">
        <v>2417</v>
      </c>
      <c r="AA1186" s="133" t="s">
        <v>2417</v>
      </c>
      <c r="AB1186" s="133" t="s">
        <v>2417</v>
      </c>
      <c r="AC1186" s="133" t="s">
        <v>2417</v>
      </c>
      <c r="AD1186" s="133" t="s">
        <v>2417</v>
      </c>
      <c r="AE1186" s="123"/>
    </row>
    <row r="1187" spans="1:31" ht="21" outlineLevel="2">
      <c r="A1187" s="68" t="s">
        <v>3056</v>
      </c>
      <c r="B1187" s="64" t="s">
        <v>3057</v>
      </c>
      <c r="C1187" s="389" t="s">
        <v>3058</v>
      </c>
      <c r="D1187" s="351"/>
      <c r="E1187" s="133" t="s">
        <v>2417</v>
      </c>
      <c r="F1187" s="133" t="s">
        <v>2417</v>
      </c>
      <c r="G1187" s="133" t="s">
        <v>2417</v>
      </c>
      <c r="H1187" s="133" t="s">
        <v>2417</v>
      </c>
      <c r="I1187" s="134" t="s">
        <v>2418</v>
      </c>
      <c r="J1187" s="133" t="s">
        <v>2417</v>
      </c>
      <c r="K1187" s="133" t="s">
        <v>2417</v>
      </c>
      <c r="L1187" s="133" t="s">
        <v>2397</v>
      </c>
      <c r="M1187" s="133" t="s">
        <v>2417</v>
      </c>
      <c r="N1187" s="133" t="s">
        <v>2417</v>
      </c>
      <c r="O1187" s="133" t="s">
        <v>2417</v>
      </c>
      <c r="P1187" s="133" t="s">
        <v>2417</v>
      </c>
      <c r="Q1187" s="133" t="s">
        <v>2417</v>
      </c>
      <c r="R1187" s="133" t="s">
        <v>2417</v>
      </c>
      <c r="S1187" s="133" t="s">
        <v>2417</v>
      </c>
      <c r="T1187" s="133" t="s">
        <v>2417</v>
      </c>
      <c r="U1187" s="133" t="s">
        <v>2417</v>
      </c>
      <c r="V1187" s="133" t="s">
        <v>2417</v>
      </c>
      <c r="W1187" s="133" t="s">
        <v>2417</v>
      </c>
      <c r="X1187" s="133" t="s">
        <v>2417</v>
      </c>
      <c r="Y1187" s="133" t="s">
        <v>2417</v>
      </c>
      <c r="Z1187" s="133" t="s">
        <v>2417</v>
      </c>
      <c r="AA1187" s="133" t="s">
        <v>2417</v>
      </c>
      <c r="AB1187" s="133" t="s">
        <v>2417</v>
      </c>
      <c r="AC1187" s="133" t="s">
        <v>2417</v>
      </c>
      <c r="AD1187" s="133" t="s">
        <v>2417</v>
      </c>
      <c r="AE1187" s="123"/>
    </row>
    <row r="1188" spans="1:31" ht="13.2" outlineLevel="2">
      <c r="A1188" s="68" t="s">
        <v>3059</v>
      </c>
      <c r="B1188" s="64" t="s">
        <v>3060</v>
      </c>
      <c r="C1188" s="389" t="s">
        <v>3061</v>
      </c>
      <c r="D1188" s="351"/>
      <c r="E1188" s="133" t="s">
        <v>2417</v>
      </c>
      <c r="F1188" s="133" t="s">
        <v>2417</v>
      </c>
      <c r="G1188" s="133" t="s">
        <v>2417</v>
      </c>
      <c r="H1188" s="133" t="s">
        <v>2417</v>
      </c>
      <c r="I1188" s="134" t="s">
        <v>2418</v>
      </c>
      <c r="J1188" s="133" t="s">
        <v>2417</v>
      </c>
      <c r="K1188" s="133" t="s">
        <v>2417</v>
      </c>
      <c r="L1188" s="133" t="s">
        <v>2397</v>
      </c>
      <c r="M1188" s="133" t="s">
        <v>2417</v>
      </c>
      <c r="N1188" s="133" t="s">
        <v>2417</v>
      </c>
      <c r="O1188" s="133" t="s">
        <v>2417</v>
      </c>
      <c r="P1188" s="133" t="s">
        <v>2417</v>
      </c>
      <c r="Q1188" s="133" t="s">
        <v>2417</v>
      </c>
      <c r="R1188" s="133" t="s">
        <v>2417</v>
      </c>
      <c r="S1188" s="133" t="s">
        <v>2417</v>
      </c>
      <c r="T1188" s="133" t="s">
        <v>2417</v>
      </c>
      <c r="U1188" s="133" t="s">
        <v>2417</v>
      </c>
      <c r="V1188" s="133" t="s">
        <v>2417</v>
      </c>
      <c r="W1188" s="133" t="s">
        <v>2417</v>
      </c>
      <c r="X1188" s="133" t="s">
        <v>2417</v>
      </c>
      <c r="Y1188" s="133" t="s">
        <v>2417</v>
      </c>
      <c r="Z1188" s="133" t="s">
        <v>2417</v>
      </c>
      <c r="AA1188" s="133" t="s">
        <v>2417</v>
      </c>
      <c r="AB1188" s="133" t="s">
        <v>2417</v>
      </c>
      <c r="AC1188" s="133" t="s">
        <v>2417</v>
      </c>
      <c r="AD1188" s="133" t="s">
        <v>2417</v>
      </c>
      <c r="AE1188" s="123"/>
    </row>
    <row r="1189" spans="1:31" ht="13.2" outlineLevel="2">
      <c r="A1189" s="68" t="s">
        <v>3062</v>
      </c>
      <c r="B1189" s="64" t="s">
        <v>3063</v>
      </c>
      <c r="C1189" s="389" t="s">
        <v>3064</v>
      </c>
      <c r="D1189" s="351"/>
      <c r="E1189" s="133" t="s">
        <v>2417</v>
      </c>
      <c r="F1189" s="133" t="s">
        <v>2417</v>
      </c>
      <c r="G1189" s="133" t="s">
        <v>2417</v>
      </c>
      <c r="H1189" s="133" t="s">
        <v>2417</v>
      </c>
      <c r="I1189" s="134" t="s">
        <v>2418</v>
      </c>
      <c r="J1189" s="133" t="s">
        <v>2417</v>
      </c>
      <c r="K1189" s="133" t="s">
        <v>2417</v>
      </c>
      <c r="L1189" s="133" t="s">
        <v>2397</v>
      </c>
      <c r="M1189" s="133" t="s">
        <v>2417</v>
      </c>
      <c r="N1189" s="133" t="s">
        <v>2417</v>
      </c>
      <c r="O1189" s="133" t="s">
        <v>2417</v>
      </c>
      <c r="P1189" s="133" t="s">
        <v>2417</v>
      </c>
      <c r="Q1189" s="133" t="s">
        <v>2417</v>
      </c>
      <c r="R1189" s="133" t="s">
        <v>2417</v>
      </c>
      <c r="S1189" s="133" t="s">
        <v>2417</v>
      </c>
      <c r="T1189" s="133" t="s">
        <v>2417</v>
      </c>
      <c r="U1189" s="133" t="s">
        <v>2417</v>
      </c>
      <c r="V1189" s="133" t="s">
        <v>2417</v>
      </c>
      <c r="W1189" s="133" t="s">
        <v>2417</v>
      </c>
      <c r="X1189" s="133" t="s">
        <v>2417</v>
      </c>
      <c r="Y1189" s="133" t="s">
        <v>2417</v>
      </c>
      <c r="Z1189" s="133" t="s">
        <v>2417</v>
      </c>
      <c r="AA1189" s="133" t="s">
        <v>2417</v>
      </c>
      <c r="AB1189" s="133" t="s">
        <v>2417</v>
      </c>
      <c r="AC1189" s="133" t="s">
        <v>2417</v>
      </c>
      <c r="AD1189" s="133" t="s">
        <v>2417</v>
      </c>
      <c r="AE1189" s="123"/>
    </row>
    <row r="1190" spans="1:31" ht="13.2" outlineLevel="1">
      <c r="A1190" s="438" t="s">
        <v>3065</v>
      </c>
      <c r="B1190" s="350"/>
      <c r="C1190" s="350"/>
      <c r="D1190" s="351"/>
      <c r="E1190" s="133" t="s">
        <v>2417</v>
      </c>
      <c r="F1190" s="133" t="s">
        <v>2417</v>
      </c>
      <c r="G1190" s="133" t="s">
        <v>2417</v>
      </c>
      <c r="H1190" s="133" t="s">
        <v>2417</v>
      </c>
      <c r="I1190" s="134" t="s">
        <v>2418</v>
      </c>
      <c r="J1190" s="133" t="s">
        <v>2417</v>
      </c>
      <c r="K1190" s="133" t="s">
        <v>2417</v>
      </c>
      <c r="L1190" s="133" t="s">
        <v>2417</v>
      </c>
      <c r="M1190" s="133" t="s">
        <v>2417</v>
      </c>
      <c r="N1190" s="133" t="s">
        <v>2417</v>
      </c>
      <c r="O1190" s="133" t="s">
        <v>2417</v>
      </c>
      <c r="P1190" s="133" t="s">
        <v>2417</v>
      </c>
      <c r="Q1190" s="133" t="s">
        <v>2417</v>
      </c>
      <c r="R1190" s="133" t="s">
        <v>2417</v>
      </c>
      <c r="S1190" s="133" t="s">
        <v>2417</v>
      </c>
      <c r="T1190" s="133" t="s">
        <v>2417</v>
      </c>
      <c r="U1190" s="133" t="s">
        <v>2417</v>
      </c>
      <c r="V1190" s="133" t="s">
        <v>2417</v>
      </c>
      <c r="W1190" s="133" t="s">
        <v>2417</v>
      </c>
      <c r="X1190" s="133" t="s">
        <v>2417</v>
      </c>
      <c r="Y1190" s="133" t="s">
        <v>2417</v>
      </c>
      <c r="Z1190" s="133" t="s">
        <v>2417</v>
      </c>
      <c r="AA1190" s="133" t="s">
        <v>2417</v>
      </c>
      <c r="AB1190" s="133" t="s">
        <v>2417</v>
      </c>
      <c r="AC1190" s="133" t="s">
        <v>2417</v>
      </c>
      <c r="AD1190" s="133" t="s">
        <v>2417</v>
      </c>
      <c r="AE1190" s="173"/>
    </row>
    <row r="1191" spans="1:31" ht="13.2" outlineLevel="2">
      <c r="A1191" s="68" t="s">
        <v>3066</v>
      </c>
      <c r="B1191" s="64" t="s">
        <v>3067</v>
      </c>
      <c r="C1191" s="389" t="s">
        <v>3068</v>
      </c>
      <c r="D1191" s="351"/>
      <c r="E1191" s="133" t="s">
        <v>2417</v>
      </c>
      <c r="F1191" s="133" t="s">
        <v>2417</v>
      </c>
      <c r="G1191" s="133" t="s">
        <v>2417</v>
      </c>
      <c r="H1191" s="133" t="s">
        <v>2417</v>
      </c>
      <c r="I1191" s="134" t="s">
        <v>2418</v>
      </c>
      <c r="J1191" s="133" t="s">
        <v>2417</v>
      </c>
      <c r="K1191" s="133" t="s">
        <v>2417</v>
      </c>
      <c r="L1191" s="133" t="s">
        <v>2397</v>
      </c>
      <c r="M1191" s="133" t="s">
        <v>2417</v>
      </c>
      <c r="N1191" s="133" t="s">
        <v>2417</v>
      </c>
      <c r="O1191" s="133" t="s">
        <v>2417</v>
      </c>
      <c r="P1191" s="133" t="s">
        <v>2417</v>
      </c>
      <c r="Q1191" s="133" t="s">
        <v>2417</v>
      </c>
      <c r="R1191" s="133" t="s">
        <v>2417</v>
      </c>
      <c r="S1191" s="133" t="s">
        <v>2417</v>
      </c>
      <c r="T1191" s="133" t="s">
        <v>2417</v>
      </c>
      <c r="U1191" s="133" t="s">
        <v>2417</v>
      </c>
      <c r="V1191" s="133" t="s">
        <v>2417</v>
      </c>
      <c r="W1191" s="133" t="s">
        <v>2417</v>
      </c>
      <c r="X1191" s="133" t="s">
        <v>2417</v>
      </c>
      <c r="Y1191" s="133" t="s">
        <v>2417</v>
      </c>
      <c r="Z1191" s="133" t="s">
        <v>2417</v>
      </c>
      <c r="AA1191" s="133" t="s">
        <v>2417</v>
      </c>
      <c r="AB1191" s="133" t="s">
        <v>2417</v>
      </c>
      <c r="AC1191" s="133" t="s">
        <v>2417</v>
      </c>
      <c r="AD1191" s="133" t="s">
        <v>2417</v>
      </c>
      <c r="AE1191" s="123"/>
    </row>
    <row r="1192" spans="1:31" ht="13.2" outlineLevel="2">
      <c r="A1192" s="68" t="s">
        <v>3069</v>
      </c>
      <c r="B1192" s="64" t="s">
        <v>3070</v>
      </c>
      <c r="C1192" s="389" t="s">
        <v>3071</v>
      </c>
      <c r="D1192" s="351"/>
      <c r="E1192" s="133" t="s">
        <v>2417</v>
      </c>
      <c r="F1192" s="133" t="s">
        <v>2417</v>
      </c>
      <c r="G1192" s="133" t="s">
        <v>2417</v>
      </c>
      <c r="H1192" s="133" t="s">
        <v>2417</v>
      </c>
      <c r="I1192" s="134" t="s">
        <v>2418</v>
      </c>
      <c r="J1192" s="133" t="s">
        <v>2417</v>
      </c>
      <c r="K1192" s="133" t="s">
        <v>2417</v>
      </c>
      <c r="L1192" s="133" t="s">
        <v>2397</v>
      </c>
      <c r="M1192" s="133" t="s">
        <v>2417</v>
      </c>
      <c r="N1192" s="133" t="s">
        <v>2417</v>
      </c>
      <c r="O1192" s="133" t="s">
        <v>2417</v>
      </c>
      <c r="P1192" s="133" t="s">
        <v>2417</v>
      </c>
      <c r="Q1192" s="133" t="s">
        <v>2417</v>
      </c>
      <c r="R1192" s="133" t="s">
        <v>2417</v>
      </c>
      <c r="S1192" s="133" t="s">
        <v>2417</v>
      </c>
      <c r="T1192" s="133" t="s">
        <v>2417</v>
      </c>
      <c r="U1192" s="133" t="s">
        <v>2417</v>
      </c>
      <c r="V1192" s="133" t="s">
        <v>2417</v>
      </c>
      <c r="W1192" s="133" t="s">
        <v>2417</v>
      </c>
      <c r="X1192" s="133" t="s">
        <v>2417</v>
      </c>
      <c r="Y1192" s="133" t="s">
        <v>2417</v>
      </c>
      <c r="Z1192" s="133" t="s">
        <v>2417</v>
      </c>
      <c r="AA1192" s="133" t="s">
        <v>2417</v>
      </c>
      <c r="AB1192" s="133" t="s">
        <v>2417</v>
      </c>
      <c r="AC1192" s="133" t="s">
        <v>2417</v>
      </c>
      <c r="AD1192" s="133" t="s">
        <v>2417</v>
      </c>
      <c r="AE1192" s="123"/>
    </row>
    <row r="1193" spans="1:31" ht="13.2" outlineLevel="2">
      <c r="A1193" s="68" t="s">
        <v>3072</v>
      </c>
      <c r="B1193" s="64" t="s">
        <v>3073</v>
      </c>
      <c r="C1193" s="389" t="s">
        <v>3074</v>
      </c>
      <c r="D1193" s="351"/>
      <c r="E1193" s="133" t="s">
        <v>2417</v>
      </c>
      <c r="F1193" s="133" t="s">
        <v>2417</v>
      </c>
      <c r="G1193" s="133" t="s">
        <v>2417</v>
      </c>
      <c r="H1193" s="133" t="s">
        <v>2417</v>
      </c>
      <c r="I1193" s="134" t="s">
        <v>2418</v>
      </c>
      <c r="J1193" s="133" t="s">
        <v>2417</v>
      </c>
      <c r="K1193" s="133" t="s">
        <v>2417</v>
      </c>
      <c r="L1193" s="133" t="s">
        <v>2397</v>
      </c>
      <c r="M1193" s="133" t="s">
        <v>2417</v>
      </c>
      <c r="N1193" s="133" t="s">
        <v>2417</v>
      </c>
      <c r="O1193" s="133" t="s">
        <v>2417</v>
      </c>
      <c r="P1193" s="133" t="s">
        <v>2417</v>
      </c>
      <c r="Q1193" s="133" t="s">
        <v>2417</v>
      </c>
      <c r="R1193" s="133" t="s">
        <v>2417</v>
      </c>
      <c r="S1193" s="133" t="s">
        <v>2417</v>
      </c>
      <c r="T1193" s="133" t="s">
        <v>2417</v>
      </c>
      <c r="U1193" s="133" t="s">
        <v>2417</v>
      </c>
      <c r="V1193" s="133" t="s">
        <v>2417</v>
      </c>
      <c r="W1193" s="133" t="s">
        <v>2417</v>
      </c>
      <c r="X1193" s="133" t="s">
        <v>2417</v>
      </c>
      <c r="Y1193" s="133" t="s">
        <v>2417</v>
      </c>
      <c r="Z1193" s="133" t="s">
        <v>2417</v>
      </c>
      <c r="AA1193" s="133" t="s">
        <v>2417</v>
      </c>
      <c r="AB1193" s="133" t="s">
        <v>2417</v>
      </c>
      <c r="AC1193" s="133" t="s">
        <v>2417</v>
      </c>
      <c r="AD1193" s="133" t="s">
        <v>2417</v>
      </c>
      <c r="AE1193" s="123"/>
    </row>
    <row r="1194" spans="1:31" ht="13.2" outlineLevel="1">
      <c r="A1194" s="438" t="s">
        <v>3075</v>
      </c>
      <c r="B1194" s="350"/>
      <c r="C1194" s="350"/>
      <c r="D1194" s="351"/>
      <c r="E1194" s="133" t="s">
        <v>2417</v>
      </c>
      <c r="F1194" s="133" t="s">
        <v>2417</v>
      </c>
      <c r="G1194" s="133" t="s">
        <v>2417</v>
      </c>
      <c r="H1194" s="133" t="s">
        <v>2417</v>
      </c>
      <c r="I1194" s="134" t="s">
        <v>2418</v>
      </c>
      <c r="J1194" s="133" t="s">
        <v>2417</v>
      </c>
      <c r="K1194" s="133" t="s">
        <v>2417</v>
      </c>
      <c r="L1194" s="133" t="s">
        <v>2417</v>
      </c>
      <c r="M1194" s="133" t="s">
        <v>2417</v>
      </c>
      <c r="N1194" s="133" t="s">
        <v>2417</v>
      </c>
      <c r="O1194" s="133" t="s">
        <v>2417</v>
      </c>
      <c r="P1194" s="133" t="s">
        <v>2417</v>
      </c>
      <c r="Q1194" s="133" t="s">
        <v>2417</v>
      </c>
      <c r="R1194" s="133" t="s">
        <v>2417</v>
      </c>
      <c r="S1194" s="133" t="s">
        <v>2417</v>
      </c>
      <c r="T1194" s="133" t="s">
        <v>2417</v>
      </c>
      <c r="U1194" s="133" t="s">
        <v>2417</v>
      </c>
      <c r="V1194" s="133" t="s">
        <v>2417</v>
      </c>
      <c r="W1194" s="133" t="s">
        <v>2417</v>
      </c>
      <c r="X1194" s="133" t="s">
        <v>2417</v>
      </c>
      <c r="Y1194" s="133" t="s">
        <v>2417</v>
      </c>
      <c r="Z1194" s="133" t="s">
        <v>2417</v>
      </c>
      <c r="AA1194" s="133" t="s">
        <v>2417</v>
      </c>
      <c r="AB1194" s="133" t="s">
        <v>2417</v>
      </c>
      <c r="AC1194" s="133" t="s">
        <v>2417</v>
      </c>
      <c r="AD1194" s="133" t="s">
        <v>2417</v>
      </c>
      <c r="AE1194" s="173"/>
    </row>
    <row r="1195" spans="1:31" ht="13.2" outlineLevel="2">
      <c r="A1195" s="68" t="s">
        <v>3076</v>
      </c>
      <c r="B1195" s="64" t="s">
        <v>3077</v>
      </c>
      <c r="C1195" s="457" t="s">
        <v>3078</v>
      </c>
      <c r="D1195" s="351"/>
      <c r="E1195" s="133" t="s">
        <v>2417</v>
      </c>
      <c r="F1195" s="133" t="s">
        <v>2417</v>
      </c>
      <c r="G1195" s="133" t="s">
        <v>2417</v>
      </c>
      <c r="H1195" s="133" t="s">
        <v>2417</v>
      </c>
      <c r="I1195" s="134" t="s">
        <v>2418</v>
      </c>
      <c r="J1195" s="133" t="s">
        <v>2417</v>
      </c>
      <c r="K1195" s="133" t="s">
        <v>2417</v>
      </c>
      <c r="L1195" s="133" t="s">
        <v>2397</v>
      </c>
      <c r="M1195" s="133" t="s">
        <v>2417</v>
      </c>
      <c r="N1195" s="133" t="s">
        <v>2417</v>
      </c>
      <c r="O1195" s="133" t="s">
        <v>2417</v>
      </c>
      <c r="P1195" s="133" t="s">
        <v>2417</v>
      </c>
      <c r="Q1195" s="133" t="s">
        <v>2417</v>
      </c>
      <c r="R1195" s="133" t="s">
        <v>2417</v>
      </c>
      <c r="S1195" s="133" t="s">
        <v>2417</v>
      </c>
      <c r="T1195" s="133" t="s">
        <v>2417</v>
      </c>
      <c r="U1195" s="133" t="s">
        <v>2417</v>
      </c>
      <c r="V1195" s="133" t="s">
        <v>2417</v>
      </c>
      <c r="W1195" s="133" t="s">
        <v>2417</v>
      </c>
      <c r="X1195" s="133" t="s">
        <v>2417</v>
      </c>
      <c r="Y1195" s="133" t="s">
        <v>2417</v>
      </c>
      <c r="Z1195" s="133" t="s">
        <v>2417</v>
      </c>
      <c r="AA1195" s="133" t="s">
        <v>2417</v>
      </c>
      <c r="AB1195" s="133" t="s">
        <v>2417</v>
      </c>
      <c r="AC1195" s="133" t="s">
        <v>2417</v>
      </c>
      <c r="AD1195" s="133" t="s">
        <v>2417</v>
      </c>
      <c r="AE1195" s="208"/>
    </row>
    <row r="1196" spans="1:31" ht="13.2" outlineLevel="2">
      <c r="A1196" s="68" t="s">
        <v>3079</v>
      </c>
      <c r="B1196" s="64" t="s">
        <v>3080</v>
      </c>
      <c r="C1196" s="456" t="s">
        <v>3081</v>
      </c>
      <c r="D1196" s="351"/>
      <c r="E1196" s="133" t="s">
        <v>2417</v>
      </c>
      <c r="F1196" s="133" t="s">
        <v>2417</v>
      </c>
      <c r="G1196" s="133" t="s">
        <v>2417</v>
      </c>
      <c r="H1196" s="133" t="s">
        <v>2417</v>
      </c>
      <c r="I1196" s="134" t="s">
        <v>2418</v>
      </c>
      <c r="J1196" s="133" t="s">
        <v>2417</v>
      </c>
      <c r="K1196" s="133" t="s">
        <v>2417</v>
      </c>
      <c r="L1196" s="133" t="s">
        <v>2397</v>
      </c>
      <c r="M1196" s="133" t="s">
        <v>2417</v>
      </c>
      <c r="N1196" s="133" t="s">
        <v>2417</v>
      </c>
      <c r="O1196" s="133" t="s">
        <v>2417</v>
      </c>
      <c r="P1196" s="133" t="s">
        <v>2417</v>
      </c>
      <c r="Q1196" s="133" t="s">
        <v>2417</v>
      </c>
      <c r="R1196" s="133" t="s">
        <v>2417</v>
      </c>
      <c r="S1196" s="133" t="s">
        <v>2417</v>
      </c>
      <c r="T1196" s="133" t="s">
        <v>2417</v>
      </c>
      <c r="U1196" s="133" t="s">
        <v>2417</v>
      </c>
      <c r="V1196" s="133" t="s">
        <v>2417</v>
      </c>
      <c r="W1196" s="133" t="s">
        <v>2417</v>
      </c>
      <c r="X1196" s="133" t="s">
        <v>2417</v>
      </c>
      <c r="Y1196" s="133" t="s">
        <v>2417</v>
      </c>
      <c r="Z1196" s="133" t="s">
        <v>2417</v>
      </c>
      <c r="AA1196" s="133" t="s">
        <v>2417</v>
      </c>
      <c r="AB1196" s="133" t="s">
        <v>2417</v>
      </c>
      <c r="AC1196" s="133" t="s">
        <v>2417</v>
      </c>
      <c r="AD1196" s="133" t="s">
        <v>2417</v>
      </c>
      <c r="AE1196" s="209"/>
    </row>
    <row r="1197" spans="1:31" ht="13.2" outlineLevel="2">
      <c r="A1197" s="68" t="s">
        <v>3082</v>
      </c>
      <c r="B1197" s="64" t="s">
        <v>3083</v>
      </c>
      <c r="C1197" s="456" t="s">
        <v>3084</v>
      </c>
      <c r="D1197" s="351"/>
      <c r="E1197" s="133" t="s">
        <v>2417</v>
      </c>
      <c r="F1197" s="133" t="s">
        <v>2417</v>
      </c>
      <c r="G1197" s="133" t="s">
        <v>2417</v>
      </c>
      <c r="H1197" s="133" t="s">
        <v>2417</v>
      </c>
      <c r="I1197" s="134" t="s">
        <v>2418</v>
      </c>
      <c r="J1197" s="133" t="s">
        <v>2417</v>
      </c>
      <c r="K1197" s="133" t="s">
        <v>2417</v>
      </c>
      <c r="L1197" s="133" t="s">
        <v>2397</v>
      </c>
      <c r="M1197" s="133" t="s">
        <v>2417</v>
      </c>
      <c r="N1197" s="133" t="s">
        <v>2417</v>
      </c>
      <c r="O1197" s="133" t="s">
        <v>2417</v>
      </c>
      <c r="P1197" s="133" t="s">
        <v>2417</v>
      </c>
      <c r="Q1197" s="133" t="s">
        <v>2417</v>
      </c>
      <c r="R1197" s="133" t="s">
        <v>2417</v>
      </c>
      <c r="S1197" s="133" t="s">
        <v>2417</v>
      </c>
      <c r="T1197" s="133" t="s">
        <v>2417</v>
      </c>
      <c r="U1197" s="133" t="s">
        <v>2417</v>
      </c>
      <c r="V1197" s="133" t="s">
        <v>2417</v>
      </c>
      <c r="W1197" s="133" t="s">
        <v>2417</v>
      </c>
      <c r="X1197" s="133" t="s">
        <v>2417</v>
      </c>
      <c r="Y1197" s="133" t="s">
        <v>2417</v>
      </c>
      <c r="Z1197" s="133" t="s">
        <v>2417</v>
      </c>
      <c r="AA1197" s="133" t="s">
        <v>2417</v>
      </c>
      <c r="AB1197" s="133" t="s">
        <v>2417</v>
      </c>
      <c r="AC1197" s="133" t="s">
        <v>2417</v>
      </c>
      <c r="AD1197" s="133" t="s">
        <v>2417</v>
      </c>
      <c r="AE1197" s="209"/>
    </row>
    <row r="1198" spans="1:31" ht="13.2" outlineLevel="2">
      <c r="A1198" s="68" t="s">
        <v>3085</v>
      </c>
      <c r="B1198" s="64" t="s">
        <v>854</v>
      </c>
      <c r="C1198" s="456" t="s">
        <v>3086</v>
      </c>
      <c r="D1198" s="351"/>
      <c r="E1198" s="133" t="s">
        <v>2417</v>
      </c>
      <c r="F1198" s="133" t="s">
        <v>2417</v>
      </c>
      <c r="G1198" s="133" t="s">
        <v>2417</v>
      </c>
      <c r="H1198" s="133" t="s">
        <v>2417</v>
      </c>
      <c r="I1198" s="134" t="s">
        <v>2418</v>
      </c>
      <c r="J1198" s="133" t="s">
        <v>2417</v>
      </c>
      <c r="K1198" s="133" t="s">
        <v>2417</v>
      </c>
      <c r="L1198" s="133" t="s">
        <v>2397</v>
      </c>
      <c r="M1198" s="133" t="s">
        <v>2417</v>
      </c>
      <c r="N1198" s="133" t="s">
        <v>2417</v>
      </c>
      <c r="O1198" s="133" t="s">
        <v>2417</v>
      </c>
      <c r="P1198" s="133" t="s">
        <v>2417</v>
      </c>
      <c r="Q1198" s="133" t="s">
        <v>2417</v>
      </c>
      <c r="R1198" s="133" t="s">
        <v>2417</v>
      </c>
      <c r="S1198" s="133" t="s">
        <v>2417</v>
      </c>
      <c r="T1198" s="133" t="s">
        <v>2417</v>
      </c>
      <c r="U1198" s="133" t="s">
        <v>2417</v>
      </c>
      <c r="V1198" s="133" t="s">
        <v>2417</v>
      </c>
      <c r="W1198" s="133" t="s">
        <v>2417</v>
      </c>
      <c r="X1198" s="133" t="s">
        <v>2417</v>
      </c>
      <c r="Y1198" s="133" t="s">
        <v>2417</v>
      </c>
      <c r="Z1198" s="133" t="s">
        <v>2417</v>
      </c>
      <c r="AA1198" s="133" t="s">
        <v>2417</v>
      </c>
      <c r="AB1198" s="133" t="s">
        <v>2417</v>
      </c>
      <c r="AC1198" s="133" t="s">
        <v>2417</v>
      </c>
      <c r="AD1198" s="133" t="s">
        <v>2417</v>
      </c>
      <c r="AE1198" s="209"/>
    </row>
    <row r="1199" spans="1:31" ht="13.2" outlineLevel="2">
      <c r="A1199" s="68" t="s">
        <v>3087</v>
      </c>
      <c r="B1199" s="64" t="s">
        <v>3088</v>
      </c>
      <c r="C1199" s="456" t="s">
        <v>3089</v>
      </c>
      <c r="D1199" s="351"/>
      <c r="E1199" s="133" t="s">
        <v>2417</v>
      </c>
      <c r="F1199" s="133" t="s">
        <v>2417</v>
      </c>
      <c r="G1199" s="133" t="s">
        <v>2417</v>
      </c>
      <c r="H1199" s="133" t="s">
        <v>2417</v>
      </c>
      <c r="I1199" s="134" t="s">
        <v>2418</v>
      </c>
      <c r="J1199" s="133" t="s">
        <v>2417</v>
      </c>
      <c r="K1199" s="133" t="s">
        <v>2417</v>
      </c>
      <c r="L1199" s="133" t="s">
        <v>2397</v>
      </c>
      <c r="M1199" s="133" t="s">
        <v>2417</v>
      </c>
      <c r="N1199" s="133" t="s">
        <v>2417</v>
      </c>
      <c r="O1199" s="133" t="s">
        <v>2417</v>
      </c>
      <c r="P1199" s="133" t="s">
        <v>2417</v>
      </c>
      <c r="Q1199" s="133" t="s">
        <v>2417</v>
      </c>
      <c r="R1199" s="133" t="s">
        <v>2417</v>
      </c>
      <c r="S1199" s="133" t="s">
        <v>2417</v>
      </c>
      <c r="T1199" s="133" t="s">
        <v>2417</v>
      </c>
      <c r="U1199" s="133" t="s">
        <v>2417</v>
      </c>
      <c r="V1199" s="133" t="s">
        <v>2417</v>
      </c>
      <c r="W1199" s="133" t="s">
        <v>2417</v>
      </c>
      <c r="X1199" s="133" t="s">
        <v>2417</v>
      </c>
      <c r="Y1199" s="133" t="s">
        <v>2417</v>
      </c>
      <c r="Z1199" s="133" t="s">
        <v>2417</v>
      </c>
      <c r="AA1199" s="133" t="s">
        <v>2417</v>
      </c>
      <c r="AB1199" s="133" t="s">
        <v>2417</v>
      </c>
      <c r="AC1199" s="133" t="s">
        <v>2417</v>
      </c>
      <c r="AD1199" s="133" t="s">
        <v>2417</v>
      </c>
      <c r="AE1199" s="209"/>
    </row>
    <row r="1200" spans="1:31" ht="13.2" outlineLevel="1">
      <c r="A1200" s="438" t="s">
        <v>3090</v>
      </c>
      <c r="B1200" s="350"/>
      <c r="C1200" s="350"/>
      <c r="D1200" s="351"/>
      <c r="E1200" s="133" t="s">
        <v>2417</v>
      </c>
      <c r="F1200" s="133" t="s">
        <v>2417</v>
      </c>
      <c r="G1200" s="133" t="s">
        <v>2417</v>
      </c>
      <c r="H1200" s="133" t="s">
        <v>2417</v>
      </c>
      <c r="I1200" s="134" t="s">
        <v>2418</v>
      </c>
      <c r="J1200" s="133" t="s">
        <v>2417</v>
      </c>
      <c r="K1200" s="133" t="s">
        <v>2417</v>
      </c>
      <c r="L1200" s="133" t="s">
        <v>2417</v>
      </c>
      <c r="M1200" s="133" t="s">
        <v>2417</v>
      </c>
      <c r="N1200" s="133" t="s">
        <v>2417</v>
      </c>
      <c r="O1200" s="133" t="s">
        <v>2417</v>
      </c>
      <c r="P1200" s="133" t="s">
        <v>2417</v>
      </c>
      <c r="Q1200" s="133" t="s">
        <v>2417</v>
      </c>
      <c r="R1200" s="133" t="s">
        <v>2417</v>
      </c>
      <c r="S1200" s="133" t="s">
        <v>2417</v>
      </c>
      <c r="T1200" s="133" t="s">
        <v>2417</v>
      </c>
      <c r="U1200" s="133" t="s">
        <v>2417</v>
      </c>
      <c r="V1200" s="133" t="s">
        <v>2417</v>
      </c>
      <c r="W1200" s="133" t="s">
        <v>2417</v>
      </c>
      <c r="X1200" s="133" t="s">
        <v>2417</v>
      </c>
      <c r="Y1200" s="133" t="s">
        <v>2417</v>
      </c>
      <c r="Z1200" s="133" t="s">
        <v>2417</v>
      </c>
      <c r="AA1200" s="133" t="s">
        <v>2417</v>
      </c>
      <c r="AB1200" s="133" t="s">
        <v>2417</v>
      </c>
      <c r="AC1200" s="133" t="s">
        <v>2417</v>
      </c>
      <c r="AD1200" s="133" t="s">
        <v>2417</v>
      </c>
      <c r="AE1200" s="173"/>
    </row>
    <row r="1201" spans="1:31" ht="13.2" outlineLevel="2">
      <c r="A1201" s="68" t="s">
        <v>3091</v>
      </c>
      <c r="B1201" s="64" t="s">
        <v>3092</v>
      </c>
      <c r="C1201" s="456" t="s">
        <v>3093</v>
      </c>
      <c r="D1201" s="351"/>
      <c r="E1201" s="133" t="s">
        <v>2417</v>
      </c>
      <c r="F1201" s="133" t="s">
        <v>2417</v>
      </c>
      <c r="G1201" s="133" t="s">
        <v>2417</v>
      </c>
      <c r="H1201" s="133" t="s">
        <v>2417</v>
      </c>
      <c r="I1201" s="134" t="s">
        <v>2418</v>
      </c>
      <c r="J1201" s="133" t="s">
        <v>2417</v>
      </c>
      <c r="K1201" s="133" t="s">
        <v>2417</v>
      </c>
      <c r="L1201" s="133" t="s">
        <v>2397</v>
      </c>
      <c r="M1201" s="133" t="s">
        <v>2417</v>
      </c>
      <c r="N1201" s="133" t="s">
        <v>2417</v>
      </c>
      <c r="O1201" s="133" t="s">
        <v>2417</v>
      </c>
      <c r="P1201" s="133" t="s">
        <v>2417</v>
      </c>
      <c r="Q1201" s="133" t="s">
        <v>2417</v>
      </c>
      <c r="R1201" s="133" t="s">
        <v>2417</v>
      </c>
      <c r="S1201" s="133" t="s">
        <v>2417</v>
      </c>
      <c r="T1201" s="133" t="s">
        <v>2417</v>
      </c>
      <c r="U1201" s="133" t="s">
        <v>2417</v>
      </c>
      <c r="V1201" s="133" t="s">
        <v>2417</v>
      </c>
      <c r="W1201" s="133" t="s">
        <v>2417</v>
      </c>
      <c r="X1201" s="133" t="s">
        <v>2417</v>
      </c>
      <c r="Y1201" s="133" t="s">
        <v>2417</v>
      </c>
      <c r="Z1201" s="133" t="s">
        <v>2417</v>
      </c>
      <c r="AA1201" s="133" t="s">
        <v>2417</v>
      </c>
      <c r="AB1201" s="133" t="s">
        <v>2417</v>
      </c>
      <c r="AC1201" s="133" t="s">
        <v>2417</v>
      </c>
      <c r="AD1201" s="133" t="s">
        <v>2417</v>
      </c>
      <c r="AE1201" s="209"/>
    </row>
    <row r="1202" spans="1:31" ht="13.2" outlineLevel="2">
      <c r="A1202" s="68" t="s">
        <v>3094</v>
      </c>
      <c r="B1202" s="64" t="s">
        <v>3095</v>
      </c>
      <c r="C1202" s="456" t="s">
        <v>3096</v>
      </c>
      <c r="D1202" s="351"/>
      <c r="E1202" s="133" t="s">
        <v>2417</v>
      </c>
      <c r="F1202" s="133" t="s">
        <v>2417</v>
      </c>
      <c r="G1202" s="133" t="s">
        <v>2417</v>
      </c>
      <c r="H1202" s="133" t="s">
        <v>2417</v>
      </c>
      <c r="I1202" s="134" t="s">
        <v>2418</v>
      </c>
      <c r="J1202" s="133" t="s">
        <v>2417</v>
      </c>
      <c r="K1202" s="133" t="s">
        <v>2417</v>
      </c>
      <c r="L1202" s="133" t="s">
        <v>2397</v>
      </c>
      <c r="M1202" s="133" t="s">
        <v>2417</v>
      </c>
      <c r="N1202" s="133" t="s">
        <v>2417</v>
      </c>
      <c r="O1202" s="133" t="s">
        <v>2417</v>
      </c>
      <c r="P1202" s="133" t="s">
        <v>2417</v>
      </c>
      <c r="Q1202" s="133" t="s">
        <v>2417</v>
      </c>
      <c r="R1202" s="133" t="s">
        <v>2417</v>
      </c>
      <c r="S1202" s="133" t="s">
        <v>2417</v>
      </c>
      <c r="T1202" s="133" t="s">
        <v>2417</v>
      </c>
      <c r="U1202" s="133" t="s">
        <v>2417</v>
      </c>
      <c r="V1202" s="133" t="s">
        <v>2417</v>
      </c>
      <c r="W1202" s="133" t="s">
        <v>2417</v>
      </c>
      <c r="X1202" s="133" t="s">
        <v>2417</v>
      </c>
      <c r="Y1202" s="133" t="s">
        <v>2417</v>
      </c>
      <c r="Z1202" s="133" t="s">
        <v>2417</v>
      </c>
      <c r="AA1202" s="133" t="s">
        <v>2417</v>
      </c>
      <c r="AB1202" s="133" t="s">
        <v>2417</v>
      </c>
      <c r="AC1202" s="133" t="s">
        <v>2417</v>
      </c>
      <c r="AD1202" s="133" t="s">
        <v>2417</v>
      </c>
      <c r="AE1202" s="209"/>
    </row>
    <row r="1203" spans="1:31" ht="13.2" outlineLevel="2">
      <c r="A1203" s="68" t="s">
        <v>3097</v>
      </c>
      <c r="B1203" s="64" t="s">
        <v>3098</v>
      </c>
      <c r="C1203" s="458" t="s">
        <v>3099</v>
      </c>
      <c r="D1203" s="351"/>
      <c r="E1203" s="133" t="s">
        <v>2417</v>
      </c>
      <c r="F1203" s="133" t="s">
        <v>2417</v>
      </c>
      <c r="G1203" s="133" t="s">
        <v>2417</v>
      </c>
      <c r="H1203" s="133" t="s">
        <v>2417</v>
      </c>
      <c r="I1203" s="134" t="s">
        <v>2418</v>
      </c>
      <c r="J1203" s="133" t="s">
        <v>2417</v>
      </c>
      <c r="K1203" s="133" t="s">
        <v>2417</v>
      </c>
      <c r="L1203" s="133" t="s">
        <v>2397</v>
      </c>
      <c r="M1203" s="133" t="s">
        <v>2417</v>
      </c>
      <c r="N1203" s="133" t="s">
        <v>2417</v>
      </c>
      <c r="O1203" s="133" t="s">
        <v>2417</v>
      </c>
      <c r="P1203" s="133" t="s">
        <v>2417</v>
      </c>
      <c r="Q1203" s="133" t="s">
        <v>2417</v>
      </c>
      <c r="R1203" s="133" t="s">
        <v>2417</v>
      </c>
      <c r="S1203" s="133" t="s">
        <v>2417</v>
      </c>
      <c r="T1203" s="133" t="s">
        <v>2417</v>
      </c>
      <c r="U1203" s="133" t="s">
        <v>2417</v>
      </c>
      <c r="V1203" s="133" t="s">
        <v>2417</v>
      </c>
      <c r="W1203" s="133" t="s">
        <v>2417</v>
      </c>
      <c r="X1203" s="133" t="s">
        <v>2417</v>
      </c>
      <c r="Y1203" s="133" t="s">
        <v>2417</v>
      </c>
      <c r="Z1203" s="133" t="s">
        <v>2417</v>
      </c>
      <c r="AA1203" s="133" t="s">
        <v>2417</v>
      </c>
      <c r="AB1203" s="133" t="s">
        <v>2417</v>
      </c>
      <c r="AC1203" s="133" t="s">
        <v>2417</v>
      </c>
      <c r="AD1203" s="133" t="s">
        <v>2417</v>
      </c>
      <c r="AE1203" s="210"/>
    </row>
    <row r="1204" spans="1:31" ht="13.2">
      <c r="A1204" s="433" t="s">
        <v>2361</v>
      </c>
      <c r="B1204" s="350"/>
      <c r="C1204" s="350"/>
      <c r="D1204" s="351"/>
      <c r="E1204" s="133" t="s">
        <v>2417</v>
      </c>
      <c r="F1204" s="133" t="s">
        <v>2417</v>
      </c>
      <c r="G1204" s="133" t="s">
        <v>2417</v>
      </c>
      <c r="H1204" s="133" t="s">
        <v>2417</v>
      </c>
      <c r="I1204" s="133" t="s">
        <v>2417</v>
      </c>
      <c r="J1204" s="133" t="s">
        <v>2417</v>
      </c>
      <c r="K1204" s="133" t="s">
        <v>2417</v>
      </c>
      <c r="L1204" s="133" t="s">
        <v>2417</v>
      </c>
      <c r="M1204" s="133" t="s">
        <v>2417</v>
      </c>
      <c r="N1204" s="133" t="s">
        <v>2417</v>
      </c>
      <c r="O1204" s="133" t="s">
        <v>2417</v>
      </c>
      <c r="P1204" s="133" t="s">
        <v>2417</v>
      </c>
      <c r="Q1204" s="133" t="s">
        <v>2417</v>
      </c>
      <c r="R1204" s="133" t="s">
        <v>2417</v>
      </c>
      <c r="S1204" s="133" t="s">
        <v>2417</v>
      </c>
      <c r="T1204" s="133" t="s">
        <v>2417</v>
      </c>
      <c r="U1204" s="133" t="s">
        <v>2417</v>
      </c>
      <c r="V1204" s="133" t="s">
        <v>2417</v>
      </c>
      <c r="W1204" s="133" t="s">
        <v>2417</v>
      </c>
      <c r="X1204" s="133" t="s">
        <v>2417</v>
      </c>
      <c r="Y1204" s="133" t="s">
        <v>2417</v>
      </c>
      <c r="Z1204" s="133" t="s">
        <v>2417</v>
      </c>
      <c r="AA1204" s="133" t="s">
        <v>2417</v>
      </c>
      <c r="AB1204" s="133" t="s">
        <v>2417</v>
      </c>
      <c r="AC1204" s="133" t="s">
        <v>2417</v>
      </c>
      <c r="AD1204" s="133" t="s">
        <v>2417</v>
      </c>
      <c r="AE1204" s="172"/>
    </row>
    <row r="1205" spans="1:31" ht="13.2" outlineLevel="1">
      <c r="A1205" s="68" t="s">
        <v>2362</v>
      </c>
      <c r="B1205" s="64"/>
      <c r="C1205" s="360" t="s">
        <v>2363</v>
      </c>
      <c r="D1205" s="351"/>
      <c r="E1205" s="133" t="s">
        <v>2417</v>
      </c>
      <c r="F1205" s="133" t="s">
        <v>2417</v>
      </c>
      <c r="G1205" s="133" t="s">
        <v>2417</v>
      </c>
      <c r="H1205" s="133" t="s">
        <v>2417</v>
      </c>
      <c r="I1205" s="133" t="s">
        <v>2417</v>
      </c>
      <c r="J1205" s="133" t="s">
        <v>2417</v>
      </c>
      <c r="K1205" s="133" t="s">
        <v>2417</v>
      </c>
      <c r="L1205" s="133" t="s">
        <v>2417</v>
      </c>
      <c r="M1205" s="133" t="s">
        <v>2417</v>
      </c>
      <c r="N1205" s="133" t="s">
        <v>2417</v>
      </c>
      <c r="O1205" s="133" t="s">
        <v>2417</v>
      </c>
      <c r="P1205" s="133" t="s">
        <v>2417</v>
      </c>
      <c r="Q1205" s="133" t="s">
        <v>2417</v>
      </c>
      <c r="R1205" s="133" t="s">
        <v>2417</v>
      </c>
      <c r="S1205" s="133" t="s">
        <v>2417</v>
      </c>
      <c r="T1205" s="133" t="s">
        <v>2417</v>
      </c>
      <c r="U1205" s="133" t="s">
        <v>2417</v>
      </c>
      <c r="V1205" s="133" t="s">
        <v>2417</v>
      </c>
      <c r="W1205" s="133" t="s">
        <v>2417</v>
      </c>
      <c r="X1205" s="133" t="s">
        <v>2417</v>
      </c>
      <c r="Y1205" s="133" t="s">
        <v>2417</v>
      </c>
      <c r="Z1205" s="133" t="s">
        <v>2417</v>
      </c>
      <c r="AA1205" s="133" t="s">
        <v>2417</v>
      </c>
      <c r="AB1205" s="133" t="s">
        <v>2417</v>
      </c>
      <c r="AC1205" s="133" t="s">
        <v>2417</v>
      </c>
      <c r="AD1205" s="133" t="s">
        <v>2417</v>
      </c>
      <c r="AE1205" s="123"/>
    </row>
    <row r="1206" spans="1:31" ht="13.2" outlineLevel="1">
      <c r="A1206" s="386" t="s">
        <v>2364</v>
      </c>
      <c r="B1206" s="350"/>
      <c r="C1206" s="350"/>
      <c r="D1206" s="351"/>
      <c r="E1206" s="133" t="s">
        <v>2417</v>
      </c>
      <c r="F1206" s="133" t="s">
        <v>2417</v>
      </c>
      <c r="G1206" s="133" t="s">
        <v>2417</v>
      </c>
      <c r="H1206" s="133" t="s">
        <v>2417</v>
      </c>
      <c r="I1206" s="133" t="s">
        <v>2417</v>
      </c>
      <c r="J1206" s="133" t="s">
        <v>2417</v>
      </c>
      <c r="K1206" s="133" t="s">
        <v>2417</v>
      </c>
      <c r="L1206" s="133" t="s">
        <v>2417</v>
      </c>
      <c r="M1206" s="133" t="s">
        <v>2417</v>
      </c>
      <c r="N1206" s="133" t="s">
        <v>2417</v>
      </c>
      <c r="O1206" s="133" t="s">
        <v>2417</v>
      </c>
      <c r="P1206" s="133" t="s">
        <v>2417</v>
      </c>
      <c r="Q1206" s="133" t="s">
        <v>2417</v>
      </c>
      <c r="R1206" s="133" t="s">
        <v>2417</v>
      </c>
      <c r="S1206" s="133" t="s">
        <v>2417</v>
      </c>
      <c r="T1206" s="133" t="s">
        <v>2417</v>
      </c>
      <c r="U1206" s="133" t="s">
        <v>2417</v>
      </c>
      <c r="V1206" s="133" t="s">
        <v>2417</v>
      </c>
      <c r="W1206" s="133" t="s">
        <v>2417</v>
      </c>
      <c r="X1206" s="133" t="s">
        <v>2417</v>
      </c>
      <c r="Y1206" s="133" t="s">
        <v>2417</v>
      </c>
      <c r="Z1206" s="133" t="s">
        <v>2417</v>
      </c>
      <c r="AA1206" s="133" t="s">
        <v>2417</v>
      </c>
      <c r="AB1206" s="133" t="s">
        <v>2417</v>
      </c>
      <c r="AC1206" s="133" t="s">
        <v>2417</v>
      </c>
      <c r="AD1206" s="133" t="s">
        <v>2417</v>
      </c>
      <c r="AE1206" s="139"/>
    </row>
    <row r="1207" spans="1:31" ht="13.2" outlineLevel="1">
      <c r="A1207" s="68" t="s">
        <v>2365</v>
      </c>
      <c r="B1207" s="64" t="s">
        <v>903</v>
      </c>
      <c r="C1207" s="360" t="s">
        <v>2366</v>
      </c>
      <c r="D1207" s="351"/>
      <c r="E1207" s="133" t="s">
        <v>2417</v>
      </c>
      <c r="F1207" s="133" t="s">
        <v>2417</v>
      </c>
      <c r="G1207" s="133" t="s">
        <v>2417</v>
      </c>
      <c r="H1207" s="133" t="s">
        <v>2417</v>
      </c>
      <c r="I1207" s="133" t="s">
        <v>2417</v>
      </c>
      <c r="J1207" s="133" t="s">
        <v>2417</v>
      </c>
      <c r="K1207" s="133" t="s">
        <v>2417</v>
      </c>
      <c r="L1207" s="133" t="s">
        <v>2417</v>
      </c>
      <c r="M1207" s="133" t="s">
        <v>2417</v>
      </c>
      <c r="N1207" s="133" t="s">
        <v>2417</v>
      </c>
      <c r="O1207" s="133" t="s">
        <v>2417</v>
      </c>
      <c r="P1207" s="133" t="s">
        <v>2417</v>
      </c>
      <c r="Q1207" s="133" t="s">
        <v>2417</v>
      </c>
      <c r="R1207" s="133" t="s">
        <v>2417</v>
      </c>
      <c r="S1207" s="133" t="s">
        <v>2417</v>
      </c>
      <c r="T1207" s="133" t="s">
        <v>2417</v>
      </c>
      <c r="U1207" s="133" t="s">
        <v>2417</v>
      </c>
      <c r="V1207" s="133" t="s">
        <v>2417</v>
      </c>
      <c r="W1207" s="133" t="s">
        <v>2417</v>
      </c>
      <c r="X1207" s="133" t="s">
        <v>2417</v>
      </c>
      <c r="Y1207" s="133" t="s">
        <v>2417</v>
      </c>
      <c r="Z1207" s="133" t="s">
        <v>2417</v>
      </c>
      <c r="AA1207" s="133" t="s">
        <v>2417</v>
      </c>
      <c r="AB1207" s="133" t="s">
        <v>2417</v>
      </c>
      <c r="AC1207" s="133" t="s">
        <v>2417</v>
      </c>
      <c r="AD1207" s="133" t="s">
        <v>2417</v>
      </c>
      <c r="AE1207" s="123"/>
    </row>
    <row r="1208" spans="1:31" ht="13.2" outlineLevel="1">
      <c r="A1208" s="386" t="s">
        <v>2367</v>
      </c>
      <c r="B1208" s="350"/>
      <c r="C1208" s="350"/>
      <c r="D1208" s="351"/>
      <c r="E1208" s="133" t="s">
        <v>2417</v>
      </c>
      <c r="F1208" s="133" t="s">
        <v>2417</v>
      </c>
      <c r="G1208" s="133" t="s">
        <v>2417</v>
      </c>
      <c r="H1208" s="133" t="s">
        <v>2417</v>
      </c>
      <c r="I1208" s="133" t="s">
        <v>2417</v>
      </c>
      <c r="J1208" s="133" t="s">
        <v>2417</v>
      </c>
      <c r="K1208" s="133" t="s">
        <v>2417</v>
      </c>
      <c r="L1208" s="133" t="s">
        <v>2417</v>
      </c>
      <c r="M1208" s="133" t="s">
        <v>2417</v>
      </c>
      <c r="N1208" s="133" t="s">
        <v>2417</v>
      </c>
      <c r="O1208" s="133" t="s">
        <v>2417</v>
      </c>
      <c r="P1208" s="133" t="s">
        <v>2417</v>
      </c>
      <c r="Q1208" s="133" t="s">
        <v>2417</v>
      </c>
      <c r="R1208" s="133" t="s">
        <v>2417</v>
      </c>
      <c r="S1208" s="133" t="s">
        <v>2417</v>
      </c>
      <c r="T1208" s="133" t="s">
        <v>2417</v>
      </c>
      <c r="U1208" s="133" t="s">
        <v>2417</v>
      </c>
      <c r="V1208" s="133" t="s">
        <v>2417</v>
      </c>
      <c r="W1208" s="133" t="s">
        <v>2417</v>
      </c>
      <c r="X1208" s="133" t="s">
        <v>2417</v>
      </c>
      <c r="Y1208" s="133" t="s">
        <v>2417</v>
      </c>
      <c r="Z1208" s="133" t="s">
        <v>2417</v>
      </c>
      <c r="AA1208" s="133" t="s">
        <v>2417</v>
      </c>
      <c r="AB1208" s="133" t="s">
        <v>2417</v>
      </c>
      <c r="AC1208" s="133" t="s">
        <v>2417</v>
      </c>
      <c r="AD1208" s="133" t="s">
        <v>2417</v>
      </c>
      <c r="AE1208" s="139"/>
    </row>
    <row r="1209" spans="1:31" ht="13.2" outlineLevel="1">
      <c r="A1209" s="386" t="s">
        <v>2368</v>
      </c>
      <c r="B1209" s="350"/>
      <c r="C1209" s="350"/>
      <c r="D1209" s="351"/>
      <c r="E1209" s="133" t="s">
        <v>2417</v>
      </c>
      <c r="F1209" s="133" t="s">
        <v>2417</v>
      </c>
      <c r="G1209" s="133" t="s">
        <v>2417</v>
      </c>
      <c r="H1209" s="133" t="s">
        <v>2417</v>
      </c>
      <c r="I1209" s="133" t="s">
        <v>2417</v>
      </c>
      <c r="J1209" s="133" t="s">
        <v>2417</v>
      </c>
      <c r="K1209" s="133" t="s">
        <v>2417</v>
      </c>
      <c r="L1209" s="133" t="s">
        <v>2417</v>
      </c>
      <c r="M1209" s="133" t="s">
        <v>2417</v>
      </c>
      <c r="N1209" s="133" t="s">
        <v>2417</v>
      </c>
      <c r="O1209" s="133" t="s">
        <v>2417</v>
      </c>
      <c r="P1209" s="133" t="s">
        <v>2417</v>
      </c>
      <c r="Q1209" s="133" t="s">
        <v>2417</v>
      </c>
      <c r="R1209" s="133" t="s">
        <v>2417</v>
      </c>
      <c r="S1209" s="133" t="s">
        <v>2417</v>
      </c>
      <c r="T1209" s="133" t="s">
        <v>2417</v>
      </c>
      <c r="U1209" s="133" t="s">
        <v>2417</v>
      </c>
      <c r="V1209" s="133" t="s">
        <v>2417</v>
      </c>
      <c r="W1209" s="133" t="s">
        <v>2417</v>
      </c>
      <c r="X1209" s="133" t="s">
        <v>2417</v>
      </c>
      <c r="Y1209" s="133" t="s">
        <v>2417</v>
      </c>
      <c r="Z1209" s="133" t="s">
        <v>2417</v>
      </c>
      <c r="AA1209" s="133" t="s">
        <v>2417</v>
      </c>
      <c r="AB1209" s="133" t="s">
        <v>2417</v>
      </c>
      <c r="AC1209" s="133" t="s">
        <v>2417</v>
      </c>
      <c r="AD1209" s="133" t="s">
        <v>2417</v>
      </c>
      <c r="AE1209" s="139"/>
    </row>
    <row r="1210" spans="1:31" ht="13.2" outlineLevel="1">
      <c r="A1210" s="68" t="s">
        <v>2369</v>
      </c>
      <c r="B1210" s="64" t="s">
        <v>2264</v>
      </c>
      <c r="C1210" s="387" t="s">
        <v>2370</v>
      </c>
      <c r="D1210" s="351"/>
      <c r="E1210" s="133" t="s">
        <v>2417</v>
      </c>
      <c r="F1210" s="133" t="s">
        <v>2417</v>
      </c>
      <c r="G1210" s="133" t="s">
        <v>2417</v>
      </c>
      <c r="H1210" s="133" t="s">
        <v>2417</v>
      </c>
      <c r="I1210" s="133" t="s">
        <v>2417</v>
      </c>
      <c r="J1210" s="133" t="s">
        <v>2417</v>
      </c>
      <c r="K1210" s="133" t="s">
        <v>2417</v>
      </c>
      <c r="L1210" s="133" t="s">
        <v>2417</v>
      </c>
      <c r="M1210" s="133" t="s">
        <v>2417</v>
      </c>
      <c r="N1210" s="133" t="s">
        <v>2417</v>
      </c>
      <c r="O1210" s="133" t="s">
        <v>2417</v>
      </c>
      <c r="P1210" s="133" t="s">
        <v>2417</v>
      </c>
      <c r="Q1210" s="133" t="s">
        <v>2417</v>
      </c>
      <c r="R1210" s="133" t="s">
        <v>2417</v>
      </c>
      <c r="S1210" s="133" t="s">
        <v>2417</v>
      </c>
      <c r="T1210" s="133" t="s">
        <v>2417</v>
      </c>
      <c r="U1210" s="133" t="s">
        <v>2417</v>
      </c>
      <c r="V1210" s="133" t="s">
        <v>2417</v>
      </c>
      <c r="W1210" s="133" t="s">
        <v>2417</v>
      </c>
      <c r="X1210" s="133" t="s">
        <v>2417</v>
      </c>
      <c r="Y1210" s="133" t="s">
        <v>2417</v>
      </c>
      <c r="Z1210" s="133" t="s">
        <v>2417</v>
      </c>
      <c r="AA1210" s="133" t="s">
        <v>2417</v>
      </c>
      <c r="AB1210" s="133" t="s">
        <v>2417</v>
      </c>
      <c r="AC1210" s="133" t="s">
        <v>2417</v>
      </c>
      <c r="AD1210" s="133" t="s">
        <v>2417</v>
      </c>
      <c r="AE1210" s="59"/>
    </row>
    <row r="1211" spans="1:31" ht="13.2" outlineLevel="1">
      <c r="A1211" s="386" t="s">
        <v>2371</v>
      </c>
      <c r="B1211" s="350"/>
      <c r="C1211" s="350"/>
      <c r="D1211" s="351"/>
      <c r="E1211" s="133" t="s">
        <v>2417</v>
      </c>
      <c r="F1211" s="133" t="s">
        <v>2417</v>
      </c>
      <c r="G1211" s="133" t="s">
        <v>2417</v>
      </c>
      <c r="H1211" s="133" t="s">
        <v>2417</v>
      </c>
      <c r="I1211" s="133" t="s">
        <v>2417</v>
      </c>
      <c r="J1211" s="133" t="s">
        <v>2417</v>
      </c>
      <c r="K1211" s="133" t="s">
        <v>2417</v>
      </c>
      <c r="L1211" s="133" t="s">
        <v>2417</v>
      </c>
      <c r="M1211" s="133" t="s">
        <v>2417</v>
      </c>
      <c r="N1211" s="133" t="s">
        <v>2417</v>
      </c>
      <c r="O1211" s="133" t="s">
        <v>2417</v>
      </c>
      <c r="P1211" s="133" t="s">
        <v>2417</v>
      </c>
      <c r="Q1211" s="133" t="s">
        <v>2417</v>
      </c>
      <c r="R1211" s="133" t="s">
        <v>2417</v>
      </c>
      <c r="S1211" s="133" t="s">
        <v>2417</v>
      </c>
      <c r="T1211" s="133" t="s">
        <v>2417</v>
      </c>
      <c r="U1211" s="133" t="s">
        <v>2417</v>
      </c>
      <c r="V1211" s="133" t="s">
        <v>2417</v>
      </c>
      <c r="W1211" s="133" t="s">
        <v>2417</v>
      </c>
      <c r="X1211" s="133" t="s">
        <v>2417</v>
      </c>
      <c r="Y1211" s="133" t="s">
        <v>2417</v>
      </c>
      <c r="Z1211" s="133" t="s">
        <v>2417</v>
      </c>
      <c r="AA1211" s="133" t="s">
        <v>2417</v>
      </c>
      <c r="AB1211" s="133" t="s">
        <v>2417</v>
      </c>
      <c r="AC1211" s="133" t="s">
        <v>2417</v>
      </c>
      <c r="AD1211" s="133" t="s">
        <v>2417</v>
      </c>
      <c r="AE1211" s="139"/>
    </row>
    <row r="1212" spans="1:31" ht="40.799999999999997" outlineLevel="1">
      <c r="A1212" s="68" t="s">
        <v>2372</v>
      </c>
      <c r="B1212" s="64" t="s">
        <v>1846</v>
      </c>
      <c r="C1212" s="387" t="s">
        <v>2373</v>
      </c>
      <c r="D1212" s="351"/>
      <c r="E1212" s="133" t="s">
        <v>2417</v>
      </c>
      <c r="F1212" s="133" t="s">
        <v>2417</v>
      </c>
      <c r="G1212" s="133" t="s">
        <v>2417</v>
      </c>
      <c r="H1212" s="133" t="s">
        <v>2417</v>
      </c>
      <c r="I1212" s="133" t="s">
        <v>2417</v>
      </c>
      <c r="J1212" s="133" t="s">
        <v>2417</v>
      </c>
      <c r="K1212" s="133" t="s">
        <v>2417</v>
      </c>
      <c r="L1212" s="133" t="s">
        <v>2417</v>
      </c>
      <c r="M1212" s="133" t="s">
        <v>2417</v>
      </c>
      <c r="N1212" s="133" t="s">
        <v>2417</v>
      </c>
      <c r="O1212" s="133" t="s">
        <v>2417</v>
      </c>
      <c r="P1212" s="133" t="s">
        <v>2417</v>
      </c>
      <c r="Q1212" s="133" t="s">
        <v>2417</v>
      </c>
      <c r="R1212" s="133" t="s">
        <v>2417</v>
      </c>
      <c r="S1212" s="133" t="s">
        <v>2417</v>
      </c>
      <c r="T1212" s="133" t="s">
        <v>2417</v>
      </c>
      <c r="U1212" s="133" t="s">
        <v>2417</v>
      </c>
      <c r="V1212" s="133" t="s">
        <v>2417</v>
      </c>
      <c r="W1212" s="133" t="s">
        <v>2417</v>
      </c>
      <c r="X1212" s="133" t="s">
        <v>2417</v>
      </c>
      <c r="Y1212" s="133" t="s">
        <v>2417</v>
      </c>
      <c r="Z1212" s="133" t="s">
        <v>2417</v>
      </c>
      <c r="AA1212" s="133" t="s">
        <v>2417</v>
      </c>
      <c r="AB1212" s="133" t="s">
        <v>2417</v>
      </c>
      <c r="AC1212" s="133" t="s">
        <v>2417</v>
      </c>
      <c r="AD1212" s="133" t="s">
        <v>2417</v>
      </c>
      <c r="AE1212" s="59"/>
    </row>
    <row r="1213" spans="1:31" ht="13.2" outlineLevel="1">
      <c r="A1213" s="386" t="s">
        <v>2374</v>
      </c>
      <c r="B1213" s="350"/>
      <c r="C1213" s="350"/>
      <c r="D1213" s="351"/>
      <c r="E1213" s="133" t="s">
        <v>2417</v>
      </c>
      <c r="F1213" s="133" t="s">
        <v>2417</v>
      </c>
      <c r="G1213" s="133" t="s">
        <v>2417</v>
      </c>
      <c r="H1213" s="133" t="s">
        <v>2417</v>
      </c>
      <c r="I1213" s="133" t="s">
        <v>2417</v>
      </c>
      <c r="J1213" s="133" t="s">
        <v>2417</v>
      </c>
      <c r="K1213" s="133" t="s">
        <v>2417</v>
      </c>
      <c r="L1213" s="133" t="s">
        <v>2417</v>
      </c>
      <c r="M1213" s="133" t="s">
        <v>2417</v>
      </c>
      <c r="N1213" s="133" t="s">
        <v>2417</v>
      </c>
      <c r="O1213" s="133" t="s">
        <v>2417</v>
      </c>
      <c r="P1213" s="133" t="s">
        <v>2417</v>
      </c>
      <c r="Q1213" s="133" t="s">
        <v>2417</v>
      </c>
      <c r="R1213" s="133" t="s">
        <v>2417</v>
      </c>
      <c r="S1213" s="133" t="s">
        <v>2417</v>
      </c>
      <c r="T1213" s="133" t="s">
        <v>2417</v>
      </c>
      <c r="U1213" s="133" t="s">
        <v>2417</v>
      </c>
      <c r="V1213" s="133" t="s">
        <v>2417</v>
      </c>
      <c r="W1213" s="133" t="s">
        <v>2417</v>
      </c>
      <c r="X1213" s="133" t="s">
        <v>2417</v>
      </c>
      <c r="Y1213" s="133" t="s">
        <v>2417</v>
      </c>
      <c r="Z1213" s="133" t="s">
        <v>2417</v>
      </c>
      <c r="AA1213" s="133" t="s">
        <v>2417</v>
      </c>
      <c r="AB1213" s="133" t="s">
        <v>2417</v>
      </c>
      <c r="AC1213" s="133" t="s">
        <v>2417</v>
      </c>
      <c r="AD1213" s="133" t="s">
        <v>2417</v>
      </c>
      <c r="AE1213" s="139"/>
    </row>
    <row r="1214" spans="1:31" ht="13.2" outlineLevel="1">
      <c r="A1214" s="68" t="s">
        <v>2375</v>
      </c>
      <c r="B1214" s="109"/>
      <c r="C1214" s="392" t="s">
        <v>2376</v>
      </c>
      <c r="D1214" s="351"/>
      <c r="E1214" s="133" t="s">
        <v>2417</v>
      </c>
      <c r="F1214" s="133" t="s">
        <v>2417</v>
      </c>
      <c r="G1214" s="133" t="s">
        <v>2417</v>
      </c>
      <c r="H1214" s="133" t="s">
        <v>2417</v>
      </c>
      <c r="I1214" s="133" t="s">
        <v>2417</v>
      </c>
      <c r="J1214" s="133" t="s">
        <v>2417</v>
      </c>
      <c r="K1214" s="133" t="s">
        <v>2417</v>
      </c>
      <c r="L1214" s="133" t="s">
        <v>2417</v>
      </c>
      <c r="M1214" s="133" t="s">
        <v>2417</v>
      </c>
      <c r="N1214" s="133" t="s">
        <v>2417</v>
      </c>
      <c r="O1214" s="133" t="s">
        <v>2417</v>
      </c>
      <c r="P1214" s="133" t="s">
        <v>2417</v>
      </c>
      <c r="Q1214" s="133" t="s">
        <v>2417</v>
      </c>
      <c r="R1214" s="133" t="s">
        <v>2417</v>
      </c>
      <c r="S1214" s="133" t="s">
        <v>2417</v>
      </c>
      <c r="T1214" s="133" t="s">
        <v>2417</v>
      </c>
      <c r="U1214" s="133" t="s">
        <v>2417</v>
      </c>
      <c r="V1214" s="133" t="s">
        <v>2417</v>
      </c>
      <c r="W1214" s="133" t="s">
        <v>2417</v>
      </c>
      <c r="X1214" s="133" t="s">
        <v>2417</v>
      </c>
      <c r="Y1214" s="133" t="s">
        <v>2417</v>
      </c>
      <c r="Z1214" s="133" t="s">
        <v>2417</v>
      </c>
      <c r="AA1214" s="133" t="s">
        <v>2417</v>
      </c>
      <c r="AB1214" s="133" t="s">
        <v>2417</v>
      </c>
      <c r="AC1214" s="133" t="s">
        <v>2417</v>
      </c>
      <c r="AD1214" s="133" t="s">
        <v>2417</v>
      </c>
      <c r="AE1214" s="59"/>
    </row>
    <row r="1215" spans="1:31" ht="13.2">
      <c r="A1215" s="110"/>
      <c r="B1215" s="110"/>
      <c r="C1215" s="110"/>
      <c r="D1215" s="110"/>
      <c r="E1215" s="133" t="s">
        <v>2417</v>
      </c>
      <c r="F1215" s="133" t="s">
        <v>2417</v>
      </c>
      <c r="G1215" s="133" t="s">
        <v>2417</v>
      </c>
      <c r="H1215" s="133" t="s">
        <v>2417</v>
      </c>
      <c r="I1215" s="133" t="s">
        <v>2417</v>
      </c>
      <c r="J1215" s="133" t="s">
        <v>2417</v>
      </c>
      <c r="K1215" s="133" t="s">
        <v>2417</v>
      </c>
      <c r="L1215" s="133" t="s">
        <v>2417</v>
      </c>
      <c r="M1215" s="133" t="s">
        <v>2417</v>
      </c>
      <c r="N1215" s="133" t="s">
        <v>2417</v>
      </c>
      <c r="O1215" s="133" t="s">
        <v>2417</v>
      </c>
      <c r="P1215" s="133" t="s">
        <v>2417</v>
      </c>
      <c r="Q1215" s="133" t="s">
        <v>2417</v>
      </c>
      <c r="R1215" s="133" t="s">
        <v>2417</v>
      </c>
      <c r="S1215" s="133" t="s">
        <v>2417</v>
      </c>
      <c r="T1215" s="133" t="s">
        <v>2417</v>
      </c>
      <c r="U1215" s="133" t="s">
        <v>2417</v>
      </c>
      <c r="V1215" s="133" t="s">
        <v>2417</v>
      </c>
      <c r="W1215" s="133" t="s">
        <v>2417</v>
      </c>
      <c r="X1215" s="133" t="s">
        <v>2417</v>
      </c>
      <c r="Y1215" s="133" t="s">
        <v>2417</v>
      </c>
      <c r="Z1215" s="133" t="s">
        <v>2417</v>
      </c>
      <c r="AA1215" s="133" t="s">
        <v>2417</v>
      </c>
      <c r="AB1215" s="133" t="s">
        <v>2417</v>
      </c>
      <c r="AC1215" s="133" t="s">
        <v>2417</v>
      </c>
      <c r="AD1215" s="133" t="s">
        <v>2417</v>
      </c>
      <c r="AE1215" s="211"/>
    </row>
    <row r="1216" spans="1:31" ht="13.2">
      <c r="A1216" s="443" t="s">
        <v>457</v>
      </c>
      <c r="B1216" s="398"/>
      <c r="C1216" s="398"/>
      <c r="D1216" s="110"/>
      <c r="E1216" s="133" t="s">
        <v>2417</v>
      </c>
      <c r="F1216" s="133" t="s">
        <v>2417</v>
      </c>
      <c r="G1216" s="133" t="s">
        <v>2417</v>
      </c>
      <c r="H1216" s="133" t="s">
        <v>2417</v>
      </c>
      <c r="I1216" s="133" t="s">
        <v>2417</v>
      </c>
      <c r="J1216" s="133" t="s">
        <v>2417</v>
      </c>
      <c r="K1216" s="133" t="s">
        <v>2417</v>
      </c>
      <c r="L1216" s="133" t="s">
        <v>2417</v>
      </c>
      <c r="M1216" s="133" t="s">
        <v>2417</v>
      </c>
      <c r="N1216" s="133" t="s">
        <v>2417</v>
      </c>
      <c r="O1216" s="133" t="s">
        <v>2417</v>
      </c>
      <c r="P1216" s="133" t="s">
        <v>2417</v>
      </c>
      <c r="Q1216" s="133" t="s">
        <v>2417</v>
      </c>
      <c r="R1216" s="133" t="s">
        <v>2417</v>
      </c>
      <c r="S1216" s="133" t="s">
        <v>2417</v>
      </c>
      <c r="T1216" s="133" t="s">
        <v>2417</v>
      </c>
      <c r="U1216" s="133" t="s">
        <v>2417</v>
      </c>
      <c r="V1216" s="133" t="s">
        <v>2417</v>
      </c>
      <c r="W1216" s="133" t="s">
        <v>2417</v>
      </c>
      <c r="X1216" s="133" t="s">
        <v>2417</v>
      </c>
      <c r="Y1216" s="133" t="s">
        <v>2417</v>
      </c>
      <c r="Z1216" s="133" t="s">
        <v>2417</v>
      </c>
      <c r="AA1216" s="133" t="s">
        <v>2417</v>
      </c>
      <c r="AB1216" s="133" t="s">
        <v>2417</v>
      </c>
      <c r="AC1216" s="133" t="s">
        <v>2417</v>
      </c>
      <c r="AD1216" s="133" t="s">
        <v>2417</v>
      </c>
      <c r="AE1216" s="211"/>
    </row>
    <row r="1217" spans="1:31" ht="13.2" outlineLevel="1">
      <c r="A1217" s="111"/>
      <c r="B1217" s="111"/>
      <c r="C1217" s="111"/>
      <c r="D1217" s="111"/>
      <c r="E1217" s="133" t="s">
        <v>2417</v>
      </c>
      <c r="F1217" s="133" t="s">
        <v>2417</v>
      </c>
      <c r="G1217" s="133" t="s">
        <v>2417</v>
      </c>
      <c r="H1217" s="133" t="s">
        <v>2417</v>
      </c>
      <c r="I1217" s="133" t="s">
        <v>2417</v>
      </c>
      <c r="J1217" s="133" t="s">
        <v>2417</v>
      </c>
      <c r="K1217" s="133" t="s">
        <v>2417</v>
      </c>
      <c r="L1217" s="133" t="s">
        <v>2417</v>
      </c>
      <c r="M1217" s="133" t="s">
        <v>2417</v>
      </c>
      <c r="N1217" s="133" t="s">
        <v>2417</v>
      </c>
      <c r="O1217" s="133" t="s">
        <v>2417</v>
      </c>
      <c r="P1217" s="133" t="s">
        <v>2417</v>
      </c>
      <c r="Q1217" s="133" t="s">
        <v>2417</v>
      </c>
      <c r="R1217" s="133" t="s">
        <v>2417</v>
      </c>
      <c r="S1217" s="133" t="s">
        <v>2417</v>
      </c>
      <c r="T1217" s="133" t="s">
        <v>2417</v>
      </c>
      <c r="U1217" s="133" t="s">
        <v>2417</v>
      </c>
      <c r="V1217" s="133" t="s">
        <v>2417</v>
      </c>
      <c r="W1217" s="133" t="s">
        <v>2417</v>
      </c>
      <c r="X1217" s="133" t="s">
        <v>2417</v>
      </c>
      <c r="Y1217" s="133" t="s">
        <v>2417</v>
      </c>
      <c r="Z1217" s="133" t="s">
        <v>2417</v>
      </c>
      <c r="AA1217" s="133" t="s">
        <v>2417</v>
      </c>
      <c r="AB1217" s="133" t="s">
        <v>2417</v>
      </c>
      <c r="AC1217" s="133" t="s">
        <v>2417</v>
      </c>
      <c r="AD1217" s="133" t="s">
        <v>2417</v>
      </c>
      <c r="AE1217" s="211"/>
    </row>
    <row r="1218" spans="1:31" ht="13.2" outlineLevel="1">
      <c r="A1218" s="444" t="s">
        <v>2377</v>
      </c>
      <c r="B1218" s="398"/>
      <c r="C1218" s="398"/>
      <c r="D1218" s="111"/>
      <c r="E1218" s="133" t="s">
        <v>2417</v>
      </c>
      <c r="F1218" s="133" t="s">
        <v>2417</v>
      </c>
      <c r="G1218" s="133" t="s">
        <v>2417</v>
      </c>
      <c r="H1218" s="133" t="s">
        <v>2417</v>
      </c>
      <c r="I1218" s="133" t="s">
        <v>2417</v>
      </c>
      <c r="J1218" s="133" t="s">
        <v>2417</v>
      </c>
      <c r="K1218" s="133" t="s">
        <v>2417</v>
      </c>
      <c r="L1218" s="133" t="s">
        <v>2417</v>
      </c>
      <c r="M1218" s="133" t="s">
        <v>2417</v>
      </c>
      <c r="N1218" s="133" t="s">
        <v>2417</v>
      </c>
      <c r="O1218" s="133" t="s">
        <v>2417</v>
      </c>
      <c r="P1218" s="133" t="s">
        <v>2417</v>
      </c>
      <c r="Q1218" s="133" t="s">
        <v>2417</v>
      </c>
      <c r="R1218" s="133" t="s">
        <v>2417</v>
      </c>
      <c r="S1218" s="133" t="s">
        <v>2417</v>
      </c>
      <c r="T1218" s="133" t="s">
        <v>2417</v>
      </c>
      <c r="U1218" s="133" t="s">
        <v>2417</v>
      </c>
      <c r="V1218" s="133" t="s">
        <v>2417</v>
      </c>
      <c r="W1218" s="133" t="s">
        <v>2417</v>
      </c>
      <c r="X1218" s="133" t="s">
        <v>2417</v>
      </c>
      <c r="Y1218" s="133" t="s">
        <v>2417</v>
      </c>
      <c r="Z1218" s="133" t="s">
        <v>2417</v>
      </c>
      <c r="AA1218" s="133" t="s">
        <v>2417</v>
      </c>
      <c r="AB1218" s="133" t="s">
        <v>2417</v>
      </c>
      <c r="AC1218" s="133" t="s">
        <v>2417</v>
      </c>
      <c r="AD1218" s="133" t="s">
        <v>2417</v>
      </c>
      <c r="AE1218" s="211"/>
    </row>
    <row r="1219" spans="1:31" ht="13.2" outlineLevel="1">
      <c r="A1219" s="111"/>
      <c r="B1219" s="443"/>
      <c r="C1219" s="399"/>
      <c r="D1219" s="111"/>
      <c r="E1219" s="133" t="s">
        <v>2417</v>
      </c>
      <c r="F1219" s="133" t="s">
        <v>2417</v>
      </c>
      <c r="G1219" s="133" t="s">
        <v>2417</v>
      </c>
      <c r="H1219" s="133" t="s">
        <v>2417</v>
      </c>
      <c r="I1219" s="133" t="s">
        <v>2417</v>
      </c>
      <c r="J1219" s="133" t="s">
        <v>2417</v>
      </c>
      <c r="K1219" s="133" t="s">
        <v>2417</v>
      </c>
      <c r="L1219" s="133" t="s">
        <v>2417</v>
      </c>
      <c r="M1219" s="133" t="s">
        <v>2417</v>
      </c>
      <c r="N1219" s="133" t="s">
        <v>2417</v>
      </c>
      <c r="O1219" s="133" t="s">
        <v>2417</v>
      </c>
      <c r="P1219" s="133" t="s">
        <v>2417</v>
      </c>
      <c r="Q1219" s="133" t="s">
        <v>2417</v>
      </c>
      <c r="R1219" s="133" t="s">
        <v>2417</v>
      </c>
      <c r="S1219" s="133" t="s">
        <v>2417</v>
      </c>
      <c r="T1219" s="133" t="s">
        <v>2417</v>
      </c>
      <c r="U1219" s="133" t="s">
        <v>2417</v>
      </c>
      <c r="V1219" s="133" t="s">
        <v>2417</v>
      </c>
      <c r="W1219" s="133" t="s">
        <v>2417</v>
      </c>
      <c r="X1219" s="133" t="s">
        <v>2417</v>
      </c>
      <c r="Y1219" s="133" t="s">
        <v>2417</v>
      </c>
      <c r="Z1219" s="133" t="s">
        <v>2417</v>
      </c>
      <c r="AA1219" s="133" t="s">
        <v>2417</v>
      </c>
      <c r="AB1219" s="133" t="s">
        <v>2417</v>
      </c>
      <c r="AC1219" s="133" t="s">
        <v>2417</v>
      </c>
      <c r="AD1219" s="133" t="s">
        <v>2417</v>
      </c>
      <c r="AE1219" s="211"/>
    </row>
    <row r="1220" spans="1:31" ht="13.2">
      <c r="A1220" s="443" t="s">
        <v>459</v>
      </c>
      <c r="B1220" s="398"/>
      <c r="C1220" s="398"/>
      <c r="D1220" s="110"/>
      <c r="E1220" s="133" t="s">
        <v>2417</v>
      </c>
      <c r="F1220" s="133" t="s">
        <v>2417</v>
      </c>
      <c r="G1220" s="133" t="s">
        <v>2417</v>
      </c>
      <c r="H1220" s="133" t="s">
        <v>2417</v>
      </c>
      <c r="I1220" s="133" t="s">
        <v>2417</v>
      </c>
      <c r="J1220" s="133" t="s">
        <v>2417</v>
      </c>
      <c r="K1220" s="133" t="s">
        <v>2417</v>
      </c>
      <c r="L1220" s="133" t="s">
        <v>2417</v>
      </c>
      <c r="M1220" s="133" t="s">
        <v>2417</v>
      </c>
      <c r="N1220" s="133" t="s">
        <v>2417</v>
      </c>
      <c r="O1220" s="133" t="s">
        <v>2417</v>
      </c>
      <c r="P1220" s="133" t="s">
        <v>2417</v>
      </c>
      <c r="Q1220" s="133" t="s">
        <v>2417</v>
      </c>
      <c r="R1220" s="133" t="s">
        <v>2417</v>
      </c>
      <c r="S1220" s="133" t="s">
        <v>2417</v>
      </c>
      <c r="T1220" s="133" t="s">
        <v>2417</v>
      </c>
      <c r="U1220" s="133" t="s">
        <v>2417</v>
      </c>
      <c r="V1220" s="133" t="s">
        <v>2417</v>
      </c>
      <c r="W1220" s="133" t="s">
        <v>2417</v>
      </c>
      <c r="X1220" s="133" t="s">
        <v>2417</v>
      </c>
      <c r="Y1220" s="133" t="s">
        <v>2417</v>
      </c>
      <c r="Z1220" s="133" t="s">
        <v>2417</v>
      </c>
      <c r="AA1220" s="133" t="s">
        <v>2417</v>
      </c>
      <c r="AB1220" s="133" t="s">
        <v>2417</v>
      </c>
      <c r="AC1220" s="133" t="s">
        <v>2417</v>
      </c>
      <c r="AD1220" s="133" t="s">
        <v>2417</v>
      </c>
      <c r="AE1220" s="211"/>
    </row>
    <row r="1221" spans="1:31" ht="13.2" outlineLevel="1">
      <c r="A1221" s="111"/>
      <c r="B1221" s="111"/>
      <c r="C1221" s="111"/>
      <c r="D1221" s="111"/>
      <c r="E1221" s="133" t="s">
        <v>2417</v>
      </c>
      <c r="F1221" s="133" t="s">
        <v>2417</v>
      </c>
      <c r="G1221" s="133" t="s">
        <v>2417</v>
      </c>
      <c r="H1221" s="133" t="s">
        <v>2417</v>
      </c>
      <c r="I1221" s="133" t="s">
        <v>2417</v>
      </c>
      <c r="J1221" s="133" t="s">
        <v>2417</v>
      </c>
      <c r="K1221" s="133" t="s">
        <v>2417</v>
      </c>
      <c r="L1221" s="133" t="s">
        <v>2417</v>
      </c>
      <c r="M1221" s="133" t="s">
        <v>2417</v>
      </c>
      <c r="N1221" s="133" t="s">
        <v>2417</v>
      </c>
      <c r="O1221" s="133" t="s">
        <v>2417</v>
      </c>
      <c r="P1221" s="133" t="s">
        <v>2417</v>
      </c>
      <c r="Q1221" s="133" t="s">
        <v>2417</v>
      </c>
      <c r="R1221" s="133" t="s">
        <v>2417</v>
      </c>
      <c r="S1221" s="133" t="s">
        <v>2417</v>
      </c>
      <c r="T1221" s="133" t="s">
        <v>2417</v>
      </c>
      <c r="U1221" s="133" t="s">
        <v>2417</v>
      </c>
      <c r="V1221" s="133" t="s">
        <v>2417</v>
      </c>
      <c r="W1221" s="133" t="s">
        <v>2417</v>
      </c>
      <c r="X1221" s="133" t="s">
        <v>2417</v>
      </c>
      <c r="Y1221" s="133" t="s">
        <v>2417</v>
      </c>
      <c r="Z1221" s="133" t="s">
        <v>2417</v>
      </c>
      <c r="AA1221" s="133" t="s">
        <v>2417</v>
      </c>
      <c r="AB1221" s="133" t="s">
        <v>2417</v>
      </c>
      <c r="AC1221" s="133" t="s">
        <v>2417</v>
      </c>
      <c r="AD1221" s="133" t="s">
        <v>2417</v>
      </c>
      <c r="AE1221" s="211"/>
    </row>
    <row r="1222" spans="1:31" ht="13.2" outlineLevel="1">
      <c r="A1222" s="444" t="s">
        <v>460</v>
      </c>
      <c r="B1222" s="398"/>
      <c r="C1222" s="398"/>
      <c r="D1222" s="111"/>
      <c r="E1222" s="133" t="s">
        <v>2417</v>
      </c>
      <c r="F1222" s="133" t="s">
        <v>2417</v>
      </c>
      <c r="G1222" s="133" t="s">
        <v>2417</v>
      </c>
      <c r="H1222" s="133" t="s">
        <v>2417</v>
      </c>
      <c r="I1222" s="133" t="s">
        <v>2417</v>
      </c>
      <c r="J1222" s="133" t="s">
        <v>2417</v>
      </c>
      <c r="K1222" s="133" t="s">
        <v>2417</v>
      </c>
      <c r="L1222" s="133" t="s">
        <v>2417</v>
      </c>
      <c r="M1222" s="133" t="s">
        <v>2417</v>
      </c>
      <c r="N1222" s="133" t="s">
        <v>2417</v>
      </c>
      <c r="O1222" s="133" t="s">
        <v>2417</v>
      </c>
      <c r="P1222" s="133" t="s">
        <v>2417</v>
      </c>
      <c r="Q1222" s="133" t="s">
        <v>2417</v>
      </c>
      <c r="R1222" s="133" t="s">
        <v>2417</v>
      </c>
      <c r="S1222" s="133" t="s">
        <v>2417</v>
      </c>
      <c r="T1222" s="133" t="s">
        <v>2417</v>
      </c>
      <c r="U1222" s="133" t="s">
        <v>2417</v>
      </c>
      <c r="V1222" s="133" t="s">
        <v>2417</v>
      </c>
      <c r="W1222" s="133" t="s">
        <v>2417</v>
      </c>
      <c r="X1222" s="133" t="s">
        <v>2417</v>
      </c>
      <c r="Y1222" s="133" t="s">
        <v>2417</v>
      </c>
      <c r="Z1222" s="133" t="s">
        <v>2417</v>
      </c>
      <c r="AA1222" s="133" t="s">
        <v>2417</v>
      </c>
      <c r="AB1222" s="133" t="s">
        <v>2417</v>
      </c>
      <c r="AC1222" s="133" t="s">
        <v>2417</v>
      </c>
      <c r="AD1222" s="133" t="s">
        <v>2417</v>
      </c>
      <c r="AE1222" s="211"/>
    </row>
    <row r="1223" spans="1:31" ht="102.6" outlineLevel="1">
      <c r="A1223" s="403" t="s">
        <v>2378</v>
      </c>
      <c r="B1223" s="399"/>
      <c r="C1223" s="112" t="s">
        <v>462</v>
      </c>
      <c r="D1223" s="111"/>
      <c r="E1223" s="133" t="s">
        <v>2417</v>
      </c>
      <c r="F1223" s="133" t="s">
        <v>2417</v>
      </c>
      <c r="G1223" s="133" t="s">
        <v>2417</v>
      </c>
      <c r="H1223" s="133" t="s">
        <v>2417</v>
      </c>
      <c r="I1223" s="133" t="s">
        <v>2417</v>
      </c>
      <c r="J1223" s="133" t="s">
        <v>2417</v>
      </c>
      <c r="K1223" s="133" t="s">
        <v>2417</v>
      </c>
      <c r="L1223" s="133" t="s">
        <v>2417</v>
      </c>
      <c r="M1223" s="133" t="s">
        <v>2417</v>
      </c>
      <c r="N1223" s="133" t="s">
        <v>2417</v>
      </c>
      <c r="O1223" s="133" t="s">
        <v>2417</v>
      </c>
      <c r="P1223" s="133" t="s">
        <v>2417</v>
      </c>
      <c r="Q1223" s="133" t="s">
        <v>2417</v>
      </c>
      <c r="R1223" s="133" t="s">
        <v>2417</v>
      </c>
      <c r="S1223" s="133" t="s">
        <v>2417</v>
      </c>
      <c r="T1223" s="133" t="s">
        <v>2417</v>
      </c>
      <c r="U1223" s="133" t="s">
        <v>2417</v>
      </c>
      <c r="V1223" s="133" t="s">
        <v>2417</v>
      </c>
      <c r="W1223" s="133" t="s">
        <v>2417</v>
      </c>
      <c r="X1223" s="133" t="s">
        <v>2417</v>
      </c>
      <c r="Y1223" s="133" t="s">
        <v>2417</v>
      </c>
      <c r="Z1223" s="133" t="s">
        <v>2417</v>
      </c>
      <c r="AA1223" s="133" t="s">
        <v>2417</v>
      </c>
      <c r="AB1223" s="133" t="s">
        <v>2417</v>
      </c>
      <c r="AC1223" s="133" t="s">
        <v>2417</v>
      </c>
      <c r="AD1223" s="133" t="s">
        <v>2417</v>
      </c>
      <c r="AE1223" s="211"/>
    </row>
    <row r="1224" spans="1:31" ht="13.2" outlineLevel="1">
      <c r="A1224" s="403" t="s">
        <v>463</v>
      </c>
      <c r="B1224" s="398"/>
      <c r="C1224" s="398"/>
      <c r="D1224" s="111"/>
      <c r="E1224" s="133" t="s">
        <v>2417</v>
      </c>
      <c r="F1224" s="133" t="s">
        <v>2417</v>
      </c>
      <c r="G1224" s="133" t="s">
        <v>2417</v>
      </c>
      <c r="H1224" s="133" t="s">
        <v>2417</v>
      </c>
      <c r="I1224" s="133" t="s">
        <v>2417</v>
      </c>
      <c r="J1224" s="133" t="s">
        <v>2417</v>
      </c>
      <c r="K1224" s="133" t="s">
        <v>2417</v>
      </c>
      <c r="L1224" s="133" t="s">
        <v>2417</v>
      </c>
      <c r="M1224" s="133" t="s">
        <v>2417</v>
      </c>
      <c r="N1224" s="133" t="s">
        <v>2417</v>
      </c>
      <c r="O1224" s="133" t="s">
        <v>2417</v>
      </c>
      <c r="P1224" s="133" t="s">
        <v>2417</v>
      </c>
      <c r="Q1224" s="133" t="s">
        <v>2417</v>
      </c>
      <c r="R1224" s="133" t="s">
        <v>2417</v>
      </c>
      <c r="S1224" s="133" t="s">
        <v>2417</v>
      </c>
      <c r="T1224" s="133" t="s">
        <v>2417</v>
      </c>
      <c r="U1224" s="133" t="s">
        <v>2417</v>
      </c>
      <c r="V1224" s="133" t="s">
        <v>2417</v>
      </c>
      <c r="W1224" s="133" t="s">
        <v>2417</v>
      </c>
      <c r="X1224" s="133" t="s">
        <v>2417</v>
      </c>
      <c r="Y1224" s="133" t="s">
        <v>2417</v>
      </c>
      <c r="Z1224" s="133" t="s">
        <v>2417</v>
      </c>
      <c r="AA1224" s="133" t="s">
        <v>2417</v>
      </c>
      <c r="AB1224" s="133" t="s">
        <v>2417</v>
      </c>
      <c r="AC1224" s="133" t="s">
        <v>2417</v>
      </c>
      <c r="AD1224" s="133" t="s">
        <v>2417</v>
      </c>
      <c r="AE1224" s="211"/>
    </row>
    <row r="1225" spans="1:31" ht="13.2">
      <c r="A1225" s="111"/>
      <c r="B1225" s="111"/>
      <c r="C1225" s="111"/>
      <c r="D1225" s="111"/>
      <c r="E1225" s="133" t="s">
        <v>2417</v>
      </c>
      <c r="F1225" s="133" t="s">
        <v>2417</v>
      </c>
      <c r="G1225" s="133" t="s">
        <v>2417</v>
      </c>
      <c r="H1225" s="133" t="s">
        <v>2417</v>
      </c>
      <c r="I1225" s="133" t="s">
        <v>2417</v>
      </c>
      <c r="J1225" s="133" t="s">
        <v>2417</v>
      </c>
      <c r="K1225" s="133" t="s">
        <v>2417</v>
      </c>
      <c r="L1225" s="133" t="s">
        <v>2417</v>
      </c>
      <c r="M1225" s="133" t="s">
        <v>2417</v>
      </c>
      <c r="N1225" s="133" t="s">
        <v>2417</v>
      </c>
      <c r="O1225" s="133" t="s">
        <v>2417</v>
      </c>
      <c r="P1225" s="133" t="s">
        <v>2417</v>
      </c>
      <c r="Q1225" s="133" t="s">
        <v>2417</v>
      </c>
      <c r="R1225" s="133" t="s">
        <v>2417</v>
      </c>
      <c r="S1225" s="133" t="s">
        <v>2417</v>
      </c>
      <c r="T1225" s="133" t="s">
        <v>2417</v>
      </c>
      <c r="U1225" s="133" t="s">
        <v>2417</v>
      </c>
      <c r="V1225" s="133" t="s">
        <v>2417</v>
      </c>
      <c r="W1225" s="133" t="s">
        <v>2417</v>
      </c>
      <c r="X1225" s="133" t="s">
        <v>2417</v>
      </c>
      <c r="Y1225" s="133" t="s">
        <v>2417</v>
      </c>
      <c r="Z1225" s="133" t="s">
        <v>2417</v>
      </c>
      <c r="AA1225" s="133" t="s">
        <v>2417</v>
      </c>
      <c r="AB1225" s="133" t="s">
        <v>2417</v>
      </c>
      <c r="AC1225" s="133" t="s">
        <v>2417</v>
      </c>
      <c r="AD1225" s="133" t="s">
        <v>2417</v>
      </c>
      <c r="AE1225" s="211"/>
    </row>
    <row r="1226" spans="1:31" ht="13.2">
      <c r="A1226" s="420" t="s">
        <v>466</v>
      </c>
      <c r="B1226" s="399"/>
      <c r="C1226" s="439" t="s">
        <v>467</v>
      </c>
      <c r="D1226" s="399"/>
      <c r="E1226" s="133" t="s">
        <v>2417</v>
      </c>
      <c r="F1226" s="133" t="s">
        <v>2417</v>
      </c>
      <c r="G1226" s="133" t="s">
        <v>2417</v>
      </c>
      <c r="H1226" s="133" t="s">
        <v>2417</v>
      </c>
      <c r="I1226" s="133" t="s">
        <v>2417</v>
      </c>
      <c r="J1226" s="133" t="s">
        <v>2417</v>
      </c>
      <c r="K1226" s="133" t="s">
        <v>2417</v>
      </c>
      <c r="L1226" s="133" t="s">
        <v>2417</v>
      </c>
      <c r="M1226" s="133" t="s">
        <v>2417</v>
      </c>
      <c r="N1226" s="133" t="s">
        <v>2417</v>
      </c>
      <c r="O1226" s="133" t="s">
        <v>2417</v>
      </c>
      <c r="P1226" s="133" t="s">
        <v>2417</v>
      </c>
      <c r="Q1226" s="133" t="s">
        <v>2417</v>
      </c>
      <c r="R1226" s="133" t="s">
        <v>2417</v>
      </c>
      <c r="S1226" s="133" t="s">
        <v>2417</v>
      </c>
      <c r="T1226" s="133" t="s">
        <v>2417</v>
      </c>
      <c r="U1226" s="133" t="s">
        <v>2417</v>
      </c>
      <c r="V1226" s="133" t="s">
        <v>2417</v>
      </c>
      <c r="W1226" s="133" t="s">
        <v>2417</v>
      </c>
      <c r="X1226" s="133" t="s">
        <v>2417</v>
      </c>
      <c r="Y1226" s="133" t="s">
        <v>2417</v>
      </c>
      <c r="Z1226" s="133" t="s">
        <v>2417</v>
      </c>
      <c r="AA1226" s="133" t="s">
        <v>2417</v>
      </c>
      <c r="AB1226" s="133" t="s">
        <v>2417</v>
      </c>
      <c r="AC1226" s="133" t="s">
        <v>2417</v>
      </c>
      <c r="AD1226" s="133" t="s">
        <v>2417</v>
      </c>
      <c r="AE1226" s="212"/>
    </row>
    <row r="1227" spans="1:31" ht="13.2">
      <c r="A1227" s="409" t="s">
        <v>481</v>
      </c>
      <c r="B1227" s="399"/>
      <c r="C1227" s="440" t="s">
        <v>481</v>
      </c>
      <c r="D1227" s="399"/>
      <c r="E1227" s="133" t="s">
        <v>2417</v>
      </c>
      <c r="F1227" s="133" t="s">
        <v>2417</v>
      </c>
      <c r="G1227" s="133" t="s">
        <v>2417</v>
      </c>
      <c r="H1227" s="133" t="s">
        <v>2417</v>
      </c>
      <c r="I1227" s="133" t="s">
        <v>2417</v>
      </c>
      <c r="J1227" s="133" t="s">
        <v>2417</v>
      </c>
      <c r="K1227" s="133" t="s">
        <v>2417</v>
      </c>
      <c r="L1227" s="133" t="s">
        <v>2417</v>
      </c>
      <c r="M1227" s="133" t="s">
        <v>2417</v>
      </c>
      <c r="N1227" s="133" t="s">
        <v>2417</v>
      </c>
      <c r="O1227" s="133" t="s">
        <v>2417</v>
      </c>
      <c r="P1227" s="133" t="s">
        <v>2417</v>
      </c>
      <c r="Q1227" s="133" t="s">
        <v>2417</v>
      </c>
      <c r="R1227" s="133" t="s">
        <v>2417</v>
      </c>
      <c r="S1227" s="133" t="s">
        <v>2417</v>
      </c>
      <c r="T1227" s="133" t="s">
        <v>2417</v>
      </c>
      <c r="U1227" s="133" t="s">
        <v>2417</v>
      </c>
      <c r="V1227" s="133" t="s">
        <v>2417</v>
      </c>
      <c r="W1227" s="133" t="s">
        <v>2417</v>
      </c>
      <c r="X1227" s="133" t="s">
        <v>2417</v>
      </c>
      <c r="Y1227" s="133" t="s">
        <v>2417</v>
      </c>
      <c r="Z1227" s="133" t="s">
        <v>2417</v>
      </c>
      <c r="AA1227" s="133" t="s">
        <v>2417</v>
      </c>
      <c r="AB1227" s="133" t="s">
        <v>2417</v>
      </c>
      <c r="AC1227" s="133" t="s">
        <v>2417</v>
      </c>
      <c r="AD1227" s="133" t="s">
        <v>2417</v>
      </c>
      <c r="AE1227" s="213"/>
    </row>
    <row r="1228" spans="1:31" ht="13.2">
      <c r="A1228" s="111"/>
      <c r="B1228" s="111"/>
      <c r="C1228" s="111"/>
      <c r="D1228" s="111"/>
      <c r="E1228" s="133" t="s">
        <v>2417</v>
      </c>
      <c r="F1228" s="133" t="s">
        <v>2417</v>
      </c>
      <c r="G1228" s="133" t="s">
        <v>2417</v>
      </c>
      <c r="H1228" s="133" t="s">
        <v>2417</v>
      </c>
      <c r="I1228" s="133" t="s">
        <v>2417</v>
      </c>
      <c r="J1228" s="133" t="s">
        <v>2417</v>
      </c>
      <c r="K1228" s="133" t="s">
        <v>2417</v>
      </c>
      <c r="L1228" s="133" t="s">
        <v>2417</v>
      </c>
      <c r="M1228" s="133" t="s">
        <v>2417</v>
      </c>
      <c r="N1228" s="133" t="s">
        <v>2417</v>
      </c>
      <c r="O1228" s="133" t="s">
        <v>2417</v>
      </c>
      <c r="P1228" s="133" t="s">
        <v>2417</v>
      </c>
      <c r="Q1228" s="133" t="s">
        <v>2417</v>
      </c>
      <c r="R1228" s="133" t="s">
        <v>2417</v>
      </c>
      <c r="S1228" s="133" t="s">
        <v>2417</v>
      </c>
      <c r="T1228" s="133" t="s">
        <v>2417</v>
      </c>
      <c r="U1228" s="133" t="s">
        <v>2417</v>
      </c>
      <c r="V1228" s="133" t="s">
        <v>2417</v>
      </c>
      <c r="W1228" s="133" t="s">
        <v>2417</v>
      </c>
      <c r="X1228" s="133" t="s">
        <v>2417</v>
      </c>
      <c r="Y1228" s="133" t="s">
        <v>2417</v>
      </c>
      <c r="Z1228" s="133" t="s">
        <v>2417</v>
      </c>
      <c r="AA1228" s="133" t="s">
        <v>2417</v>
      </c>
      <c r="AB1228" s="133" t="s">
        <v>2417</v>
      </c>
      <c r="AC1228" s="133" t="s">
        <v>2417</v>
      </c>
      <c r="AD1228" s="133" t="s">
        <v>2417</v>
      </c>
      <c r="AE1228" s="211"/>
    </row>
    <row r="1229" spans="1:31" ht="13.2">
      <c r="A1229" s="441" t="s">
        <v>470</v>
      </c>
      <c r="B1229" s="399"/>
      <c r="C1229" s="113"/>
      <c r="D1229" s="114" t="s">
        <v>470</v>
      </c>
      <c r="E1229" s="133" t="s">
        <v>2417</v>
      </c>
      <c r="F1229" s="133" t="s">
        <v>2417</v>
      </c>
      <c r="G1229" s="133" t="s">
        <v>2417</v>
      </c>
      <c r="H1229" s="133" t="s">
        <v>2417</v>
      </c>
      <c r="I1229" s="133" t="s">
        <v>2417</v>
      </c>
      <c r="J1229" s="133" t="s">
        <v>2417</v>
      </c>
      <c r="K1229" s="133" t="s">
        <v>2417</v>
      </c>
      <c r="L1229" s="133" t="s">
        <v>2417</v>
      </c>
      <c r="M1229" s="133" t="s">
        <v>2417</v>
      </c>
      <c r="N1229" s="133" t="s">
        <v>2417</v>
      </c>
      <c r="O1229" s="133" t="s">
        <v>2417</v>
      </c>
      <c r="P1229" s="133" t="s">
        <v>2417</v>
      </c>
      <c r="Q1229" s="133" t="s">
        <v>2417</v>
      </c>
      <c r="R1229" s="133" t="s">
        <v>2417</v>
      </c>
      <c r="S1229" s="133" t="s">
        <v>2417</v>
      </c>
      <c r="T1229" s="133" t="s">
        <v>2417</v>
      </c>
      <c r="U1229" s="133" t="s">
        <v>2417</v>
      </c>
      <c r="V1229" s="133" t="s">
        <v>2417</v>
      </c>
      <c r="W1229" s="133" t="s">
        <v>2417</v>
      </c>
      <c r="X1229" s="133" t="s">
        <v>2417</v>
      </c>
      <c r="Y1229" s="133" t="s">
        <v>2417</v>
      </c>
      <c r="Z1229" s="133" t="s">
        <v>2417</v>
      </c>
      <c r="AA1229" s="133" t="s">
        <v>2417</v>
      </c>
      <c r="AB1229" s="133" t="s">
        <v>2417</v>
      </c>
      <c r="AC1229" s="133" t="s">
        <v>2417</v>
      </c>
      <c r="AD1229" s="133" t="s">
        <v>2417</v>
      </c>
      <c r="AE1229" s="214"/>
    </row>
    <row r="1230" spans="1:31" ht="13.2">
      <c r="A1230" s="442" t="s">
        <v>556</v>
      </c>
      <c r="B1230" s="399"/>
      <c r="C1230" s="114"/>
      <c r="D1230" s="115" t="s">
        <v>556</v>
      </c>
      <c r="E1230" s="133" t="s">
        <v>2417</v>
      </c>
      <c r="F1230" s="133" t="s">
        <v>2417</v>
      </c>
      <c r="G1230" s="133" t="s">
        <v>2417</v>
      </c>
      <c r="H1230" s="133" t="s">
        <v>2417</v>
      </c>
      <c r="I1230" s="133" t="s">
        <v>2417</v>
      </c>
      <c r="J1230" s="133" t="s">
        <v>2417</v>
      </c>
      <c r="K1230" s="133" t="s">
        <v>2417</v>
      </c>
      <c r="L1230" s="133" t="s">
        <v>2417</v>
      </c>
      <c r="M1230" s="133" t="s">
        <v>2417</v>
      </c>
      <c r="N1230" s="133" t="s">
        <v>2417</v>
      </c>
      <c r="O1230" s="133" t="s">
        <v>2417</v>
      </c>
      <c r="P1230" s="133" t="s">
        <v>2417</v>
      </c>
      <c r="Q1230" s="133" t="s">
        <v>2417</v>
      </c>
      <c r="R1230" s="133" t="s">
        <v>2417</v>
      </c>
      <c r="S1230" s="133" t="s">
        <v>2417</v>
      </c>
      <c r="T1230" s="133" t="s">
        <v>2417</v>
      </c>
      <c r="U1230" s="133" t="s">
        <v>2417</v>
      </c>
      <c r="V1230" s="133" t="s">
        <v>2417</v>
      </c>
      <c r="W1230" s="133" t="s">
        <v>2417</v>
      </c>
      <c r="X1230" s="133" t="s">
        <v>2417</v>
      </c>
      <c r="Y1230" s="133" t="s">
        <v>2417</v>
      </c>
      <c r="Z1230" s="133" t="s">
        <v>2417</v>
      </c>
      <c r="AA1230" s="133" t="s">
        <v>2417</v>
      </c>
      <c r="AB1230" s="133" t="s">
        <v>2417</v>
      </c>
      <c r="AC1230" s="133" t="s">
        <v>2417</v>
      </c>
      <c r="AD1230" s="133" t="s">
        <v>2417</v>
      </c>
      <c r="AE1230" s="213"/>
    </row>
    <row r="1231" spans="1:31" ht="13.2">
      <c r="A1231" s="113"/>
      <c r="B1231" s="114" t="s">
        <v>471</v>
      </c>
      <c r="C1231" s="113"/>
      <c r="D1231" s="114" t="s">
        <v>471</v>
      </c>
      <c r="E1231" s="133" t="s">
        <v>2417</v>
      </c>
      <c r="F1231" s="133" t="s">
        <v>2417</v>
      </c>
      <c r="G1231" s="133" t="s">
        <v>2417</v>
      </c>
      <c r="H1231" s="133" t="s">
        <v>2417</v>
      </c>
      <c r="I1231" s="133" t="s">
        <v>2417</v>
      </c>
      <c r="J1231" s="133" t="s">
        <v>2417</v>
      </c>
      <c r="K1231" s="133" t="s">
        <v>2417</v>
      </c>
      <c r="L1231" s="133" t="s">
        <v>2417</v>
      </c>
      <c r="M1231" s="133" t="s">
        <v>2417</v>
      </c>
      <c r="N1231" s="133" t="s">
        <v>2417</v>
      </c>
      <c r="O1231" s="133" t="s">
        <v>2417</v>
      </c>
      <c r="P1231" s="133" t="s">
        <v>2417</v>
      </c>
      <c r="Q1231" s="133" t="s">
        <v>2417</v>
      </c>
      <c r="R1231" s="133" t="s">
        <v>2417</v>
      </c>
      <c r="S1231" s="133" t="s">
        <v>2417</v>
      </c>
      <c r="T1231" s="133" t="s">
        <v>2417</v>
      </c>
      <c r="U1231" s="133" t="s">
        <v>2417</v>
      </c>
      <c r="V1231" s="133" t="s">
        <v>2417</v>
      </c>
      <c r="W1231" s="133" t="s">
        <v>2417</v>
      </c>
      <c r="X1231" s="133" t="s">
        <v>2417</v>
      </c>
      <c r="Y1231" s="133" t="s">
        <v>2417</v>
      </c>
      <c r="Z1231" s="133" t="s">
        <v>2417</v>
      </c>
      <c r="AA1231" s="133" t="s">
        <v>2417</v>
      </c>
      <c r="AB1231" s="133" t="s">
        <v>2417</v>
      </c>
      <c r="AC1231" s="133" t="s">
        <v>2417</v>
      </c>
      <c r="AD1231" s="133" t="s">
        <v>2417</v>
      </c>
      <c r="AE1231" s="214"/>
    </row>
    <row r="1232" spans="1:31" ht="13.2">
      <c r="A1232" s="113"/>
      <c r="B1232" s="114"/>
      <c r="C1232" s="113"/>
      <c r="D1232" s="114"/>
      <c r="E1232" s="133" t="s">
        <v>2417</v>
      </c>
      <c r="F1232" s="133" t="s">
        <v>2417</v>
      </c>
      <c r="G1232" s="133" t="s">
        <v>2417</v>
      </c>
      <c r="H1232" s="133" t="s">
        <v>2417</v>
      </c>
      <c r="I1232" s="133" t="s">
        <v>2417</v>
      </c>
      <c r="J1232" s="133" t="s">
        <v>2417</v>
      </c>
      <c r="K1232" s="133" t="s">
        <v>2417</v>
      </c>
      <c r="L1232" s="133" t="s">
        <v>2417</v>
      </c>
      <c r="M1232" s="133" t="s">
        <v>2417</v>
      </c>
      <c r="N1232" s="133" t="s">
        <v>2417</v>
      </c>
      <c r="O1232" s="133" t="s">
        <v>2417</v>
      </c>
      <c r="P1232" s="133" t="s">
        <v>2417</v>
      </c>
      <c r="Q1232" s="133" t="s">
        <v>2417</v>
      </c>
      <c r="R1232" s="133" t="s">
        <v>2417</v>
      </c>
      <c r="S1232" s="133" t="s">
        <v>2417</v>
      </c>
      <c r="T1232" s="133" t="s">
        <v>2417</v>
      </c>
      <c r="U1232" s="133" t="s">
        <v>2417</v>
      </c>
      <c r="V1232" s="133" t="s">
        <v>2417</v>
      </c>
      <c r="W1232" s="133" t="s">
        <v>2417</v>
      </c>
      <c r="X1232" s="133" t="s">
        <v>2417</v>
      </c>
      <c r="Y1232" s="133" t="s">
        <v>2417</v>
      </c>
      <c r="Z1232" s="133" t="s">
        <v>2417</v>
      </c>
      <c r="AA1232" s="133" t="s">
        <v>2417</v>
      </c>
      <c r="AB1232" s="133" t="s">
        <v>2417</v>
      </c>
      <c r="AC1232" s="133" t="s">
        <v>2417</v>
      </c>
      <c r="AD1232" s="133" t="s">
        <v>2417</v>
      </c>
      <c r="AE1232" s="214"/>
    </row>
  </sheetData>
  <autoFilter ref="E37:AE1232" xr:uid="{00000000-0009-0000-0000-000003000000}">
    <filterColumn colId="0">
      <filters>
        <filter val="-"/>
        <filter val="Б75"/>
        <filter val="Паркинг"/>
        <filter val="С28"/>
        <filter val="С28, С50, С75"/>
        <filter val="С28, УВ28"/>
        <filter val="С28, УВ28, С50, Б50"/>
        <filter val="С28, УВ28, С50, Б50, С75, Б75"/>
        <filter val="С50"/>
        <filter val="С50, Б50"/>
        <filter val="С50, Б50, Б75"/>
        <filter val="С75, Б75"/>
        <filter val="С75, Б75, Б100"/>
      </filters>
    </filterColumn>
    <filterColumn colId="2">
      <filters>
        <filter val="-"/>
        <filter val="B"/>
        <filter val="B, A"/>
      </filters>
    </filterColumn>
    <filterColumn colId="3">
      <filters>
        <filter val="-"/>
        <filter val="МОП 1 этаж"/>
        <filter val="На проработке"/>
        <filter val="Релиз 3/2024"/>
        <filter val="Соседский центр"/>
        <filter val="ТЕКСТ ИЗ ТЗ"/>
        <filter val="УК"/>
      </filters>
    </filterColumn>
    <filterColumn colId="5">
      <filters>
        <filter val="-"/>
        <filter val="Екатеринбург, Тюмень, Омск, Курган, Новосибирск"/>
        <filter val="Екатеринбург, Тюмень, Омск, Курган, Новосибирск, Сургут"/>
        <filter val="Новосибирск"/>
      </filters>
    </filterColumn>
    <filterColumn colId="6">
      <filters>
        <filter val="Один уровень"/>
        <filter val="-"/>
      </filters>
    </filterColumn>
    <filterColumn colId="9">
      <filters>
        <filter val="-"/>
      </filters>
    </filterColumn>
    <filterColumn colId="17">
      <filters>
        <filter val="Префаб"/>
        <filter val="-"/>
      </filters>
    </filterColumn>
    <filterColumn colId="18">
      <filters>
        <filter val="Префаб"/>
        <filter val="-"/>
      </filters>
    </filterColumn>
    <filterColumn colId="19">
      <filters>
        <filter val="Префаб"/>
        <filter val="-"/>
      </filters>
    </filterColumn>
    <filterColumn colId="20">
      <filters>
        <filter val="Монолит"/>
        <filter val="-"/>
      </filters>
    </filterColumn>
    <filterColumn colId="21">
      <filters>
        <filter val="Монолит"/>
        <filter val="-"/>
      </filters>
    </filterColumn>
    <filterColumn colId="23">
      <filters>
        <filter val="Кабель"/>
        <filter val="-"/>
      </filters>
    </filterColumn>
    <filterColumn colId="25">
      <filters>
        <filter val="-"/>
      </filters>
    </filterColumn>
  </autoFilter>
  <mergeCells count="1236">
    <mergeCell ref="C897:D897"/>
    <mergeCell ref="C898:D898"/>
    <mergeCell ref="C899:D899"/>
    <mergeCell ref="C900:D900"/>
    <mergeCell ref="C901:D901"/>
    <mergeCell ref="C902:D902"/>
    <mergeCell ref="C903:D903"/>
    <mergeCell ref="C904:D904"/>
    <mergeCell ref="C905:D905"/>
    <mergeCell ref="C906:D906"/>
    <mergeCell ref="C907:D907"/>
    <mergeCell ref="A908:D908"/>
    <mergeCell ref="C909:D909"/>
    <mergeCell ref="A880:D880"/>
    <mergeCell ref="C881:D881"/>
    <mergeCell ref="C882:D882"/>
    <mergeCell ref="C883:D883"/>
    <mergeCell ref="C884:D884"/>
    <mergeCell ref="C885:D885"/>
    <mergeCell ref="C886:D886"/>
    <mergeCell ref="C887:D887"/>
    <mergeCell ref="C888:D888"/>
    <mergeCell ref="C889:D889"/>
    <mergeCell ref="C890:D890"/>
    <mergeCell ref="C891:D891"/>
    <mergeCell ref="C892:D892"/>
    <mergeCell ref="C893:D893"/>
    <mergeCell ref="C894:D894"/>
    <mergeCell ref="C895:D895"/>
    <mergeCell ref="A896:D896"/>
    <mergeCell ref="C750:D750"/>
    <mergeCell ref="C751:D751"/>
    <mergeCell ref="C752:D752"/>
    <mergeCell ref="C753:D753"/>
    <mergeCell ref="C754:D754"/>
    <mergeCell ref="C755:D755"/>
    <mergeCell ref="C756:D756"/>
    <mergeCell ref="C757:D757"/>
    <mergeCell ref="C758:D758"/>
    <mergeCell ref="C759:D759"/>
    <mergeCell ref="C760:D760"/>
    <mergeCell ref="C761:D761"/>
    <mergeCell ref="C762:D762"/>
    <mergeCell ref="C861:D861"/>
    <mergeCell ref="C862:D862"/>
    <mergeCell ref="C863:D863"/>
    <mergeCell ref="C864:D864"/>
    <mergeCell ref="C733:D733"/>
    <mergeCell ref="C734:D734"/>
    <mergeCell ref="C735:D735"/>
    <mergeCell ref="C736:D736"/>
    <mergeCell ref="C737:D737"/>
    <mergeCell ref="A738:D738"/>
    <mergeCell ref="C739:D739"/>
    <mergeCell ref="C740:D740"/>
    <mergeCell ref="C741:D741"/>
    <mergeCell ref="C742:D742"/>
    <mergeCell ref="C743:D743"/>
    <mergeCell ref="C744:D744"/>
    <mergeCell ref="C745:D745"/>
    <mergeCell ref="C746:D746"/>
    <mergeCell ref="C747:D747"/>
    <mergeCell ref="C748:D748"/>
    <mergeCell ref="C749:D749"/>
    <mergeCell ref="C716:D716"/>
    <mergeCell ref="C717:D717"/>
    <mergeCell ref="C718:D718"/>
    <mergeCell ref="C719:D719"/>
    <mergeCell ref="C720:D720"/>
    <mergeCell ref="C721:D721"/>
    <mergeCell ref="C722:D722"/>
    <mergeCell ref="C723:D723"/>
    <mergeCell ref="C724:D724"/>
    <mergeCell ref="C725:D725"/>
    <mergeCell ref="C726:D726"/>
    <mergeCell ref="C727:D727"/>
    <mergeCell ref="C728:D728"/>
    <mergeCell ref="C729:D729"/>
    <mergeCell ref="C730:D730"/>
    <mergeCell ref="C731:D731"/>
    <mergeCell ref="C732:D732"/>
    <mergeCell ref="C699:D699"/>
    <mergeCell ref="C700:D700"/>
    <mergeCell ref="C701:D701"/>
    <mergeCell ref="C702:D702"/>
    <mergeCell ref="A703:D703"/>
    <mergeCell ref="C704:D704"/>
    <mergeCell ref="C705:D705"/>
    <mergeCell ref="C706:D706"/>
    <mergeCell ref="C707:D707"/>
    <mergeCell ref="C708:D708"/>
    <mergeCell ref="C709:D709"/>
    <mergeCell ref="C710:D710"/>
    <mergeCell ref="C711:D711"/>
    <mergeCell ref="C712:D712"/>
    <mergeCell ref="C713:D713"/>
    <mergeCell ref="C714:D714"/>
    <mergeCell ref="C715:D715"/>
    <mergeCell ref="C682:D682"/>
    <mergeCell ref="C683:D683"/>
    <mergeCell ref="C684:D684"/>
    <mergeCell ref="C685:D685"/>
    <mergeCell ref="C686:D686"/>
    <mergeCell ref="C687:D687"/>
    <mergeCell ref="C688:D688"/>
    <mergeCell ref="C689:D689"/>
    <mergeCell ref="C690:D690"/>
    <mergeCell ref="C691:D691"/>
    <mergeCell ref="C692:D692"/>
    <mergeCell ref="C693:D693"/>
    <mergeCell ref="C694:D694"/>
    <mergeCell ref="C695:D695"/>
    <mergeCell ref="C696:D696"/>
    <mergeCell ref="C697:D697"/>
    <mergeCell ref="C698:D698"/>
    <mergeCell ref="C665:D665"/>
    <mergeCell ref="C666:D666"/>
    <mergeCell ref="C667:D667"/>
    <mergeCell ref="A668:D668"/>
    <mergeCell ref="C669:D669"/>
    <mergeCell ref="C670:D670"/>
    <mergeCell ref="C671:D671"/>
    <mergeCell ref="C672:D672"/>
    <mergeCell ref="C673:D673"/>
    <mergeCell ref="C674:D674"/>
    <mergeCell ref="C675:D675"/>
    <mergeCell ref="C676:D676"/>
    <mergeCell ref="C677:D677"/>
    <mergeCell ref="C678:D678"/>
    <mergeCell ref="C679:D679"/>
    <mergeCell ref="C680:D680"/>
    <mergeCell ref="C681:D681"/>
    <mergeCell ref="C648:D648"/>
    <mergeCell ref="C649:D649"/>
    <mergeCell ref="C650:D650"/>
    <mergeCell ref="C651:D651"/>
    <mergeCell ref="C652:D652"/>
    <mergeCell ref="C653:D653"/>
    <mergeCell ref="C654:D654"/>
    <mergeCell ref="C655:D655"/>
    <mergeCell ref="C656:D656"/>
    <mergeCell ref="C657:D657"/>
    <mergeCell ref="C658:D658"/>
    <mergeCell ref="C659:D659"/>
    <mergeCell ref="C660:D660"/>
    <mergeCell ref="C661:D661"/>
    <mergeCell ref="C662:D662"/>
    <mergeCell ref="C663:D663"/>
    <mergeCell ref="C664:D664"/>
    <mergeCell ref="C631:D631"/>
    <mergeCell ref="A632:D632"/>
    <mergeCell ref="C633:D633"/>
    <mergeCell ref="C634:D634"/>
    <mergeCell ref="C635:D635"/>
    <mergeCell ref="C636:D636"/>
    <mergeCell ref="C637:D637"/>
    <mergeCell ref="C638:D638"/>
    <mergeCell ref="C639:D639"/>
    <mergeCell ref="C640:D640"/>
    <mergeCell ref="C641:D641"/>
    <mergeCell ref="C642:D642"/>
    <mergeCell ref="C643:D643"/>
    <mergeCell ref="C644:D644"/>
    <mergeCell ref="C645:D645"/>
    <mergeCell ref="C646:D646"/>
    <mergeCell ref="C647:D647"/>
    <mergeCell ref="C614:D614"/>
    <mergeCell ref="C615:D615"/>
    <mergeCell ref="C616:D616"/>
    <mergeCell ref="C617:D617"/>
    <mergeCell ref="C618:D618"/>
    <mergeCell ref="C619:D619"/>
    <mergeCell ref="C620:D620"/>
    <mergeCell ref="C621:D621"/>
    <mergeCell ref="C622:D622"/>
    <mergeCell ref="C623:D623"/>
    <mergeCell ref="C624:D624"/>
    <mergeCell ref="C625:D625"/>
    <mergeCell ref="C626:D626"/>
    <mergeCell ref="C627:D627"/>
    <mergeCell ref="C628:D628"/>
    <mergeCell ref="C629:D629"/>
    <mergeCell ref="C630:D630"/>
    <mergeCell ref="C597:D597"/>
    <mergeCell ref="C598:D598"/>
    <mergeCell ref="C599:D599"/>
    <mergeCell ref="C600:D600"/>
    <mergeCell ref="C601:D601"/>
    <mergeCell ref="C602:D602"/>
    <mergeCell ref="C603:D603"/>
    <mergeCell ref="C604:D604"/>
    <mergeCell ref="C605:D605"/>
    <mergeCell ref="C606:D606"/>
    <mergeCell ref="C607:D607"/>
    <mergeCell ref="C608:D608"/>
    <mergeCell ref="C609:D609"/>
    <mergeCell ref="C610:D610"/>
    <mergeCell ref="C611:D611"/>
    <mergeCell ref="C612:D612"/>
    <mergeCell ref="C613:D613"/>
    <mergeCell ref="C522:D522"/>
    <mergeCell ref="C523:D523"/>
    <mergeCell ref="C524:D524"/>
    <mergeCell ref="A525:D525"/>
    <mergeCell ref="C526:D526"/>
    <mergeCell ref="A527:D527"/>
    <mergeCell ref="A528:D528"/>
    <mergeCell ref="C529:D529"/>
    <mergeCell ref="A530:D530"/>
    <mergeCell ref="C531:D531"/>
    <mergeCell ref="C560:D560"/>
    <mergeCell ref="C561:D561"/>
    <mergeCell ref="C562:D562"/>
    <mergeCell ref="C563:D563"/>
    <mergeCell ref="C564:D564"/>
    <mergeCell ref="C565:D565"/>
    <mergeCell ref="C566:D566"/>
    <mergeCell ref="C505:D505"/>
    <mergeCell ref="C506:D506"/>
    <mergeCell ref="A507:D507"/>
    <mergeCell ref="A508:D508"/>
    <mergeCell ref="C509:D509"/>
    <mergeCell ref="C510:D510"/>
    <mergeCell ref="C511:D511"/>
    <mergeCell ref="A512:D512"/>
    <mergeCell ref="A513:D513"/>
    <mergeCell ref="C514:D514"/>
    <mergeCell ref="C515:D515"/>
    <mergeCell ref="C516:D516"/>
    <mergeCell ref="C517:D517"/>
    <mergeCell ref="C518:D518"/>
    <mergeCell ref="C519:D519"/>
    <mergeCell ref="C520:D520"/>
    <mergeCell ref="C521:D521"/>
    <mergeCell ref="A1227:B1227"/>
    <mergeCell ref="A1229:B1229"/>
    <mergeCell ref="A1230:B1230"/>
    <mergeCell ref="C546:D546"/>
    <mergeCell ref="C547:D547"/>
    <mergeCell ref="C548:D548"/>
    <mergeCell ref="A549:D549"/>
    <mergeCell ref="C550:D550"/>
    <mergeCell ref="C551:D551"/>
    <mergeCell ref="C552:D552"/>
    <mergeCell ref="A553:D553"/>
    <mergeCell ref="C554:D554"/>
    <mergeCell ref="C555:D555"/>
    <mergeCell ref="C556:D556"/>
    <mergeCell ref="A557:D557"/>
    <mergeCell ref="A558:D558"/>
    <mergeCell ref="C559:D559"/>
    <mergeCell ref="C567:D567"/>
    <mergeCell ref="C568:D568"/>
    <mergeCell ref="C569:D569"/>
    <mergeCell ref="C570:D570"/>
    <mergeCell ref="C571:D571"/>
    <mergeCell ref="C572:D572"/>
    <mergeCell ref="C573:D573"/>
    <mergeCell ref="C574:D574"/>
    <mergeCell ref="C575:D575"/>
    <mergeCell ref="C576:D576"/>
    <mergeCell ref="C577:D577"/>
    <mergeCell ref="C578:D578"/>
    <mergeCell ref="C579:D579"/>
    <mergeCell ref="C580:D580"/>
    <mergeCell ref="C581:D581"/>
    <mergeCell ref="A1223:B1223"/>
    <mergeCell ref="A1224:C1224"/>
    <mergeCell ref="A1226:B1226"/>
    <mergeCell ref="C1226:D1226"/>
    <mergeCell ref="C1227:D1227"/>
    <mergeCell ref="C1169:D1169"/>
    <mergeCell ref="C1170:D1170"/>
    <mergeCell ref="C1171:D1171"/>
    <mergeCell ref="C1172:D1172"/>
    <mergeCell ref="A1173:D1173"/>
    <mergeCell ref="C1174:D1174"/>
    <mergeCell ref="C1175:D1175"/>
    <mergeCell ref="C1176:D1176"/>
    <mergeCell ref="C1177:D1177"/>
    <mergeCell ref="C1178:D1178"/>
    <mergeCell ref="C1179:D1179"/>
    <mergeCell ref="C1180:D1180"/>
    <mergeCell ref="C1181:D1181"/>
    <mergeCell ref="C1182:D1182"/>
    <mergeCell ref="C1183:D1183"/>
    <mergeCell ref="A1184:D1184"/>
    <mergeCell ref="C1185:D1185"/>
    <mergeCell ref="C1186:D1186"/>
    <mergeCell ref="C1187:D1187"/>
    <mergeCell ref="C1188:D1188"/>
    <mergeCell ref="C1189:D1189"/>
    <mergeCell ref="A1190:D1190"/>
    <mergeCell ref="C1191:D1191"/>
    <mergeCell ref="C1192:D1192"/>
    <mergeCell ref="C1193:D1193"/>
    <mergeCell ref="A1194:D1194"/>
    <mergeCell ref="C1195:D1195"/>
    <mergeCell ref="C1161:D1161"/>
    <mergeCell ref="C1162:D1162"/>
    <mergeCell ref="C1163:D1163"/>
    <mergeCell ref="C1164:D1164"/>
    <mergeCell ref="C1165:D1165"/>
    <mergeCell ref="C1166:D1166"/>
    <mergeCell ref="C1167:D1167"/>
    <mergeCell ref="C1168:D1168"/>
    <mergeCell ref="A1211:D1211"/>
    <mergeCell ref="C1212:D1212"/>
    <mergeCell ref="A1213:D1213"/>
    <mergeCell ref="C1214:D1214"/>
    <mergeCell ref="A1216:C1216"/>
    <mergeCell ref="A1218:C1218"/>
    <mergeCell ref="B1219:C1219"/>
    <mergeCell ref="A1220:C1220"/>
    <mergeCell ref="A1222:C1222"/>
    <mergeCell ref="C1196:D1196"/>
    <mergeCell ref="C1197:D1197"/>
    <mergeCell ref="C1198:D1198"/>
    <mergeCell ref="C1199:D1199"/>
    <mergeCell ref="A1200:D1200"/>
    <mergeCell ref="C1201:D1201"/>
    <mergeCell ref="C1202:D1202"/>
    <mergeCell ref="C1203:D1203"/>
    <mergeCell ref="A1204:D1204"/>
    <mergeCell ref="C1205:D1205"/>
    <mergeCell ref="A1206:D1206"/>
    <mergeCell ref="C1207:D1207"/>
    <mergeCell ref="A1208:D1208"/>
    <mergeCell ref="A1209:D1209"/>
    <mergeCell ref="C1210:D1210"/>
    <mergeCell ref="A1144:D1144"/>
    <mergeCell ref="A1145:D1145"/>
    <mergeCell ref="A1146:D1146"/>
    <mergeCell ref="C1147:D1147"/>
    <mergeCell ref="C1148:D1148"/>
    <mergeCell ref="C1149:D1149"/>
    <mergeCell ref="A1150:D1150"/>
    <mergeCell ref="A1151:D1151"/>
    <mergeCell ref="C1152:D1152"/>
    <mergeCell ref="C1153:D1153"/>
    <mergeCell ref="C1154:D1154"/>
    <mergeCell ref="C1155:D1155"/>
    <mergeCell ref="C1156:D1156"/>
    <mergeCell ref="C1157:D1157"/>
    <mergeCell ref="C1158:D1158"/>
    <mergeCell ref="C1159:D1159"/>
    <mergeCell ref="C1160:D1160"/>
    <mergeCell ref="A1127:D1127"/>
    <mergeCell ref="A1128:D1128"/>
    <mergeCell ref="C1129:D1129"/>
    <mergeCell ref="A1130:D1130"/>
    <mergeCell ref="C1131:D1131"/>
    <mergeCell ref="A1132:D1132"/>
    <mergeCell ref="A1133:D1133"/>
    <mergeCell ref="C1134:D1134"/>
    <mergeCell ref="A1135:D1135"/>
    <mergeCell ref="A1136:D1136"/>
    <mergeCell ref="C1137:D1137"/>
    <mergeCell ref="A1138:D1138"/>
    <mergeCell ref="A1139:D1139"/>
    <mergeCell ref="C1140:D1140"/>
    <mergeCell ref="A1141:D1141"/>
    <mergeCell ref="A1142:D1142"/>
    <mergeCell ref="C1143:D1143"/>
    <mergeCell ref="C1110:D1110"/>
    <mergeCell ref="A1111:D1111"/>
    <mergeCell ref="A1112:D1112"/>
    <mergeCell ref="C1113:D1113"/>
    <mergeCell ref="C1114:D1114"/>
    <mergeCell ref="C1115:D1115"/>
    <mergeCell ref="C1116:D1116"/>
    <mergeCell ref="C1117:D1117"/>
    <mergeCell ref="C1118:D1118"/>
    <mergeCell ref="C1119:D1119"/>
    <mergeCell ref="C1120:D1120"/>
    <mergeCell ref="C1121:D1121"/>
    <mergeCell ref="C1122:D1122"/>
    <mergeCell ref="C1123:D1123"/>
    <mergeCell ref="A1124:D1124"/>
    <mergeCell ref="A1125:D1125"/>
    <mergeCell ref="C1126:D1126"/>
    <mergeCell ref="C1093:D1093"/>
    <mergeCell ref="A1094:D1094"/>
    <mergeCell ref="C1095:D1095"/>
    <mergeCell ref="C1096:D1096"/>
    <mergeCell ref="A1097:D1097"/>
    <mergeCell ref="C1098:D1098"/>
    <mergeCell ref="C1099:D1099"/>
    <mergeCell ref="A1100:D1100"/>
    <mergeCell ref="C1101:D1101"/>
    <mergeCell ref="C1102:D1102"/>
    <mergeCell ref="C1103:D1103"/>
    <mergeCell ref="A1104:D1104"/>
    <mergeCell ref="C1105:D1105"/>
    <mergeCell ref="C1106:D1106"/>
    <mergeCell ref="C1107:D1107"/>
    <mergeCell ref="C1108:D1108"/>
    <mergeCell ref="A1109:D1109"/>
    <mergeCell ref="C1076:D1076"/>
    <mergeCell ref="C1077:D1077"/>
    <mergeCell ref="A1078:D1078"/>
    <mergeCell ref="C1079:D1079"/>
    <mergeCell ref="C1080:D1080"/>
    <mergeCell ref="C1081:D1081"/>
    <mergeCell ref="C1082:D1082"/>
    <mergeCell ref="C1083:D1083"/>
    <mergeCell ref="C1084:D1084"/>
    <mergeCell ref="A1085:D1085"/>
    <mergeCell ref="C1086:D1086"/>
    <mergeCell ref="C1087:D1087"/>
    <mergeCell ref="C1088:D1088"/>
    <mergeCell ref="C1089:D1089"/>
    <mergeCell ref="C1090:D1090"/>
    <mergeCell ref="C1091:D1091"/>
    <mergeCell ref="A1092:D1092"/>
    <mergeCell ref="C1059:D1059"/>
    <mergeCell ref="C1060:D1060"/>
    <mergeCell ref="A1061:D1061"/>
    <mergeCell ref="C1062:D1062"/>
    <mergeCell ref="A1063:D1063"/>
    <mergeCell ref="C1064:D1064"/>
    <mergeCell ref="C1065:D1065"/>
    <mergeCell ref="C1066:D1066"/>
    <mergeCell ref="C1067:D1067"/>
    <mergeCell ref="A1068:D1068"/>
    <mergeCell ref="C1069:D1069"/>
    <mergeCell ref="C1070:D1070"/>
    <mergeCell ref="C1071:D1071"/>
    <mergeCell ref="C1072:D1072"/>
    <mergeCell ref="C1073:D1073"/>
    <mergeCell ref="C1074:D1074"/>
    <mergeCell ref="A1075:D1075"/>
    <mergeCell ref="A1042:D1042"/>
    <mergeCell ref="C1043:D1043"/>
    <mergeCell ref="C1044:D1044"/>
    <mergeCell ref="C1045:D1045"/>
    <mergeCell ref="C1046:D1046"/>
    <mergeCell ref="C1047:D1047"/>
    <mergeCell ref="C1048:D1048"/>
    <mergeCell ref="C1049:D1049"/>
    <mergeCell ref="C1050:D1050"/>
    <mergeCell ref="C1051:D1051"/>
    <mergeCell ref="C1052:D1052"/>
    <mergeCell ref="C1053:D1053"/>
    <mergeCell ref="A1054:D1054"/>
    <mergeCell ref="C1055:D1055"/>
    <mergeCell ref="C1056:D1056"/>
    <mergeCell ref="C1057:D1057"/>
    <mergeCell ref="C1058:D1058"/>
    <mergeCell ref="C1025:D1025"/>
    <mergeCell ref="C1026:D1026"/>
    <mergeCell ref="C1027:D1027"/>
    <mergeCell ref="C1028:D1028"/>
    <mergeCell ref="C1029:D1029"/>
    <mergeCell ref="C1030:D1030"/>
    <mergeCell ref="A1031:D1031"/>
    <mergeCell ref="C1032:D1032"/>
    <mergeCell ref="C1033:D1033"/>
    <mergeCell ref="A1034:D1034"/>
    <mergeCell ref="C1035:D1035"/>
    <mergeCell ref="A1036:D1036"/>
    <mergeCell ref="C1037:D1037"/>
    <mergeCell ref="C1038:D1038"/>
    <mergeCell ref="A1039:D1039"/>
    <mergeCell ref="C1040:D1040"/>
    <mergeCell ref="C1041:D1041"/>
    <mergeCell ref="C994:D994"/>
    <mergeCell ref="C995:D995"/>
    <mergeCell ref="C996:D996"/>
    <mergeCell ref="C997:D997"/>
    <mergeCell ref="C998:D998"/>
    <mergeCell ref="C999:D999"/>
    <mergeCell ref="C1000:D1000"/>
    <mergeCell ref="C1015:D1015"/>
    <mergeCell ref="C1016:D1016"/>
    <mergeCell ref="C1017:D1017"/>
    <mergeCell ref="C1018:D1018"/>
    <mergeCell ref="C1019:D1019"/>
    <mergeCell ref="C1020:D1020"/>
    <mergeCell ref="A1021:D1021"/>
    <mergeCell ref="C1022:D1022"/>
    <mergeCell ref="C1023:D1023"/>
    <mergeCell ref="C1024:D1024"/>
    <mergeCell ref="C977:D977"/>
    <mergeCell ref="C978:D978"/>
    <mergeCell ref="C979:D979"/>
    <mergeCell ref="A980:D980"/>
    <mergeCell ref="C981:D981"/>
    <mergeCell ref="A982:D982"/>
    <mergeCell ref="C983:D983"/>
    <mergeCell ref="C984:D984"/>
    <mergeCell ref="C985:D985"/>
    <mergeCell ref="A986:D986"/>
    <mergeCell ref="A987:D987"/>
    <mergeCell ref="C988:D988"/>
    <mergeCell ref="C989:D989"/>
    <mergeCell ref="C990:D990"/>
    <mergeCell ref="A991:D991"/>
    <mergeCell ref="C992:D992"/>
    <mergeCell ref="C993:D993"/>
    <mergeCell ref="C1001:D1001"/>
    <mergeCell ref="A1002:D1002"/>
    <mergeCell ref="C1003:D1003"/>
    <mergeCell ref="C1004:D1004"/>
    <mergeCell ref="C1005:D1005"/>
    <mergeCell ref="C1006:D1006"/>
    <mergeCell ref="C1007:D1007"/>
    <mergeCell ref="C1008:D1008"/>
    <mergeCell ref="C1009:D1009"/>
    <mergeCell ref="C1010:D1010"/>
    <mergeCell ref="C1011:D1011"/>
    <mergeCell ref="C1012:D1012"/>
    <mergeCell ref="A1013:D1013"/>
    <mergeCell ref="C1014:D1014"/>
    <mergeCell ref="A959:D959"/>
    <mergeCell ref="C960:D960"/>
    <mergeCell ref="C961:D961"/>
    <mergeCell ref="C962:D962"/>
    <mergeCell ref="A963:D963"/>
    <mergeCell ref="C964:D964"/>
    <mergeCell ref="C965:D965"/>
    <mergeCell ref="C966:D966"/>
    <mergeCell ref="C967:D967"/>
    <mergeCell ref="A968:D968"/>
    <mergeCell ref="C969:D969"/>
    <mergeCell ref="C970:D970"/>
    <mergeCell ref="A971:D971"/>
    <mergeCell ref="C972:D972"/>
    <mergeCell ref="C973:D973"/>
    <mergeCell ref="C974:D974"/>
    <mergeCell ref="A975:D975"/>
    <mergeCell ref="C976:D976"/>
    <mergeCell ref="A942:D942"/>
    <mergeCell ref="C943:D943"/>
    <mergeCell ref="C944:D944"/>
    <mergeCell ref="C945:D945"/>
    <mergeCell ref="C946:D946"/>
    <mergeCell ref="C947:D947"/>
    <mergeCell ref="C948:D948"/>
    <mergeCell ref="C949:D949"/>
    <mergeCell ref="A950:D950"/>
    <mergeCell ref="C951:D951"/>
    <mergeCell ref="C952:D952"/>
    <mergeCell ref="C953:D953"/>
    <mergeCell ref="C954:D954"/>
    <mergeCell ref="C955:D955"/>
    <mergeCell ref="C956:D956"/>
    <mergeCell ref="C957:D957"/>
    <mergeCell ref="C958:D958"/>
    <mergeCell ref="C925:D925"/>
    <mergeCell ref="C926:D926"/>
    <mergeCell ref="C927:D927"/>
    <mergeCell ref="C928:D928"/>
    <mergeCell ref="C929:D929"/>
    <mergeCell ref="C930:D930"/>
    <mergeCell ref="C931:D931"/>
    <mergeCell ref="C932:D932"/>
    <mergeCell ref="A933:D933"/>
    <mergeCell ref="C934:D934"/>
    <mergeCell ref="C935:D935"/>
    <mergeCell ref="C936:D936"/>
    <mergeCell ref="C937:D937"/>
    <mergeCell ref="C938:D938"/>
    <mergeCell ref="C939:D939"/>
    <mergeCell ref="A940:D940"/>
    <mergeCell ref="C941:D941"/>
    <mergeCell ref="C859:D859"/>
    <mergeCell ref="C860:D860"/>
    <mergeCell ref="A910:D910"/>
    <mergeCell ref="C911:D911"/>
    <mergeCell ref="C912:D912"/>
    <mergeCell ref="C913:D913"/>
    <mergeCell ref="C914:D914"/>
    <mergeCell ref="C915:D915"/>
    <mergeCell ref="C916:D916"/>
    <mergeCell ref="A917:D917"/>
    <mergeCell ref="C918:D918"/>
    <mergeCell ref="C919:D919"/>
    <mergeCell ref="C920:D920"/>
    <mergeCell ref="C921:D921"/>
    <mergeCell ref="C922:D922"/>
    <mergeCell ref="C923:D923"/>
    <mergeCell ref="A924:D924"/>
    <mergeCell ref="C865:D865"/>
    <mergeCell ref="C866:D866"/>
    <mergeCell ref="C867:D867"/>
    <mergeCell ref="C868:D868"/>
    <mergeCell ref="C869:D869"/>
    <mergeCell ref="A870:D870"/>
    <mergeCell ref="C871:D871"/>
    <mergeCell ref="C872:D872"/>
    <mergeCell ref="C873:D873"/>
    <mergeCell ref="C874:D874"/>
    <mergeCell ref="C875:D875"/>
    <mergeCell ref="C876:D876"/>
    <mergeCell ref="C877:D877"/>
    <mergeCell ref="C878:D878"/>
    <mergeCell ref="C879:D879"/>
    <mergeCell ref="C842:D842"/>
    <mergeCell ref="C843:D843"/>
    <mergeCell ref="C844:D844"/>
    <mergeCell ref="C845:D845"/>
    <mergeCell ref="C846:D846"/>
    <mergeCell ref="C847:D847"/>
    <mergeCell ref="C848:D848"/>
    <mergeCell ref="A849:D849"/>
    <mergeCell ref="C850:D850"/>
    <mergeCell ref="C851:D851"/>
    <mergeCell ref="C852:D852"/>
    <mergeCell ref="A853:D853"/>
    <mergeCell ref="A854:D854"/>
    <mergeCell ref="C855:D855"/>
    <mergeCell ref="C856:D856"/>
    <mergeCell ref="C857:D857"/>
    <mergeCell ref="A858:D858"/>
    <mergeCell ref="C825:D825"/>
    <mergeCell ref="A826:D826"/>
    <mergeCell ref="C827:D827"/>
    <mergeCell ref="C828:D828"/>
    <mergeCell ref="C829:D829"/>
    <mergeCell ref="C830:D830"/>
    <mergeCell ref="A831:D831"/>
    <mergeCell ref="C832:D832"/>
    <mergeCell ref="C833:D833"/>
    <mergeCell ref="C834:D834"/>
    <mergeCell ref="C835:D835"/>
    <mergeCell ref="C836:D836"/>
    <mergeCell ref="C837:D837"/>
    <mergeCell ref="C838:D838"/>
    <mergeCell ref="A839:D839"/>
    <mergeCell ref="C840:D840"/>
    <mergeCell ref="C841:D841"/>
    <mergeCell ref="C808:D808"/>
    <mergeCell ref="C809:D809"/>
    <mergeCell ref="C810:D810"/>
    <mergeCell ref="C811:D811"/>
    <mergeCell ref="C812:D812"/>
    <mergeCell ref="A813:D813"/>
    <mergeCell ref="C814:D814"/>
    <mergeCell ref="C815:D815"/>
    <mergeCell ref="C816:D816"/>
    <mergeCell ref="C817:D817"/>
    <mergeCell ref="C818:D818"/>
    <mergeCell ref="C819:D819"/>
    <mergeCell ref="A820:D820"/>
    <mergeCell ref="C821:D821"/>
    <mergeCell ref="C822:D822"/>
    <mergeCell ref="C823:D823"/>
    <mergeCell ref="C824:D824"/>
    <mergeCell ref="C791:D791"/>
    <mergeCell ref="A792:D792"/>
    <mergeCell ref="A793:D793"/>
    <mergeCell ref="C794:D794"/>
    <mergeCell ref="A795:D795"/>
    <mergeCell ref="A796:D796"/>
    <mergeCell ref="C797:D797"/>
    <mergeCell ref="C798:D798"/>
    <mergeCell ref="A799:D799"/>
    <mergeCell ref="C800:D800"/>
    <mergeCell ref="C801:D801"/>
    <mergeCell ref="C802:D802"/>
    <mergeCell ref="A803:D803"/>
    <mergeCell ref="C804:D804"/>
    <mergeCell ref="C805:D805"/>
    <mergeCell ref="C806:D806"/>
    <mergeCell ref="C807:D807"/>
    <mergeCell ref="A774:D774"/>
    <mergeCell ref="C775:D775"/>
    <mergeCell ref="C776:D776"/>
    <mergeCell ref="C777:D777"/>
    <mergeCell ref="C778:D778"/>
    <mergeCell ref="C779:D779"/>
    <mergeCell ref="C780:D780"/>
    <mergeCell ref="C781:D781"/>
    <mergeCell ref="C782:D782"/>
    <mergeCell ref="C783:D783"/>
    <mergeCell ref="C784:D784"/>
    <mergeCell ref="C785:D785"/>
    <mergeCell ref="C786:D786"/>
    <mergeCell ref="C787:D787"/>
    <mergeCell ref="C788:D788"/>
    <mergeCell ref="C789:D789"/>
    <mergeCell ref="C790:D790"/>
    <mergeCell ref="C540:D540"/>
    <mergeCell ref="C541:D541"/>
    <mergeCell ref="A542:D542"/>
    <mergeCell ref="C543:D543"/>
    <mergeCell ref="A544:D544"/>
    <mergeCell ref="C545:D545"/>
    <mergeCell ref="C763:D763"/>
    <mergeCell ref="C764:D764"/>
    <mergeCell ref="C765:D765"/>
    <mergeCell ref="C766:D766"/>
    <mergeCell ref="C767:D767"/>
    <mergeCell ref="C768:D768"/>
    <mergeCell ref="C769:D769"/>
    <mergeCell ref="C770:D770"/>
    <mergeCell ref="C771:D771"/>
    <mergeCell ref="C772:D772"/>
    <mergeCell ref="C773:D773"/>
    <mergeCell ref="C582:D582"/>
    <mergeCell ref="C583:D583"/>
    <mergeCell ref="C584:D584"/>
    <mergeCell ref="C585:D585"/>
    <mergeCell ref="C586:D586"/>
    <mergeCell ref="C587:D587"/>
    <mergeCell ref="C588:D588"/>
    <mergeCell ref="C589:D589"/>
    <mergeCell ref="C590:D590"/>
    <mergeCell ref="C591:D591"/>
    <mergeCell ref="C592:D592"/>
    <mergeCell ref="C593:D593"/>
    <mergeCell ref="C594:D594"/>
    <mergeCell ref="C595:D595"/>
    <mergeCell ref="A596:D596"/>
    <mergeCell ref="C467:D467"/>
    <mergeCell ref="C468:D468"/>
    <mergeCell ref="C483:D483"/>
    <mergeCell ref="C484:D484"/>
    <mergeCell ref="C485:D485"/>
    <mergeCell ref="C486:D486"/>
    <mergeCell ref="C487:D487"/>
    <mergeCell ref="A488:D488"/>
    <mergeCell ref="C489:D489"/>
    <mergeCell ref="C532:D532"/>
    <mergeCell ref="C533:D533"/>
    <mergeCell ref="A534:D534"/>
    <mergeCell ref="C535:D535"/>
    <mergeCell ref="C536:D536"/>
    <mergeCell ref="C537:D537"/>
    <mergeCell ref="C538:D538"/>
    <mergeCell ref="C539:D539"/>
    <mergeCell ref="C490:D490"/>
    <mergeCell ref="C491:D491"/>
    <mergeCell ref="C492:D492"/>
    <mergeCell ref="C493:D493"/>
    <mergeCell ref="C494:D494"/>
    <mergeCell ref="C495:D495"/>
    <mergeCell ref="C496:D496"/>
    <mergeCell ref="A497:D497"/>
    <mergeCell ref="C498:D498"/>
    <mergeCell ref="C499:D499"/>
    <mergeCell ref="C500:D500"/>
    <mergeCell ref="C501:D501"/>
    <mergeCell ref="C502:D502"/>
    <mergeCell ref="C503:D503"/>
    <mergeCell ref="A504:D504"/>
    <mergeCell ref="C476:D476"/>
    <mergeCell ref="C477:D477"/>
    <mergeCell ref="A478:D478"/>
    <mergeCell ref="C479:D479"/>
    <mergeCell ref="C480:D480"/>
    <mergeCell ref="C481:D481"/>
    <mergeCell ref="C482:D482"/>
    <mergeCell ref="C427:D427"/>
    <mergeCell ref="C428:D428"/>
    <mergeCell ref="C429:D429"/>
    <mergeCell ref="C430:D430"/>
    <mergeCell ref="C431:D431"/>
    <mergeCell ref="C432:D432"/>
    <mergeCell ref="C433:D433"/>
    <mergeCell ref="C434:D434"/>
    <mergeCell ref="C435:D435"/>
    <mergeCell ref="C436:D436"/>
    <mergeCell ref="C437:D437"/>
    <mergeCell ref="A438:D438"/>
    <mergeCell ref="C439:D439"/>
    <mergeCell ref="C440:D440"/>
    <mergeCell ref="C441:D441"/>
    <mergeCell ref="C442:D442"/>
    <mergeCell ref="C443:D443"/>
    <mergeCell ref="C444:D444"/>
    <mergeCell ref="C445:D445"/>
    <mergeCell ref="C446:D446"/>
    <mergeCell ref="C447:D447"/>
    <mergeCell ref="C448:D448"/>
    <mergeCell ref="C449:D449"/>
    <mergeCell ref="C450:D450"/>
    <mergeCell ref="C451:D451"/>
    <mergeCell ref="C417:D417"/>
    <mergeCell ref="C418:D418"/>
    <mergeCell ref="A419:D419"/>
    <mergeCell ref="C420:D420"/>
    <mergeCell ref="C421:D421"/>
    <mergeCell ref="C422:D422"/>
    <mergeCell ref="C423:D423"/>
    <mergeCell ref="C424:D424"/>
    <mergeCell ref="C425:D425"/>
    <mergeCell ref="C426:D426"/>
    <mergeCell ref="C469:D469"/>
    <mergeCell ref="C470:D470"/>
    <mergeCell ref="C471:D471"/>
    <mergeCell ref="C472:D472"/>
    <mergeCell ref="A473:D473"/>
    <mergeCell ref="C474:D474"/>
    <mergeCell ref="C475:D475"/>
    <mergeCell ref="C452:D452"/>
    <mergeCell ref="C453:D453"/>
    <mergeCell ref="C454:D454"/>
    <mergeCell ref="C455:D455"/>
    <mergeCell ref="C456:D456"/>
    <mergeCell ref="A457:D457"/>
    <mergeCell ref="C458:D458"/>
    <mergeCell ref="C459:D459"/>
    <mergeCell ref="A460:D460"/>
    <mergeCell ref="C461:D461"/>
    <mergeCell ref="A462:D462"/>
    <mergeCell ref="A463:D463"/>
    <mergeCell ref="C464:D464"/>
    <mergeCell ref="C465:D465"/>
    <mergeCell ref="C466:D466"/>
    <mergeCell ref="C400:D400"/>
    <mergeCell ref="C401:D401"/>
    <mergeCell ref="C402:D402"/>
    <mergeCell ref="C403:D403"/>
    <mergeCell ref="C404:D404"/>
    <mergeCell ref="C405:D405"/>
    <mergeCell ref="C406:D406"/>
    <mergeCell ref="C407:D407"/>
    <mergeCell ref="C408:D408"/>
    <mergeCell ref="C409:D409"/>
    <mergeCell ref="C410:D410"/>
    <mergeCell ref="C411:D411"/>
    <mergeCell ref="C412:D412"/>
    <mergeCell ref="C413:D413"/>
    <mergeCell ref="C414:D414"/>
    <mergeCell ref="C415:D415"/>
    <mergeCell ref="C416:D416"/>
    <mergeCell ref="C383:D383"/>
    <mergeCell ref="C384:D384"/>
    <mergeCell ref="C385:D385"/>
    <mergeCell ref="C386:D386"/>
    <mergeCell ref="C387:D387"/>
    <mergeCell ref="C388:D388"/>
    <mergeCell ref="C389:D389"/>
    <mergeCell ref="C390:D390"/>
    <mergeCell ref="C391:D391"/>
    <mergeCell ref="C392:D392"/>
    <mergeCell ref="C393:D393"/>
    <mergeCell ref="C394:D394"/>
    <mergeCell ref="C395:D395"/>
    <mergeCell ref="A396:D396"/>
    <mergeCell ref="A397:D397"/>
    <mergeCell ref="C398:D398"/>
    <mergeCell ref="C399:D399"/>
    <mergeCell ref="C366:D366"/>
    <mergeCell ref="C367:D367"/>
    <mergeCell ref="C368:D368"/>
    <mergeCell ref="C369:D369"/>
    <mergeCell ref="C370:D370"/>
    <mergeCell ref="C371:D371"/>
    <mergeCell ref="C372:D372"/>
    <mergeCell ref="C373:D373"/>
    <mergeCell ref="C374:D374"/>
    <mergeCell ref="C375:D375"/>
    <mergeCell ref="C376:D376"/>
    <mergeCell ref="C377:D377"/>
    <mergeCell ref="C378:D378"/>
    <mergeCell ref="C379:D379"/>
    <mergeCell ref="C380:D380"/>
    <mergeCell ref="C381:D381"/>
    <mergeCell ref="C382:D382"/>
    <mergeCell ref="C349:D349"/>
    <mergeCell ref="C350:D350"/>
    <mergeCell ref="C351:D351"/>
    <mergeCell ref="C352:D352"/>
    <mergeCell ref="C353:D353"/>
    <mergeCell ref="C354:D354"/>
    <mergeCell ref="C355:D355"/>
    <mergeCell ref="C356:D356"/>
    <mergeCell ref="C357:D357"/>
    <mergeCell ref="C358:D358"/>
    <mergeCell ref="C359:D359"/>
    <mergeCell ref="C360:D360"/>
    <mergeCell ref="C361:D361"/>
    <mergeCell ref="C362:D362"/>
    <mergeCell ref="C363:D363"/>
    <mergeCell ref="C364:D364"/>
    <mergeCell ref="C365:D365"/>
    <mergeCell ref="C332:D332"/>
    <mergeCell ref="C333:D333"/>
    <mergeCell ref="C334:D334"/>
    <mergeCell ref="C335:D335"/>
    <mergeCell ref="A336:D336"/>
    <mergeCell ref="C337:D337"/>
    <mergeCell ref="C338:D338"/>
    <mergeCell ref="C339:D339"/>
    <mergeCell ref="C340:D340"/>
    <mergeCell ref="A341:D341"/>
    <mergeCell ref="A342:D342"/>
    <mergeCell ref="C343:D343"/>
    <mergeCell ref="A344:D344"/>
    <mergeCell ref="C345:D345"/>
    <mergeCell ref="A346:D346"/>
    <mergeCell ref="C347:D347"/>
    <mergeCell ref="C348:D348"/>
    <mergeCell ref="C273:D273"/>
    <mergeCell ref="C274:D274"/>
    <mergeCell ref="C275:D275"/>
    <mergeCell ref="C276:D276"/>
    <mergeCell ref="C277:D277"/>
    <mergeCell ref="A278:D278"/>
    <mergeCell ref="C279:D279"/>
    <mergeCell ref="C322:D322"/>
    <mergeCell ref="C323:D323"/>
    <mergeCell ref="C324:D324"/>
    <mergeCell ref="C325:D325"/>
    <mergeCell ref="A326:D326"/>
    <mergeCell ref="C327:D327"/>
    <mergeCell ref="C328:D328"/>
    <mergeCell ref="C329:D329"/>
    <mergeCell ref="C330:D330"/>
    <mergeCell ref="A331:D331"/>
    <mergeCell ref="C310:D310"/>
    <mergeCell ref="A311:D311"/>
    <mergeCell ref="C312:D312"/>
    <mergeCell ref="C313:D313"/>
    <mergeCell ref="C314:D314"/>
    <mergeCell ref="C315:D315"/>
    <mergeCell ref="A316:D316"/>
    <mergeCell ref="C317:D317"/>
    <mergeCell ref="C318:D318"/>
    <mergeCell ref="C319:D319"/>
    <mergeCell ref="C320:D320"/>
    <mergeCell ref="A321:D321"/>
    <mergeCell ref="C238:D238"/>
    <mergeCell ref="C239:D239"/>
    <mergeCell ref="C240:D240"/>
    <mergeCell ref="C241:D241"/>
    <mergeCell ref="C242:D242"/>
    <mergeCell ref="C243:D243"/>
    <mergeCell ref="C244:D244"/>
    <mergeCell ref="C245:D245"/>
    <mergeCell ref="C246:D246"/>
    <mergeCell ref="C247:D247"/>
    <mergeCell ref="C248:D248"/>
    <mergeCell ref="C249:D249"/>
    <mergeCell ref="C250:D250"/>
    <mergeCell ref="C251:D251"/>
    <mergeCell ref="A252:D252"/>
    <mergeCell ref="C253:D253"/>
    <mergeCell ref="A254:D254"/>
    <mergeCell ref="A255:D255"/>
    <mergeCell ref="C256:D256"/>
    <mergeCell ref="A257:D257"/>
    <mergeCell ref="C293:D293"/>
    <mergeCell ref="C294:D294"/>
    <mergeCell ref="C295:D295"/>
    <mergeCell ref="C296:D296"/>
    <mergeCell ref="C297:D297"/>
    <mergeCell ref="C298:D298"/>
    <mergeCell ref="A299:D299"/>
    <mergeCell ref="C300:D300"/>
    <mergeCell ref="C301:D301"/>
    <mergeCell ref="C302:D302"/>
    <mergeCell ref="C303:D303"/>
    <mergeCell ref="C304:D304"/>
    <mergeCell ref="C305:D305"/>
    <mergeCell ref="A306:D306"/>
    <mergeCell ref="C307:D307"/>
    <mergeCell ref="C308:D308"/>
    <mergeCell ref="C309:D309"/>
    <mergeCell ref="C234:D234"/>
    <mergeCell ref="C235:D235"/>
    <mergeCell ref="C236:D236"/>
    <mergeCell ref="C237:D237"/>
    <mergeCell ref="C280:D280"/>
    <mergeCell ref="C281:D281"/>
    <mergeCell ref="C282:D282"/>
    <mergeCell ref="C283:D283"/>
    <mergeCell ref="C284:D284"/>
    <mergeCell ref="A285:D285"/>
    <mergeCell ref="C286:D286"/>
    <mergeCell ref="C287:D287"/>
    <mergeCell ref="C288:D288"/>
    <mergeCell ref="C289:D289"/>
    <mergeCell ref="C290:D290"/>
    <mergeCell ref="C291:D291"/>
    <mergeCell ref="A292:D292"/>
    <mergeCell ref="C258:D258"/>
    <mergeCell ref="C259:D259"/>
    <mergeCell ref="C260:D260"/>
    <mergeCell ref="C261:D261"/>
    <mergeCell ref="C262:D262"/>
    <mergeCell ref="C263:D263"/>
    <mergeCell ref="A264:D264"/>
    <mergeCell ref="C265:D265"/>
    <mergeCell ref="C266:D266"/>
    <mergeCell ref="C267:D267"/>
    <mergeCell ref="C268:D268"/>
    <mergeCell ref="C269:D269"/>
    <mergeCell ref="C270:D270"/>
    <mergeCell ref="A271:D271"/>
    <mergeCell ref="C272:D272"/>
    <mergeCell ref="A217:D217"/>
    <mergeCell ref="C218:D218"/>
    <mergeCell ref="A219:D219"/>
    <mergeCell ref="C220:D220"/>
    <mergeCell ref="A221:D221"/>
    <mergeCell ref="A222:D222"/>
    <mergeCell ref="C223:D223"/>
    <mergeCell ref="A224:D224"/>
    <mergeCell ref="C225:D225"/>
    <mergeCell ref="A226:D226"/>
    <mergeCell ref="C227:D227"/>
    <mergeCell ref="C228:D228"/>
    <mergeCell ref="C229:D229"/>
    <mergeCell ref="C230:D230"/>
    <mergeCell ref="C231:D231"/>
    <mergeCell ref="C232:D232"/>
    <mergeCell ref="C233:D233"/>
    <mergeCell ref="C200:D200"/>
    <mergeCell ref="A201:D201"/>
    <mergeCell ref="C202:D202"/>
    <mergeCell ref="A203:D203"/>
    <mergeCell ref="C204:D204"/>
    <mergeCell ref="A205:D205"/>
    <mergeCell ref="C206:D206"/>
    <mergeCell ref="A207:D207"/>
    <mergeCell ref="C208:D208"/>
    <mergeCell ref="A209:D209"/>
    <mergeCell ref="C210:D210"/>
    <mergeCell ref="A211:D211"/>
    <mergeCell ref="C212:D212"/>
    <mergeCell ref="A213:D213"/>
    <mergeCell ref="C214:D214"/>
    <mergeCell ref="A215:D215"/>
    <mergeCell ref="C216:D216"/>
    <mergeCell ref="C183:D183"/>
    <mergeCell ref="A184:D184"/>
    <mergeCell ref="C185:D185"/>
    <mergeCell ref="A186:D186"/>
    <mergeCell ref="C187:D187"/>
    <mergeCell ref="C188:D188"/>
    <mergeCell ref="A189:D189"/>
    <mergeCell ref="C190:D190"/>
    <mergeCell ref="A191:D191"/>
    <mergeCell ref="C192:D192"/>
    <mergeCell ref="A193:D193"/>
    <mergeCell ref="C194:D194"/>
    <mergeCell ref="A195:D195"/>
    <mergeCell ref="C196:D196"/>
    <mergeCell ref="A197:D197"/>
    <mergeCell ref="C198:D198"/>
    <mergeCell ref="A199:D199"/>
    <mergeCell ref="C166:D166"/>
    <mergeCell ref="C167:D167"/>
    <mergeCell ref="C168:D168"/>
    <mergeCell ref="C169:D169"/>
    <mergeCell ref="C170:D170"/>
    <mergeCell ref="C171:D171"/>
    <mergeCell ref="C172:D172"/>
    <mergeCell ref="A173:D173"/>
    <mergeCell ref="A174:D174"/>
    <mergeCell ref="C175:D175"/>
    <mergeCell ref="A176:D176"/>
    <mergeCell ref="C177:D177"/>
    <mergeCell ref="A178:D178"/>
    <mergeCell ref="C179:D179"/>
    <mergeCell ref="A180:D180"/>
    <mergeCell ref="C181:D181"/>
    <mergeCell ref="A182:D182"/>
    <mergeCell ref="A149:D149"/>
    <mergeCell ref="C150:D150"/>
    <mergeCell ref="C151:D151"/>
    <mergeCell ref="C152:D152"/>
    <mergeCell ref="C153:D153"/>
    <mergeCell ref="C154:D154"/>
    <mergeCell ref="C155:D155"/>
    <mergeCell ref="C156:D156"/>
    <mergeCell ref="C157:D157"/>
    <mergeCell ref="C158:D158"/>
    <mergeCell ref="C159:D159"/>
    <mergeCell ref="C160:D160"/>
    <mergeCell ref="C161:D161"/>
    <mergeCell ref="C162:D162"/>
    <mergeCell ref="C163:D163"/>
    <mergeCell ref="C164:D164"/>
    <mergeCell ref="C165:D165"/>
    <mergeCell ref="C132:D132"/>
    <mergeCell ref="C133:D133"/>
    <mergeCell ref="C134:D134"/>
    <mergeCell ref="C135:D135"/>
    <mergeCell ref="C136:D136"/>
    <mergeCell ref="C137:D137"/>
    <mergeCell ref="C138:D138"/>
    <mergeCell ref="C139:D139"/>
    <mergeCell ref="C140:D140"/>
    <mergeCell ref="C141:D141"/>
    <mergeCell ref="C142:D142"/>
    <mergeCell ref="C143:D143"/>
    <mergeCell ref="C144:D144"/>
    <mergeCell ref="C145:D145"/>
    <mergeCell ref="C146:D146"/>
    <mergeCell ref="C147:D147"/>
    <mergeCell ref="C148:D148"/>
    <mergeCell ref="C115:D115"/>
    <mergeCell ref="C116:D116"/>
    <mergeCell ref="C117:D117"/>
    <mergeCell ref="C118:D118"/>
    <mergeCell ref="C119:D119"/>
    <mergeCell ref="C120:D120"/>
    <mergeCell ref="C121:D121"/>
    <mergeCell ref="C122:D122"/>
    <mergeCell ref="C123:D123"/>
    <mergeCell ref="C124:D124"/>
    <mergeCell ref="C125:D125"/>
    <mergeCell ref="C126:D126"/>
    <mergeCell ref="C127:D127"/>
    <mergeCell ref="C128:D128"/>
    <mergeCell ref="A129:D129"/>
    <mergeCell ref="C130:D130"/>
    <mergeCell ref="A131:D131"/>
    <mergeCell ref="C98:D98"/>
    <mergeCell ref="C99:D99"/>
    <mergeCell ref="A100:D100"/>
    <mergeCell ref="C101:D101"/>
    <mergeCell ref="C102:D102"/>
    <mergeCell ref="C103:D103"/>
    <mergeCell ref="C104:D104"/>
    <mergeCell ref="C105:D105"/>
    <mergeCell ref="C106:D106"/>
    <mergeCell ref="C107:D107"/>
    <mergeCell ref="C108:D108"/>
    <mergeCell ref="C109:D109"/>
    <mergeCell ref="C110:D110"/>
    <mergeCell ref="C111:D111"/>
    <mergeCell ref="C112:D112"/>
    <mergeCell ref="C113:D113"/>
    <mergeCell ref="C114:D114"/>
    <mergeCell ref="C81:D81"/>
    <mergeCell ref="C82:D82"/>
    <mergeCell ref="C83:D83"/>
    <mergeCell ref="C84:D84"/>
    <mergeCell ref="C85:D85"/>
    <mergeCell ref="C86:D86"/>
    <mergeCell ref="C87:D87"/>
    <mergeCell ref="C88:D88"/>
    <mergeCell ref="C89:D89"/>
    <mergeCell ref="C90:D90"/>
    <mergeCell ref="C91:D91"/>
    <mergeCell ref="C92:D92"/>
    <mergeCell ref="C93:D93"/>
    <mergeCell ref="C94:D94"/>
    <mergeCell ref="C95:D95"/>
    <mergeCell ref="C96:D96"/>
    <mergeCell ref="C97:D97"/>
    <mergeCell ref="A64:D64"/>
    <mergeCell ref="A65:D65"/>
    <mergeCell ref="C66:D66"/>
    <mergeCell ref="A67:D67"/>
    <mergeCell ref="A68:D68"/>
    <mergeCell ref="C69:D69"/>
    <mergeCell ref="C70:D70"/>
    <mergeCell ref="C71:D71"/>
    <mergeCell ref="C72:D72"/>
    <mergeCell ref="C73:D73"/>
    <mergeCell ref="C74:D74"/>
    <mergeCell ref="C75:D75"/>
    <mergeCell ref="C76:D76"/>
    <mergeCell ref="C77:D77"/>
    <mergeCell ref="C78:D78"/>
    <mergeCell ref="C79:D79"/>
    <mergeCell ref="C80:D80"/>
    <mergeCell ref="C47:D47"/>
    <mergeCell ref="C48:D48"/>
    <mergeCell ref="C49:D49"/>
    <mergeCell ref="C50:D50"/>
    <mergeCell ref="C51:D51"/>
    <mergeCell ref="C52:D52"/>
    <mergeCell ref="C53:D53"/>
    <mergeCell ref="C54:D54"/>
    <mergeCell ref="C55:D55"/>
    <mergeCell ref="C56:D56"/>
    <mergeCell ref="C57:D57"/>
    <mergeCell ref="C58:D58"/>
    <mergeCell ref="A59:D59"/>
    <mergeCell ref="C60:D60"/>
    <mergeCell ref="C61:D61"/>
    <mergeCell ref="C62:D62"/>
    <mergeCell ref="C63:D63"/>
    <mergeCell ref="A25:D25"/>
    <mergeCell ref="A27:B27"/>
    <mergeCell ref="A28:B28"/>
    <mergeCell ref="A29:B31"/>
    <mergeCell ref="D29:D31"/>
    <mergeCell ref="A34:D34"/>
    <mergeCell ref="A36:D36"/>
    <mergeCell ref="A37:D37"/>
    <mergeCell ref="C38:D38"/>
    <mergeCell ref="A39:D39"/>
    <mergeCell ref="C40:D40"/>
    <mergeCell ref="C41:D41"/>
    <mergeCell ref="C42:D42"/>
    <mergeCell ref="C43:D43"/>
    <mergeCell ref="C44:D44"/>
    <mergeCell ref="C45:D45"/>
    <mergeCell ref="C46:D46"/>
    <mergeCell ref="C20:D20"/>
    <mergeCell ref="C21:D21"/>
    <mergeCell ref="C22:D22"/>
    <mergeCell ref="C23:D23"/>
    <mergeCell ref="C24:D24"/>
    <mergeCell ref="A13:B13"/>
    <mergeCell ref="C13:D13"/>
    <mergeCell ref="A14:B14"/>
    <mergeCell ref="C14:D14"/>
    <mergeCell ref="A15:B15"/>
    <mergeCell ref="C15:D15"/>
    <mergeCell ref="C16:D16"/>
    <mergeCell ref="A16:B16"/>
    <mergeCell ref="A17:B17"/>
    <mergeCell ref="A18:B18"/>
    <mergeCell ref="A19:B19"/>
    <mergeCell ref="A20:B20"/>
    <mergeCell ref="A21:B21"/>
    <mergeCell ref="A22:B22"/>
    <mergeCell ref="A23:B23"/>
    <mergeCell ref="A24:B24"/>
    <mergeCell ref="A1:D1"/>
    <mergeCell ref="A2:D2"/>
    <mergeCell ref="A3:B3"/>
    <mergeCell ref="C3:D3"/>
    <mergeCell ref="A4:B4"/>
    <mergeCell ref="C4:D4"/>
    <mergeCell ref="A6:D6"/>
    <mergeCell ref="A7:D7"/>
    <mergeCell ref="A8:D8"/>
    <mergeCell ref="A9:D9"/>
    <mergeCell ref="A10:D10"/>
    <mergeCell ref="C11:D11"/>
    <mergeCell ref="A12:B12"/>
    <mergeCell ref="C12:D12"/>
    <mergeCell ref="C17:D17"/>
    <mergeCell ref="C18:D18"/>
    <mergeCell ref="C19:D19"/>
  </mergeCells>
  <conditionalFormatting sqref="A950 A1146">
    <cfRule type="notContainsBlanks" dxfId="15" priority="1">
      <formula>LEN(TRIM(A950))&gt;0</formula>
    </cfRule>
  </conditionalFormatting>
  <conditionalFormatting sqref="A870:A880 A896">
    <cfRule type="notContainsBlanks" dxfId="14" priority="2">
      <formula>LEN(TRIM(A870))&gt;0</formula>
    </cfRule>
  </conditionalFormatting>
  <conditionalFormatting sqref="A870:A880 A896">
    <cfRule type="notContainsBlanks" dxfId="13" priority="3">
      <formula>LEN(TRIM(A870))&gt;0</formula>
    </cfRule>
  </conditionalFormatting>
  <conditionalFormatting sqref="A858 A870">
    <cfRule type="notContainsBlanks" dxfId="12" priority="4">
      <formula>LEN(TRIM(A858))&gt;0</formula>
    </cfRule>
  </conditionalFormatting>
  <conditionalFormatting sqref="A858 A870">
    <cfRule type="notContainsBlanks" dxfId="11" priority="5">
      <formula>LEN(TRIM(A858))&gt;0</formula>
    </cfRule>
  </conditionalFormatting>
  <conditionalFormatting sqref="A513 A525">
    <cfRule type="notContainsBlanks" dxfId="10" priority="6">
      <formula>LEN(TRIM(A513))&gt;0</formula>
    </cfRule>
  </conditionalFormatting>
  <conditionalFormatting sqref="A504">
    <cfRule type="notContainsBlanks" dxfId="9" priority="7">
      <formula>LEN(TRIM(A504))&gt;0</formula>
    </cfRule>
  </conditionalFormatting>
  <conditionalFormatting sqref="A463 A473 A478 A488 A497">
    <cfRule type="notContainsBlanks" dxfId="8" priority="8">
      <formula>LEN(TRIM(A463))&gt;0</formula>
    </cfRule>
  </conditionalFormatting>
  <conditionalFormatting sqref="A397">
    <cfRule type="notContainsBlanks" dxfId="7" priority="9">
      <formula>LEN(TRIM(A397))&gt;0</formula>
    </cfRule>
  </conditionalFormatting>
  <conditionalFormatting sqref="A306 A311 A316 A321 A326 A331 A336 A342 A508">
    <cfRule type="notContainsBlanks" dxfId="6" priority="10">
      <formula>LEN(TRIM(A306))&gt;0</formula>
    </cfRule>
  </conditionalFormatting>
  <conditionalFormatting sqref="A257 A264 A271 A299">
    <cfRule type="notContainsBlanks" dxfId="5" priority="11">
      <formula>LEN(TRIM(A257))&gt;0</formula>
    </cfRule>
  </conditionalFormatting>
  <conditionalFormatting sqref="A226">
    <cfRule type="notContainsBlanks" dxfId="4" priority="12">
      <formula>LEN(TRIM(A226))&gt;0</formula>
    </cfRule>
  </conditionalFormatting>
  <conditionalFormatting sqref="A174 B594:D595 U594:U595 V594 AE594:AE595 J595 B598:B609 C598:D600 S598:S600 V598:Z600 AB598:AE600 C602:D608 S602:S605 V602:Z608 AB602:AE608 B611:B632 C621:D632 U621:U627 V621:V632 W621:Z627 AB621:AD627 AE621:AE632 U630:U631 A632 S632 B634:B645 C634:D636 S634:S636 V634:Z636 AB634:AE636 C638:D644 S638:S644 V638:Z644 AB638:AE644 B647:B774 C657:D774 S657:S672 U657:U663 V657:V664 W657:Z663 AB657:AD663 AE657:AE774 U666:V667 A668:A774 V669:V706 W669:X698 Y669:Y687 Z669:Z685 AB669:AD685 S674:S680 U687:U689 Z687:Z698 AB687:AD698 Y689:Y698 S693:S707 U693:U698 U701:U702 W704:W733 X704:X723 Y704:Y721 Z704:Z720 AB704:AD720 V708:V727 S709:S715 U721:U722 Z722:Z723 AB722:AD723 U724 Y724:Y733 X725:X733 Z725:Z733 AB725:AD733 U727:U733 S729:S742 V729:V742 U736:U737 S744:S750 U756:U757 U759 U762:U765 W763:W768 X763:Y769 Z763:Z765 AB763:AD765 S764:S772 H767 L767 R767 T767 U767:U768 V767 Z767:Z768 AB767:AD768 U772 V772:V785 F774:H785 J774:L785 O774:U785 W774:Z785 AB774:AD785 B785 F787:H791 J787:L791 O787:Z791 AB787:AD790 B791:D791 AE791">
    <cfRule type="notContainsBlanks" dxfId="3" priority="13">
      <formula>LEN(TRIM(A174))&gt;0</formula>
    </cfRule>
  </conditionalFormatting>
  <conditionalFormatting sqref="B560:B596 C560:C570 D560:D562 AE560:AE562 D564:D570 AE564:AE570 C576:C596 D582 AE582 D584:D596 S584:T588 U584:U587 V584:V590 W584:W589 X584 Y584:Z590 AB584:AD590 AE584:AE596 U589:U590 X589:X591 S590:T590 U594:U595 V594 A595:A596 J595 W598:X620 Y598:Y615 Z598:Z613 AB598:AD613 B600:B602 C601:C606 D602:D606 S602:S605 V602:V606 AE602:AE606 B604:B624 C614:C620 Z615:Z620 AB615:AD620 Y617:Y620 B628 C630:C631 V630:V631 B631 D631 U631 AE631 W633:X656 Y633:Y651 Z633:Z649 AB633:AD649 B636:B638 C637:C642 D638:D642 S638:S642 V638:V641 AE638:AE642 B640:B660 C650:C656 Z651:Z656 AB651:AD656 Y653:Y656 B664 C666:C668 V666:V667 B667:B668 D667:D668 S667:S668 U667 AE667:AE668 A668 W669:X692 Y669:Y687 Z669:Z685 AB669:AD685 B672:B674 C673:C678 D674:D678 S674:S678 V674:V677 AE674:AE678 B676:B695 C686:C692 Z687:Z692 AB687:AD692 Y689:Y692 B699 C701:C702 V701:V702 B702 D702 S702 U702 AE702 W704:W727 X704:X723 Y704:Y721 Z704:Z720 AB704:AD720 B707:B709 C708:C713 D709:D713 S709:S713 V709:V712 AE709:AE713 B711:B730 C721:C727 Z722:Z723 AB722:AD723 Y724:Y727 X725:X727 Z725:Z727 AB725:AD726 B734 C736:C737 V736:V737 B737 D737 S737 U737 AE737 B742:B744 C743:C748 D744:D748 S744:S748 AE744:AE748 B746:B766 C756:C762 B770 C772:C773 V772:V773 B773 D773 AE773 C785">
    <cfRule type="notContainsBlanks" dxfId="2" priority="14">
      <formula>LEN(TRIM(B560))&gt;0</formula>
    </cfRule>
  </conditionalFormatting>
  <conditionalFormatting sqref="A558:D558 AE558">
    <cfRule type="notContainsBlanks" dxfId="1" priority="15">
      <formula>LEN(TRIM(A558))&gt;0</formula>
    </cfRule>
  </conditionalFormatting>
  <conditionalFormatting sqref="B57:D59 A59 A528:A530 B528:B541 C528:D528 AE528 C530:D530 AE530 A532:A534 C532:D541 AE532:AE541 A557:D557 AE557">
    <cfRule type="notContainsBlanks" dxfId="0" priority="16">
      <formula>LEN(TRIM(B57))&gt;0</formula>
    </cfRule>
  </conditionalFormatting>
  <dataValidations count="2">
    <dataValidation type="list" allowBlank="1" sqref="C3" xr:uid="{00000000-0002-0000-0300-000000000000}">
      <formula1>"Екатеринбург,Москва,Тюмень,Курган,Новосибирск,Омск,Сургут"</formula1>
    </dataValidation>
    <dataValidation type="list" allowBlank="1" sqref="C4" xr:uid="{00000000-0002-0000-0300-000001000000}">
      <formula1>"ААА,АА,А,А+,В,В+,С"</formula1>
    </dataValidation>
  </dataValidations>
  <hyperlinks>
    <hyperlink ref="B42" r:id="rId1" xr:uid="{00000000-0004-0000-0300-000000000000}"/>
    <hyperlink ref="B43" r:id="rId2" xr:uid="{00000000-0004-0000-0300-000001000000}"/>
    <hyperlink ref="B45" r:id="rId3" xr:uid="{00000000-0004-0000-0300-000002000000}"/>
    <hyperlink ref="B50" r:id="rId4" xr:uid="{00000000-0004-0000-0300-000003000000}"/>
    <hyperlink ref="A65" r:id="rId5" xr:uid="{00000000-0004-0000-0300-000004000000}"/>
    <hyperlink ref="B161" r:id="rId6" xr:uid="{00000000-0004-0000-0300-000005000000}"/>
    <hyperlink ref="B162" r:id="rId7" xr:uid="{00000000-0004-0000-0300-000006000000}"/>
    <hyperlink ref="B163" r:id="rId8" xr:uid="{00000000-0004-0000-0300-000007000000}"/>
    <hyperlink ref="B164" r:id="rId9" xr:uid="{00000000-0004-0000-0300-000008000000}"/>
    <hyperlink ref="B165" r:id="rId10" xr:uid="{00000000-0004-0000-0300-000009000000}"/>
    <hyperlink ref="B166" r:id="rId11" xr:uid="{00000000-0004-0000-0300-00000A000000}"/>
    <hyperlink ref="B167" r:id="rId12" xr:uid="{00000000-0004-0000-0300-00000B000000}"/>
    <hyperlink ref="B168" r:id="rId13" xr:uid="{00000000-0004-0000-0300-00000C000000}"/>
    <hyperlink ref="B169" r:id="rId14" xr:uid="{00000000-0004-0000-0300-00000D000000}"/>
    <hyperlink ref="B170" r:id="rId15" xr:uid="{00000000-0004-0000-0300-00000E000000}"/>
    <hyperlink ref="B171" r:id="rId16" xr:uid="{00000000-0004-0000-0300-00000F000000}"/>
    <hyperlink ref="B172" r:id="rId17" xr:uid="{00000000-0004-0000-0300-000010000000}"/>
    <hyperlink ref="A176" r:id="rId18" xr:uid="{00000000-0004-0000-0300-000011000000}"/>
    <hyperlink ref="A178" r:id="rId19" xr:uid="{00000000-0004-0000-0300-000012000000}"/>
    <hyperlink ref="A180" r:id="rId20" xr:uid="{00000000-0004-0000-0300-000013000000}"/>
    <hyperlink ref="A182" r:id="rId21" xr:uid="{00000000-0004-0000-0300-000014000000}"/>
    <hyperlink ref="A184" r:id="rId22" xr:uid="{00000000-0004-0000-0300-000015000000}"/>
    <hyperlink ref="A186" r:id="rId23" xr:uid="{00000000-0004-0000-0300-000016000000}"/>
    <hyperlink ref="B188" r:id="rId24" xr:uid="{00000000-0004-0000-0300-000017000000}"/>
    <hyperlink ref="A189" r:id="rId25" xr:uid="{00000000-0004-0000-0300-000018000000}"/>
    <hyperlink ref="A191" r:id="rId26" xr:uid="{00000000-0004-0000-0300-000019000000}"/>
    <hyperlink ref="A193" r:id="rId27" xr:uid="{00000000-0004-0000-0300-00001A000000}"/>
    <hyperlink ref="A195" r:id="rId28" xr:uid="{00000000-0004-0000-0300-00001B000000}"/>
    <hyperlink ref="A197" r:id="rId29" xr:uid="{00000000-0004-0000-0300-00001C000000}"/>
    <hyperlink ref="A199" r:id="rId30" xr:uid="{00000000-0004-0000-0300-00001D000000}"/>
    <hyperlink ref="A201" r:id="rId31" xr:uid="{00000000-0004-0000-0300-00001E000000}"/>
    <hyperlink ref="A203" r:id="rId32" xr:uid="{00000000-0004-0000-0300-00001F000000}"/>
    <hyperlink ref="A205" r:id="rId33" xr:uid="{00000000-0004-0000-0300-000020000000}"/>
    <hyperlink ref="A207" r:id="rId34" xr:uid="{00000000-0004-0000-0300-000021000000}"/>
    <hyperlink ref="A209" r:id="rId35" xr:uid="{00000000-0004-0000-0300-000022000000}"/>
    <hyperlink ref="A211" r:id="rId36" xr:uid="{00000000-0004-0000-0300-000023000000}"/>
    <hyperlink ref="A213" r:id="rId37" xr:uid="{00000000-0004-0000-0300-000024000000}"/>
    <hyperlink ref="A215" r:id="rId38" xr:uid="{00000000-0004-0000-0300-000025000000}"/>
    <hyperlink ref="A217" r:id="rId39" xr:uid="{00000000-0004-0000-0300-000026000000}"/>
    <hyperlink ref="A219" r:id="rId40" xr:uid="{00000000-0004-0000-0300-000027000000}"/>
    <hyperlink ref="A222" r:id="rId41" xr:uid="{00000000-0004-0000-0300-000028000000}"/>
    <hyperlink ref="C223" r:id="rId42" xr:uid="{00000000-0004-0000-0300-000029000000}"/>
    <hyperlink ref="A224" r:id="rId43" xr:uid="{00000000-0004-0000-0300-00002A000000}"/>
    <hyperlink ref="B232" r:id="rId44" xr:uid="{00000000-0004-0000-0300-00002B000000}"/>
    <hyperlink ref="A255" r:id="rId45" xr:uid="{00000000-0004-0000-0300-00002C000000}"/>
    <hyperlink ref="C258" r:id="rId46" xr:uid="{00000000-0004-0000-0300-00002D000000}"/>
    <hyperlink ref="B262" r:id="rId47" xr:uid="{00000000-0004-0000-0300-00002E000000}"/>
    <hyperlink ref="B263" r:id="rId48" xr:uid="{00000000-0004-0000-0300-00002F000000}"/>
    <hyperlink ref="C265" r:id="rId49" xr:uid="{00000000-0004-0000-0300-000030000000}"/>
    <hyperlink ref="B269" r:id="rId50" xr:uid="{00000000-0004-0000-0300-000031000000}"/>
    <hyperlink ref="B270" r:id="rId51" xr:uid="{00000000-0004-0000-0300-000032000000}"/>
    <hyperlink ref="C272" r:id="rId52" xr:uid="{00000000-0004-0000-0300-000033000000}"/>
    <hyperlink ref="B276" r:id="rId53" xr:uid="{00000000-0004-0000-0300-000034000000}"/>
    <hyperlink ref="B277" r:id="rId54" xr:uid="{00000000-0004-0000-0300-000035000000}"/>
    <hyperlink ref="C279" r:id="rId55" xr:uid="{00000000-0004-0000-0300-000036000000}"/>
    <hyperlink ref="B283" r:id="rId56" xr:uid="{00000000-0004-0000-0300-000037000000}"/>
    <hyperlink ref="B284" r:id="rId57" xr:uid="{00000000-0004-0000-0300-000038000000}"/>
    <hyperlink ref="C286" r:id="rId58" xr:uid="{00000000-0004-0000-0300-000039000000}"/>
    <hyperlink ref="B290" r:id="rId59" xr:uid="{00000000-0004-0000-0300-00003A000000}"/>
    <hyperlink ref="B291" r:id="rId60" xr:uid="{00000000-0004-0000-0300-00003B000000}"/>
    <hyperlink ref="C293" r:id="rId61" xr:uid="{00000000-0004-0000-0300-00003C000000}"/>
    <hyperlink ref="B297" r:id="rId62" xr:uid="{00000000-0004-0000-0300-00003D000000}"/>
    <hyperlink ref="B298" r:id="rId63" xr:uid="{00000000-0004-0000-0300-00003E000000}"/>
    <hyperlink ref="C300" r:id="rId64" xr:uid="{00000000-0004-0000-0300-00003F000000}"/>
    <hyperlink ref="B304" r:id="rId65" xr:uid="{00000000-0004-0000-0300-000040000000}"/>
    <hyperlink ref="B305" r:id="rId66" xr:uid="{00000000-0004-0000-0300-000041000000}"/>
    <hyperlink ref="C307" r:id="rId67" xr:uid="{00000000-0004-0000-0300-000042000000}"/>
    <hyperlink ref="B309" r:id="rId68" xr:uid="{00000000-0004-0000-0300-000043000000}"/>
    <hyperlink ref="B310" r:id="rId69" xr:uid="{00000000-0004-0000-0300-000044000000}"/>
    <hyperlink ref="C312" r:id="rId70" xr:uid="{00000000-0004-0000-0300-000045000000}"/>
    <hyperlink ref="B314" r:id="rId71" xr:uid="{00000000-0004-0000-0300-000046000000}"/>
    <hyperlink ref="B315" r:id="rId72" xr:uid="{00000000-0004-0000-0300-000047000000}"/>
    <hyperlink ref="C317" r:id="rId73" xr:uid="{00000000-0004-0000-0300-000048000000}"/>
    <hyperlink ref="B319" r:id="rId74" xr:uid="{00000000-0004-0000-0300-000049000000}"/>
    <hyperlink ref="B320" r:id="rId75" xr:uid="{00000000-0004-0000-0300-00004A000000}"/>
    <hyperlink ref="C322" r:id="rId76" xr:uid="{00000000-0004-0000-0300-00004B000000}"/>
    <hyperlink ref="B324" r:id="rId77" xr:uid="{00000000-0004-0000-0300-00004C000000}"/>
    <hyperlink ref="B325" r:id="rId78" xr:uid="{00000000-0004-0000-0300-00004D000000}"/>
    <hyperlink ref="C327" r:id="rId79" xr:uid="{00000000-0004-0000-0300-00004E000000}"/>
    <hyperlink ref="B329" r:id="rId80" xr:uid="{00000000-0004-0000-0300-00004F000000}"/>
    <hyperlink ref="B330" r:id="rId81" xr:uid="{00000000-0004-0000-0300-000050000000}"/>
    <hyperlink ref="C332" r:id="rId82" xr:uid="{00000000-0004-0000-0300-000051000000}"/>
    <hyperlink ref="B334" r:id="rId83" xr:uid="{00000000-0004-0000-0300-000052000000}"/>
    <hyperlink ref="B335" r:id="rId84" xr:uid="{00000000-0004-0000-0300-000053000000}"/>
    <hyperlink ref="C337" r:id="rId85" xr:uid="{00000000-0004-0000-0300-000054000000}"/>
    <hyperlink ref="B339" r:id="rId86" xr:uid="{00000000-0004-0000-0300-000055000000}"/>
    <hyperlink ref="B340" r:id="rId87" xr:uid="{00000000-0004-0000-0300-000056000000}"/>
    <hyperlink ref="A397" r:id="rId88" xr:uid="{00000000-0004-0000-0300-000057000000}"/>
    <hyperlink ref="A419" r:id="rId89" xr:uid="{00000000-0004-0000-0300-000058000000}"/>
    <hyperlink ref="A438" r:id="rId90" xr:uid="{00000000-0004-0000-0300-000059000000}"/>
    <hyperlink ref="B458" r:id="rId91" xr:uid="{00000000-0004-0000-0300-00005A000000}"/>
    <hyperlink ref="A463" r:id="rId92" xr:uid="{00000000-0004-0000-0300-00005B000000}"/>
    <hyperlink ref="A488" r:id="rId93" xr:uid="{00000000-0004-0000-0300-00005C000000}"/>
    <hyperlink ref="B511" r:id="rId94" xr:uid="{00000000-0004-0000-0300-00005D000000}"/>
    <hyperlink ref="A513" r:id="rId95" xr:uid="{00000000-0004-0000-0300-00005E000000}"/>
    <hyperlink ref="B515" r:id="rId96" xr:uid="{00000000-0004-0000-0300-00005F000000}"/>
    <hyperlink ref="B516" r:id="rId97" xr:uid="{00000000-0004-0000-0300-000060000000}"/>
    <hyperlink ref="B517" r:id="rId98" xr:uid="{00000000-0004-0000-0300-000061000000}"/>
    <hyperlink ref="B518" r:id="rId99" xr:uid="{00000000-0004-0000-0300-000062000000}"/>
    <hyperlink ref="B520" r:id="rId100" xr:uid="{00000000-0004-0000-0300-000063000000}"/>
    <hyperlink ref="B521" r:id="rId101" xr:uid="{00000000-0004-0000-0300-000064000000}"/>
    <hyperlink ref="B522" r:id="rId102" xr:uid="{00000000-0004-0000-0300-000065000000}"/>
    <hyperlink ref="B523" r:id="rId103" xr:uid="{00000000-0004-0000-0300-000066000000}"/>
    <hyperlink ref="B524" r:id="rId104" xr:uid="{00000000-0004-0000-0300-000067000000}"/>
    <hyperlink ref="A525" r:id="rId105" xr:uid="{00000000-0004-0000-0300-000068000000}"/>
    <hyperlink ref="B550" r:id="rId106" xr:uid="{00000000-0004-0000-0300-000069000000}"/>
    <hyperlink ref="B551" r:id="rId107" xr:uid="{00000000-0004-0000-0300-00006A000000}"/>
    <hyperlink ref="B552" r:id="rId108" xr:uid="{00000000-0004-0000-0300-00006B000000}"/>
    <hyperlink ref="B554" r:id="rId109" xr:uid="{00000000-0004-0000-0300-00006C000000}"/>
    <hyperlink ref="B555" r:id="rId110" xr:uid="{00000000-0004-0000-0300-00006D000000}"/>
    <hyperlink ref="B556" r:id="rId111" xr:uid="{00000000-0004-0000-0300-00006E000000}"/>
    <hyperlink ref="B562" r:id="rId112" xr:uid="{00000000-0004-0000-0300-00006F000000}"/>
    <hyperlink ref="B563" r:id="rId113" xr:uid="{00000000-0004-0000-0300-000070000000}"/>
    <hyperlink ref="B564" r:id="rId114" xr:uid="{00000000-0004-0000-0300-000071000000}"/>
    <hyperlink ref="B565" r:id="rId115" xr:uid="{00000000-0004-0000-0300-000072000000}"/>
    <hyperlink ref="B568" r:id="rId116" xr:uid="{00000000-0004-0000-0300-000073000000}"/>
    <hyperlink ref="B569" r:id="rId117" xr:uid="{00000000-0004-0000-0300-000074000000}"/>
    <hyperlink ref="B570" r:id="rId118" xr:uid="{00000000-0004-0000-0300-000075000000}"/>
    <hyperlink ref="B571" r:id="rId119" xr:uid="{00000000-0004-0000-0300-000076000000}"/>
    <hyperlink ref="B572" r:id="rId120" xr:uid="{00000000-0004-0000-0300-000077000000}"/>
    <hyperlink ref="B573" r:id="rId121" xr:uid="{00000000-0004-0000-0300-000078000000}"/>
    <hyperlink ref="B574" r:id="rId122" xr:uid="{00000000-0004-0000-0300-000079000000}"/>
    <hyperlink ref="B575" r:id="rId123" xr:uid="{00000000-0004-0000-0300-00007A000000}"/>
    <hyperlink ref="B576" r:id="rId124" xr:uid="{00000000-0004-0000-0300-00007B000000}"/>
    <hyperlink ref="B578" r:id="rId125" xr:uid="{00000000-0004-0000-0300-00007C000000}"/>
    <hyperlink ref="B580" r:id="rId126" xr:uid="{00000000-0004-0000-0300-00007D000000}"/>
    <hyperlink ref="B581" r:id="rId127" xr:uid="{00000000-0004-0000-0300-00007E000000}"/>
    <hyperlink ref="B582" r:id="rId128" xr:uid="{00000000-0004-0000-0300-00007F000000}"/>
    <hyperlink ref="B583" r:id="rId129" xr:uid="{00000000-0004-0000-0300-000080000000}"/>
    <hyperlink ref="B585" r:id="rId130" xr:uid="{00000000-0004-0000-0300-000081000000}"/>
    <hyperlink ref="B586" r:id="rId131" xr:uid="{00000000-0004-0000-0300-000082000000}"/>
    <hyperlink ref="B587" r:id="rId132" xr:uid="{00000000-0004-0000-0300-000083000000}"/>
    <hyperlink ref="B588" r:id="rId133" xr:uid="{00000000-0004-0000-0300-000084000000}"/>
    <hyperlink ref="B591" r:id="rId134" xr:uid="{00000000-0004-0000-0300-000085000000}"/>
    <hyperlink ref="B592" r:id="rId135" xr:uid="{00000000-0004-0000-0300-000086000000}"/>
    <hyperlink ref="C594" r:id="rId136" xr:uid="{00000000-0004-0000-0300-000087000000}"/>
    <hyperlink ref="B600" r:id="rId137" xr:uid="{00000000-0004-0000-0300-000088000000}"/>
    <hyperlink ref="B601" r:id="rId138" xr:uid="{00000000-0004-0000-0300-000089000000}"/>
    <hyperlink ref="B602" r:id="rId139" xr:uid="{00000000-0004-0000-0300-00008A000000}"/>
    <hyperlink ref="B603" r:id="rId140" xr:uid="{00000000-0004-0000-0300-00008B000000}"/>
    <hyperlink ref="B606" r:id="rId141" xr:uid="{00000000-0004-0000-0300-00008C000000}"/>
    <hyperlink ref="B607" r:id="rId142" xr:uid="{00000000-0004-0000-0300-00008D000000}"/>
    <hyperlink ref="B608" r:id="rId143" xr:uid="{00000000-0004-0000-0300-00008E000000}"/>
    <hyperlink ref="B609" r:id="rId144" xr:uid="{00000000-0004-0000-0300-00008F000000}"/>
    <hyperlink ref="B610" r:id="rId145" xr:uid="{00000000-0004-0000-0300-000090000000}"/>
    <hyperlink ref="B611" r:id="rId146" xr:uid="{00000000-0004-0000-0300-000091000000}"/>
    <hyperlink ref="B612" r:id="rId147" xr:uid="{00000000-0004-0000-0300-000092000000}"/>
    <hyperlink ref="B613" r:id="rId148" xr:uid="{00000000-0004-0000-0300-000093000000}"/>
    <hyperlink ref="B614" r:id="rId149" xr:uid="{00000000-0004-0000-0300-000094000000}"/>
    <hyperlink ref="B616" r:id="rId150" xr:uid="{00000000-0004-0000-0300-000095000000}"/>
    <hyperlink ref="B618" r:id="rId151" xr:uid="{00000000-0004-0000-0300-000096000000}"/>
    <hyperlink ref="B619" r:id="rId152" xr:uid="{00000000-0004-0000-0300-000097000000}"/>
    <hyperlink ref="B620" r:id="rId153" xr:uid="{00000000-0004-0000-0300-000098000000}"/>
    <hyperlink ref="B622" r:id="rId154" xr:uid="{00000000-0004-0000-0300-000099000000}"/>
    <hyperlink ref="B623" r:id="rId155" xr:uid="{00000000-0004-0000-0300-00009A000000}"/>
    <hyperlink ref="B624" r:id="rId156" xr:uid="{00000000-0004-0000-0300-00009B000000}"/>
    <hyperlink ref="B627" r:id="rId157" xr:uid="{00000000-0004-0000-0300-00009C000000}"/>
    <hyperlink ref="B628" r:id="rId158" xr:uid="{00000000-0004-0000-0300-00009D000000}"/>
    <hyperlink ref="C630" r:id="rId159" xr:uid="{00000000-0004-0000-0300-00009E000000}"/>
    <hyperlink ref="B636" r:id="rId160" xr:uid="{00000000-0004-0000-0300-00009F000000}"/>
    <hyperlink ref="B637" r:id="rId161" xr:uid="{00000000-0004-0000-0300-0000A0000000}"/>
    <hyperlink ref="B638" r:id="rId162" xr:uid="{00000000-0004-0000-0300-0000A1000000}"/>
    <hyperlink ref="B639" r:id="rId163" xr:uid="{00000000-0004-0000-0300-0000A2000000}"/>
    <hyperlink ref="B642" r:id="rId164" xr:uid="{00000000-0004-0000-0300-0000A3000000}"/>
    <hyperlink ref="B643" r:id="rId165" xr:uid="{00000000-0004-0000-0300-0000A4000000}"/>
    <hyperlink ref="B644" r:id="rId166" xr:uid="{00000000-0004-0000-0300-0000A5000000}"/>
    <hyperlink ref="B645" r:id="rId167" xr:uid="{00000000-0004-0000-0300-0000A6000000}"/>
    <hyperlink ref="B646" r:id="rId168" xr:uid="{00000000-0004-0000-0300-0000A7000000}"/>
    <hyperlink ref="B647" r:id="rId169" xr:uid="{00000000-0004-0000-0300-0000A8000000}"/>
    <hyperlink ref="B648" r:id="rId170" xr:uid="{00000000-0004-0000-0300-0000A9000000}"/>
    <hyperlink ref="B649" r:id="rId171" xr:uid="{00000000-0004-0000-0300-0000AA000000}"/>
    <hyperlink ref="B650" r:id="rId172" xr:uid="{00000000-0004-0000-0300-0000AB000000}"/>
    <hyperlink ref="B652" r:id="rId173" xr:uid="{00000000-0004-0000-0300-0000AC000000}"/>
    <hyperlink ref="B654" r:id="rId174" xr:uid="{00000000-0004-0000-0300-0000AD000000}"/>
    <hyperlink ref="B655" r:id="rId175" xr:uid="{00000000-0004-0000-0300-0000AE000000}"/>
    <hyperlink ref="B656" r:id="rId176" xr:uid="{00000000-0004-0000-0300-0000AF000000}"/>
    <hyperlink ref="B658" r:id="rId177" xr:uid="{00000000-0004-0000-0300-0000B0000000}"/>
    <hyperlink ref="B659" r:id="rId178" xr:uid="{00000000-0004-0000-0300-0000B1000000}"/>
    <hyperlink ref="B660" r:id="rId179" xr:uid="{00000000-0004-0000-0300-0000B2000000}"/>
    <hyperlink ref="B663" r:id="rId180" xr:uid="{00000000-0004-0000-0300-0000B3000000}"/>
    <hyperlink ref="B664" r:id="rId181" xr:uid="{00000000-0004-0000-0300-0000B4000000}"/>
    <hyperlink ref="C666" r:id="rId182" xr:uid="{00000000-0004-0000-0300-0000B5000000}"/>
    <hyperlink ref="B672" r:id="rId183" xr:uid="{00000000-0004-0000-0300-0000B6000000}"/>
    <hyperlink ref="B673" r:id="rId184" xr:uid="{00000000-0004-0000-0300-0000B7000000}"/>
    <hyperlink ref="B674" r:id="rId185" xr:uid="{00000000-0004-0000-0300-0000B8000000}"/>
    <hyperlink ref="B678" r:id="rId186" xr:uid="{00000000-0004-0000-0300-0000B9000000}"/>
    <hyperlink ref="B679" r:id="rId187" xr:uid="{00000000-0004-0000-0300-0000BA000000}"/>
    <hyperlink ref="B680" r:id="rId188" xr:uid="{00000000-0004-0000-0300-0000BB000000}"/>
    <hyperlink ref="B681" r:id="rId189" xr:uid="{00000000-0004-0000-0300-0000BC000000}"/>
    <hyperlink ref="B682" r:id="rId190" xr:uid="{00000000-0004-0000-0300-0000BD000000}"/>
    <hyperlink ref="B683" r:id="rId191" xr:uid="{00000000-0004-0000-0300-0000BE000000}"/>
    <hyperlink ref="B684" r:id="rId192" xr:uid="{00000000-0004-0000-0300-0000BF000000}"/>
    <hyperlink ref="B685" r:id="rId193" xr:uid="{00000000-0004-0000-0300-0000C0000000}"/>
    <hyperlink ref="B686" r:id="rId194" xr:uid="{00000000-0004-0000-0300-0000C1000000}"/>
    <hyperlink ref="B688" r:id="rId195" xr:uid="{00000000-0004-0000-0300-0000C2000000}"/>
    <hyperlink ref="B690" r:id="rId196" xr:uid="{00000000-0004-0000-0300-0000C3000000}"/>
    <hyperlink ref="B691" r:id="rId197" xr:uid="{00000000-0004-0000-0300-0000C4000000}"/>
    <hyperlink ref="B692" r:id="rId198" xr:uid="{00000000-0004-0000-0300-0000C5000000}"/>
    <hyperlink ref="B694" r:id="rId199" xr:uid="{00000000-0004-0000-0300-0000C6000000}"/>
    <hyperlink ref="B695" r:id="rId200" xr:uid="{00000000-0004-0000-0300-0000C7000000}"/>
    <hyperlink ref="B698" r:id="rId201" xr:uid="{00000000-0004-0000-0300-0000C8000000}"/>
    <hyperlink ref="B699" r:id="rId202" xr:uid="{00000000-0004-0000-0300-0000C9000000}"/>
    <hyperlink ref="C701" r:id="rId203" xr:uid="{00000000-0004-0000-0300-0000CA000000}"/>
    <hyperlink ref="B707" r:id="rId204" xr:uid="{00000000-0004-0000-0300-0000CB000000}"/>
    <hyperlink ref="B708" r:id="rId205" xr:uid="{00000000-0004-0000-0300-0000CC000000}"/>
    <hyperlink ref="B709" r:id="rId206" xr:uid="{00000000-0004-0000-0300-0000CD000000}"/>
    <hyperlink ref="B713" r:id="rId207" xr:uid="{00000000-0004-0000-0300-0000CE000000}"/>
    <hyperlink ref="B714" r:id="rId208" xr:uid="{00000000-0004-0000-0300-0000CF000000}"/>
    <hyperlink ref="B715" r:id="rId209" xr:uid="{00000000-0004-0000-0300-0000D0000000}"/>
    <hyperlink ref="B716" r:id="rId210" xr:uid="{00000000-0004-0000-0300-0000D1000000}"/>
    <hyperlink ref="B717" r:id="rId211" xr:uid="{00000000-0004-0000-0300-0000D2000000}"/>
    <hyperlink ref="B718" r:id="rId212" xr:uid="{00000000-0004-0000-0300-0000D3000000}"/>
    <hyperlink ref="B719" r:id="rId213" xr:uid="{00000000-0004-0000-0300-0000D4000000}"/>
    <hyperlink ref="B720" r:id="rId214" xr:uid="{00000000-0004-0000-0300-0000D5000000}"/>
    <hyperlink ref="B721" r:id="rId215" xr:uid="{00000000-0004-0000-0300-0000D6000000}"/>
    <hyperlink ref="B723" r:id="rId216" xr:uid="{00000000-0004-0000-0300-0000D7000000}"/>
    <hyperlink ref="B725" r:id="rId217" xr:uid="{00000000-0004-0000-0300-0000D8000000}"/>
    <hyperlink ref="B726" r:id="rId218" xr:uid="{00000000-0004-0000-0300-0000D9000000}"/>
    <hyperlink ref="B727" r:id="rId219" xr:uid="{00000000-0004-0000-0300-0000DA000000}"/>
    <hyperlink ref="B729" r:id="rId220" xr:uid="{00000000-0004-0000-0300-0000DB000000}"/>
    <hyperlink ref="B730" r:id="rId221" xr:uid="{00000000-0004-0000-0300-0000DC000000}"/>
    <hyperlink ref="B733" r:id="rId222" xr:uid="{00000000-0004-0000-0300-0000DD000000}"/>
    <hyperlink ref="B734" r:id="rId223" xr:uid="{00000000-0004-0000-0300-0000DE000000}"/>
    <hyperlink ref="C736" r:id="rId224" xr:uid="{00000000-0004-0000-0300-0000DF000000}"/>
    <hyperlink ref="B742" r:id="rId225" xr:uid="{00000000-0004-0000-0300-0000E0000000}"/>
    <hyperlink ref="B743" r:id="rId226" xr:uid="{00000000-0004-0000-0300-0000E1000000}"/>
    <hyperlink ref="B744" r:id="rId227" xr:uid="{00000000-0004-0000-0300-0000E2000000}"/>
    <hyperlink ref="B748" r:id="rId228" xr:uid="{00000000-0004-0000-0300-0000E3000000}"/>
    <hyperlink ref="B749" r:id="rId229" xr:uid="{00000000-0004-0000-0300-0000E4000000}"/>
    <hyperlink ref="B750" r:id="rId230" xr:uid="{00000000-0004-0000-0300-0000E5000000}"/>
    <hyperlink ref="B751" r:id="rId231" xr:uid="{00000000-0004-0000-0300-0000E6000000}"/>
    <hyperlink ref="B752" r:id="rId232" xr:uid="{00000000-0004-0000-0300-0000E7000000}"/>
    <hyperlink ref="B753" r:id="rId233" xr:uid="{00000000-0004-0000-0300-0000E8000000}"/>
    <hyperlink ref="B754" r:id="rId234" xr:uid="{00000000-0004-0000-0300-0000E9000000}"/>
    <hyperlink ref="B755" r:id="rId235" xr:uid="{00000000-0004-0000-0300-0000EA000000}"/>
    <hyperlink ref="B756" r:id="rId236" xr:uid="{00000000-0004-0000-0300-0000EB000000}"/>
    <hyperlink ref="B758" r:id="rId237" xr:uid="{00000000-0004-0000-0300-0000EC000000}"/>
    <hyperlink ref="B760" r:id="rId238" xr:uid="{00000000-0004-0000-0300-0000ED000000}"/>
    <hyperlink ref="B761" r:id="rId239" xr:uid="{00000000-0004-0000-0300-0000EE000000}"/>
    <hyperlink ref="B762" r:id="rId240" xr:uid="{00000000-0004-0000-0300-0000EF000000}"/>
    <hyperlink ref="B764" r:id="rId241" xr:uid="{00000000-0004-0000-0300-0000F0000000}"/>
    <hyperlink ref="B765" r:id="rId242" xr:uid="{00000000-0004-0000-0300-0000F1000000}"/>
    <hyperlink ref="B766" r:id="rId243" xr:uid="{00000000-0004-0000-0300-0000F2000000}"/>
    <hyperlink ref="B769" r:id="rId244" xr:uid="{00000000-0004-0000-0300-0000F3000000}"/>
    <hyperlink ref="B770" r:id="rId245" xr:uid="{00000000-0004-0000-0300-0000F4000000}"/>
    <hyperlink ref="C772" r:id="rId246" xr:uid="{00000000-0004-0000-0300-0000F5000000}"/>
    <hyperlink ref="B778" r:id="rId247" xr:uid="{00000000-0004-0000-0300-0000F6000000}"/>
    <hyperlink ref="B781" r:id="rId248" xr:uid="{00000000-0004-0000-0300-0000F7000000}"/>
    <hyperlink ref="B783" r:id="rId249" xr:uid="{00000000-0004-0000-0300-0000F8000000}"/>
    <hyperlink ref="B788" r:id="rId250" xr:uid="{00000000-0004-0000-0300-0000F9000000}"/>
    <hyperlink ref="B995" r:id="rId251" xr:uid="{00000000-0004-0000-0300-0000FA000000}"/>
    <hyperlink ref="B1006" r:id="rId252" xr:uid="{00000000-0004-0000-0300-0000FB000000}"/>
    <hyperlink ref="B1016" r:id="rId253" xr:uid="{00000000-0004-0000-0300-0000FC000000}"/>
    <hyperlink ref="B1026" r:id="rId254" xr:uid="{00000000-0004-0000-0300-0000FD000000}"/>
    <hyperlink ref="C1046" r:id="rId255" xr:uid="{00000000-0004-0000-0300-0000FE000000}"/>
    <hyperlink ref="B1098" r:id="rId256" xr:uid="{00000000-0004-0000-0300-0000FF000000}"/>
    <hyperlink ref="B1099" r:id="rId257" xr:uid="{00000000-0004-0000-0300-000000010000}"/>
    <hyperlink ref="B1113" r:id="rId258" xr:uid="{00000000-0004-0000-0300-000001010000}"/>
    <hyperlink ref="B1114" r:id="rId259" xr:uid="{00000000-0004-0000-0300-000002010000}"/>
    <hyperlink ref="B1115" r:id="rId260" xr:uid="{00000000-0004-0000-0300-000003010000}"/>
    <hyperlink ref="B1116" r:id="rId261" xr:uid="{00000000-0004-0000-0300-000004010000}"/>
    <hyperlink ref="B1117" r:id="rId262" xr:uid="{00000000-0004-0000-0300-000005010000}"/>
    <hyperlink ref="B1118" r:id="rId263" xr:uid="{00000000-0004-0000-0300-000006010000}"/>
    <hyperlink ref="B1119" r:id="rId264" xr:uid="{00000000-0004-0000-0300-000007010000}"/>
    <hyperlink ref="B1120" r:id="rId265" xr:uid="{00000000-0004-0000-0300-000008010000}"/>
    <hyperlink ref="B1121" r:id="rId266" xr:uid="{00000000-0004-0000-0300-000009010000}"/>
    <hyperlink ref="B1122" r:id="rId267" xr:uid="{00000000-0004-0000-0300-00000A010000}"/>
    <hyperlink ref="A1125" r:id="rId268" xr:uid="{00000000-0004-0000-0300-00000B010000}"/>
    <hyperlink ref="A1128" r:id="rId269" xr:uid="{00000000-0004-0000-0300-00000C010000}"/>
    <hyperlink ref="A1130" r:id="rId270" xr:uid="{00000000-0004-0000-0300-00000D010000}"/>
    <hyperlink ref="A1133" r:id="rId271" xr:uid="{00000000-0004-0000-0300-00000E010000}"/>
    <hyperlink ref="A1136" r:id="rId272" xr:uid="{00000000-0004-0000-0300-00000F010000}"/>
    <hyperlink ref="A1139" r:id="rId273" xr:uid="{00000000-0004-0000-0300-000010010000}"/>
    <hyperlink ref="A1142" r:id="rId274" xr:uid="{00000000-0004-0000-0300-000011010000}"/>
  </hyperlinks>
  <printOptions horizontalCentered="1" gridLines="1"/>
  <pageMargins left="0.25" right="0.25" top="0.75" bottom="0.75" header="0" footer="0"/>
  <pageSetup paperSize="9" fitToHeight="0" pageOrder="overThenDown" orientation="portrait" cellComments="atEnd"/>
  <legacyDrawing r:id="rId27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outlinePr summaryBelow="0" summaryRight="0"/>
  </sheetPr>
  <dimension ref="A1:Y529"/>
  <sheetViews>
    <sheetView workbookViewId="0">
      <selection sqref="A1:E1"/>
    </sheetView>
  </sheetViews>
  <sheetFormatPr defaultColWidth="12.6640625" defaultRowHeight="15.75" customHeight="1"/>
  <cols>
    <col min="1" max="1" width="6.44140625" customWidth="1"/>
    <col min="2" max="2" width="25.109375" customWidth="1"/>
    <col min="3" max="3" width="15.77734375" customWidth="1"/>
    <col min="4" max="4" width="28.21875" customWidth="1"/>
    <col min="5" max="5" width="18.88671875" customWidth="1"/>
    <col min="6" max="25" width="12.6640625" hidden="1"/>
  </cols>
  <sheetData>
    <row r="1" spans="1:5" ht="13.2">
      <c r="A1" s="441" t="s">
        <v>0</v>
      </c>
      <c r="B1" s="398"/>
      <c r="C1" s="398"/>
      <c r="D1" s="398"/>
      <c r="E1" s="399"/>
    </row>
    <row r="2" spans="1:5" ht="13.2">
      <c r="A2" s="402" t="s">
        <v>3100</v>
      </c>
      <c r="B2" s="398"/>
      <c r="C2" s="398"/>
      <c r="D2" s="398"/>
      <c r="E2" s="399"/>
    </row>
    <row r="3" spans="1:5" ht="13.2">
      <c r="A3" s="403" t="s">
        <v>3101</v>
      </c>
      <c r="B3" s="398"/>
      <c r="C3" s="398"/>
      <c r="D3" s="399"/>
      <c r="E3" s="215"/>
    </row>
    <row r="4" spans="1:5" ht="13.2">
      <c r="A4" s="358"/>
      <c r="B4" s="345"/>
      <c r="C4" s="345"/>
      <c r="D4" s="345"/>
      <c r="E4" s="345"/>
    </row>
    <row r="5" spans="1:5" ht="13.2">
      <c r="A5" s="346" t="s">
        <v>474</v>
      </c>
      <c r="B5" s="345"/>
      <c r="C5" s="345"/>
      <c r="D5" s="345"/>
      <c r="E5" s="345"/>
    </row>
    <row r="6" spans="1:5" ht="13.2">
      <c r="A6" s="346" t="s">
        <v>563</v>
      </c>
      <c r="B6" s="345"/>
      <c r="C6" s="345"/>
      <c r="D6" s="345"/>
      <c r="E6" s="345"/>
    </row>
    <row r="7" spans="1:5" ht="13.2">
      <c r="A7" s="361" t="s">
        <v>564</v>
      </c>
      <c r="B7" s="345"/>
      <c r="C7" s="358"/>
      <c r="D7" s="345"/>
      <c r="E7" s="345"/>
    </row>
    <row r="8" spans="1:5" ht="13.2">
      <c r="A8" s="358" t="s">
        <v>479</v>
      </c>
      <c r="B8" s="345"/>
      <c r="C8" s="358" t="s">
        <v>3102</v>
      </c>
      <c r="D8" s="345"/>
      <c r="E8" s="345"/>
    </row>
    <row r="9" spans="1:5" ht="13.2">
      <c r="A9" s="358" t="s">
        <v>466</v>
      </c>
      <c r="B9" s="345"/>
      <c r="C9" s="461" t="s">
        <v>481</v>
      </c>
      <c r="D9" s="345"/>
      <c r="E9" s="345"/>
    </row>
    <row r="10" spans="1:5" ht="13.2">
      <c r="A10" s="358" t="s">
        <v>467</v>
      </c>
      <c r="B10" s="345"/>
      <c r="C10" s="461" t="s">
        <v>481</v>
      </c>
      <c r="D10" s="345"/>
      <c r="E10" s="345"/>
    </row>
    <row r="11" spans="1:5" ht="13.2">
      <c r="A11" s="358" t="s">
        <v>482</v>
      </c>
      <c r="B11" s="345"/>
      <c r="C11" s="358" t="s">
        <v>483</v>
      </c>
      <c r="D11" s="345"/>
      <c r="E11" s="345"/>
    </row>
    <row r="12" spans="1:5" ht="13.2">
      <c r="A12" s="358" t="s">
        <v>484</v>
      </c>
      <c r="B12" s="345"/>
      <c r="C12" s="358" t="s">
        <v>485</v>
      </c>
      <c r="D12" s="345"/>
      <c r="E12" s="345"/>
    </row>
    <row r="13" spans="1:5" ht="13.2">
      <c r="A13" s="358" t="s">
        <v>3103</v>
      </c>
      <c r="B13" s="345"/>
      <c r="C13" s="358" t="s">
        <v>567</v>
      </c>
      <c r="D13" s="345"/>
      <c r="E13" s="345"/>
    </row>
    <row r="14" spans="1:5" ht="13.2">
      <c r="A14" s="358" t="s">
        <v>488</v>
      </c>
      <c r="B14" s="345"/>
      <c r="C14" s="358" t="s">
        <v>489</v>
      </c>
      <c r="D14" s="345"/>
      <c r="E14" s="345"/>
    </row>
    <row r="15" spans="1:5" ht="13.2">
      <c r="A15" s="358" t="s">
        <v>490</v>
      </c>
      <c r="B15" s="345"/>
      <c r="C15" s="358" t="s">
        <v>568</v>
      </c>
      <c r="D15" s="345"/>
      <c r="E15" s="345"/>
    </row>
    <row r="16" spans="1:5" ht="13.2">
      <c r="A16" s="358" t="s">
        <v>492</v>
      </c>
      <c r="B16" s="345"/>
      <c r="C16" s="408" t="s">
        <v>3104</v>
      </c>
      <c r="D16" s="398"/>
      <c r="E16" s="399"/>
    </row>
    <row r="17" spans="1:5" ht="13.2">
      <c r="A17" s="358" t="s">
        <v>3105</v>
      </c>
      <c r="B17" s="345"/>
      <c r="C17" s="358" t="s">
        <v>495</v>
      </c>
      <c r="D17" s="345"/>
      <c r="E17" s="345"/>
    </row>
    <row r="18" spans="1:5" ht="13.2">
      <c r="A18" s="358" t="s">
        <v>496</v>
      </c>
      <c r="B18" s="345"/>
      <c r="C18" s="358" t="s">
        <v>3106</v>
      </c>
      <c r="D18" s="345"/>
      <c r="E18" s="345"/>
    </row>
    <row r="19" spans="1:5" ht="13.2">
      <c r="A19" s="358" t="s">
        <v>3107</v>
      </c>
      <c r="B19" s="345"/>
      <c r="C19" s="358" t="s">
        <v>3106</v>
      </c>
      <c r="D19" s="345"/>
      <c r="E19" s="345"/>
    </row>
    <row r="20" spans="1:5" ht="13.2">
      <c r="A20" s="358" t="s">
        <v>499</v>
      </c>
      <c r="B20" s="345"/>
      <c r="C20" s="358" t="s">
        <v>3108</v>
      </c>
      <c r="D20" s="345"/>
      <c r="E20" s="345"/>
    </row>
    <row r="21" spans="1:5" ht="13.2">
      <c r="A21" s="358"/>
      <c r="B21" s="345"/>
      <c r="C21" s="460" t="s">
        <v>3109</v>
      </c>
      <c r="D21" s="345"/>
      <c r="E21" s="345"/>
    </row>
    <row r="22" spans="1:5" ht="13.2">
      <c r="A22" s="358"/>
      <c r="B22" s="345"/>
      <c r="C22" s="358"/>
      <c r="D22" s="345"/>
      <c r="E22" s="345"/>
    </row>
    <row r="23" spans="1:5" ht="13.2">
      <c r="A23" s="361" t="s">
        <v>571</v>
      </c>
      <c r="B23" s="345"/>
      <c r="C23" s="345"/>
      <c r="D23" s="345"/>
      <c r="E23" s="345"/>
    </row>
    <row r="24" spans="1:5" ht="13.2">
      <c r="A24" s="358" t="s">
        <v>466</v>
      </c>
      <c r="B24" s="345"/>
      <c r="C24" s="358" t="s">
        <v>572</v>
      </c>
      <c r="D24" s="345"/>
      <c r="E24" s="9" t="s">
        <v>573</v>
      </c>
    </row>
    <row r="25" spans="1:5" ht="51">
      <c r="A25" s="410" t="s">
        <v>481</v>
      </c>
      <c r="B25" s="399"/>
      <c r="C25" s="358" t="s">
        <v>574</v>
      </c>
      <c r="D25" s="345"/>
      <c r="E25" s="58" t="s">
        <v>575</v>
      </c>
    </row>
    <row r="26" spans="1:5" ht="13.2">
      <c r="A26" s="411" t="s">
        <v>3110</v>
      </c>
      <c r="B26" s="412"/>
      <c r="C26" s="358" t="s">
        <v>3111</v>
      </c>
      <c r="D26" s="345"/>
      <c r="E26" s="417" t="s">
        <v>578</v>
      </c>
    </row>
    <row r="27" spans="1:5" ht="13.2">
      <c r="A27" s="413"/>
      <c r="B27" s="414"/>
      <c r="C27" s="358" t="s">
        <v>3112</v>
      </c>
      <c r="D27" s="345"/>
      <c r="E27" s="418"/>
    </row>
    <row r="28" spans="1:5" ht="13.2">
      <c r="A28" s="415"/>
      <c r="B28" s="416"/>
      <c r="C28" s="358" t="s">
        <v>3113</v>
      </c>
      <c r="D28" s="345"/>
      <c r="E28" s="419"/>
    </row>
    <row r="29" spans="1:5" ht="13.2">
      <c r="A29" s="358"/>
      <c r="B29" s="345"/>
      <c r="C29" s="358"/>
      <c r="D29" s="345"/>
      <c r="E29" s="1"/>
    </row>
    <row r="30" spans="1:5" ht="13.2">
      <c r="A30" s="361" t="s">
        <v>581</v>
      </c>
      <c r="B30" s="345"/>
      <c r="C30" s="358"/>
      <c r="D30" s="345"/>
      <c r="E30" s="345"/>
    </row>
    <row r="31" spans="1:5" ht="13.2">
      <c r="A31" s="358" t="s">
        <v>3114</v>
      </c>
      <c r="B31" s="345"/>
      <c r="C31" s="345"/>
      <c r="D31" s="345"/>
      <c r="E31" s="345"/>
    </row>
    <row r="32" spans="1:5" ht="13.2">
      <c r="A32" s="358"/>
      <c r="B32" s="345"/>
      <c r="C32" s="345"/>
      <c r="D32" s="345"/>
      <c r="E32" s="345"/>
    </row>
    <row r="33" spans="1:5" ht="13.2">
      <c r="A33" s="348" t="s">
        <v>6</v>
      </c>
      <c r="B33" s="345"/>
      <c r="C33" s="345"/>
      <c r="D33" s="345"/>
      <c r="E33" s="345"/>
    </row>
    <row r="34" spans="1:5" ht="13.2">
      <c r="A34" s="358"/>
      <c r="B34" s="345"/>
      <c r="C34" s="345"/>
      <c r="D34" s="345"/>
      <c r="E34" s="345"/>
    </row>
    <row r="35" spans="1:5" ht="30.6">
      <c r="A35" s="3" t="s">
        <v>7</v>
      </c>
      <c r="B35" s="3" t="s">
        <v>8</v>
      </c>
      <c r="C35" s="349" t="s">
        <v>9</v>
      </c>
      <c r="D35" s="350"/>
      <c r="E35" s="351"/>
    </row>
    <row r="36" spans="1:5" ht="13.2">
      <c r="A36" s="352" t="s">
        <v>10</v>
      </c>
      <c r="B36" s="350"/>
      <c r="C36" s="350"/>
      <c r="D36" s="350"/>
      <c r="E36" s="351"/>
    </row>
    <row r="37" spans="1:5" ht="13.2">
      <c r="A37" s="352" t="s">
        <v>11</v>
      </c>
      <c r="B37" s="350"/>
      <c r="C37" s="350"/>
      <c r="D37" s="350"/>
      <c r="E37" s="351"/>
    </row>
    <row r="38" spans="1:5" ht="13.2">
      <c r="A38" s="4" t="s">
        <v>12</v>
      </c>
      <c r="B38" s="5" t="str">
        <f>HYPERLINK("https://constructor.brusnika.ru/object-module/principled-decisions/project-solution-groups/5cc19ed1-b3d6-407e-8a06-f4b3d2b6c9c6/2503?version=3", "Наименование этажей")</f>
        <v>Наименование этажей</v>
      </c>
      <c r="C38" s="353" t="s">
        <v>13</v>
      </c>
      <c r="D38" s="350"/>
      <c r="E38" s="351"/>
    </row>
    <row r="39" spans="1:5" ht="30.6">
      <c r="A39" s="4" t="s">
        <v>14</v>
      </c>
      <c r="B39" s="5" t="str">
        <f>HYPERLINK("https://constructor.brusnika.ru/object-module/principled-decisions/project-solution-groups/5cc19ed1-b3d6-407e-8a06-f4b3d2b6c9c6/2501?version=1", "Обозначение внутренних инженерных систем в рабочей документации")</f>
        <v>Обозначение внутренних инженерных систем в рабочей документации</v>
      </c>
      <c r="C39" s="353" t="s">
        <v>3115</v>
      </c>
      <c r="D39" s="350"/>
      <c r="E39" s="351"/>
    </row>
    <row r="40" spans="1:5" ht="13.2">
      <c r="A40" s="4" t="s">
        <v>3116</v>
      </c>
      <c r="B40" s="5" t="str">
        <f>HYPERLINK("https://constructor.brusnika.ru/object-module/principled-decisions/project-solution-groups/5cc19ed1-b3d6-407e-8a06-f4b3d2b6c9c6/2502?version=2", "Наименование помещений")</f>
        <v>Наименование помещений</v>
      </c>
      <c r="C40" s="353" t="s">
        <v>15</v>
      </c>
      <c r="D40" s="350"/>
      <c r="E40" s="351"/>
    </row>
    <row r="41" spans="1:5" ht="13.2">
      <c r="A41" s="4" t="s">
        <v>3117</v>
      </c>
      <c r="B41" s="5" t="str">
        <f>HYPERLINK("https://constructor.brusnika.ru/object-module/principled-decisions/project-solution-groups/5cc19ed1-b3d6-407e-8a06-f4b3d2b6c9c6/2500?version=2", "Общие данные при проектировании")</f>
        <v>Общие данные при проектировании</v>
      </c>
      <c r="C41" s="353" t="s">
        <v>3118</v>
      </c>
      <c r="D41" s="350"/>
      <c r="E41" s="351"/>
    </row>
    <row r="42" spans="1:5" ht="13.2">
      <c r="A42" s="354" t="s">
        <v>16</v>
      </c>
      <c r="B42" s="350"/>
      <c r="C42" s="350"/>
      <c r="D42" s="350"/>
      <c r="E42" s="351"/>
    </row>
    <row r="43" spans="1:5" ht="20.399999999999999">
      <c r="A43" s="4" t="s">
        <v>17</v>
      </c>
      <c r="B43" s="5" t="str">
        <f>HYPERLINK("https://constructor.brusnika.ru/object-module/principled-decisions/project-solution-groups/173f0f37-9b98-4b3c-90a4-15387b7c8d42/2504?version=3", "Определение пожарно-технической высоты здания до 75 м")</f>
        <v>Определение пожарно-технической высоты здания до 75 м</v>
      </c>
      <c r="C43" s="353" t="s">
        <v>18</v>
      </c>
      <c r="D43" s="350"/>
      <c r="E43" s="351"/>
    </row>
    <row r="44" spans="1:5" ht="40.799999999999997">
      <c r="A44" s="4" t="s">
        <v>19</v>
      </c>
      <c r="B44" s="6" t="s">
        <v>3119</v>
      </c>
      <c r="C44" s="355" t="s">
        <v>3120</v>
      </c>
      <c r="D44" s="350"/>
      <c r="E44" s="351"/>
    </row>
    <row r="45" spans="1:5" ht="30.6">
      <c r="A45" s="4" t="s">
        <v>22</v>
      </c>
      <c r="B45" s="7" t="s">
        <v>3121</v>
      </c>
      <c r="C45" s="353" t="s">
        <v>3122</v>
      </c>
      <c r="D45" s="350"/>
      <c r="E45" s="351"/>
    </row>
    <row r="46" spans="1:5" ht="51">
      <c r="A46" s="4" t="s">
        <v>25</v>
      </c>
      <c r="B46" s="5" t="str">
        <f>HYPERLINK("https://constructor.brusnika.ru/object-module/principled-decisions/project-solution-groups/9becccc6-7d10-44fb-9ebf-942c74046aaf/2509?version=1", "Принцип организации технического чердака с неэксплуатируемой кровлей в секциях до 100 метров Екатеринбург, Новосибирск, Тюмень, Сургут, Омск, Курган")</f>
        <v>Принцип организации технического чердака с неэксплуатируемой кровлей в секциях до 100 метров Екатеринбург, Новосибирск, Тюмень, Сургут, Омск, Курган</v>
      </c>
      <c r="C46" s="353" t="s">
        <v>28</v>
      </c>
      <c r="D46" s="350"/>
      <c r="E46" s="351"/>
    </row>
    <row r="47" spans="1:5" ht="51">
      <c r="A47" s="4" t="s">
        <v>27</v>
      </c>
      <c r="B47" s="5" t="str">
        <f>HYPERLINK("https://constructor.brusnika.ru/object-module/principled-decisions/project-solution-groups/9becccc6-7d10-44fb-9ebf-942c74046aaf/2516?version=1", "Принцип организации технического чердака с эксплуатируемой кровлей в секциях до 75 метров Екатеринбург, Новосибирск, Тюмень, Сургут, Омск, Курган")</f>
        <v>Принцип организации технического чердака с эксплуатируемой кровлей в секциях до 75 метров Екатеринбург, Новосибирск, Тюмень, Сургут, Омск, Курган</v>
      </c>
      <c r="C47" s="353" t="s">
        <v>26</v>
      </c>
      <c r="D47" s="350"/>
      <c r="E47" s="351"/>
    </row>
    <row r="48" spans="1:5" ht="13.2">
      <c r="A48" s="354" t="s">
        <v>29</v>
      </c>
      <c r="B48" s="350"/>
      <c r="C48" s="350"/>
      <c r="D48" s="350"/>
      <c r="E48" s="351"/>
    </row>
    <row r="49" spans="1:5" ht="30.6">
      <c r="A49" s="4" t="s">
        <v>30</v>
      </c>
      <c r="B49" s="8" t="s">
        <v>3123</v>
      </c>
      <c r="C49" s="353" t="s">
        <v>3124</v>
      </c>
      <c r="D49" s="350"/>
      <c r="E49" s="351"/>
    </row>
    <row r="50" spans="1:5" ht="13.2">
      <c r="A50" s="354" t="s">
        <v>33</v>
      </c>
      <c r="B50" s="350"/>
      <c r="C50" s="350"/>
      <c r="D50" s="350"/>
      <c r="E50" s="351"/>
    </row>
    <row r="51" spans="1:5" ht="13.2">
      <c r="A51" s="4" t="s">
        <v>34</v>
      </c>
      <c r="B51" s="5" t="str">
        <f>HYPERLINK("https://constructor.brusnika.ru/object-module/principled-decisions/project-solution-groups/b88306d9-202f-447b-a468-bc4fa13b37f0/2533?version=1", "Система доступа МГН")</f>
        <v>Система доступа МГН</v>
      </c>
      <c r="C51" s="353" t="s">
        <v>3125</v>
      </c>
      <c r="D51" s="350"/>
      <c r="E51" s="351"/>
    </row>
    <row r="52" spans="1:5" ht="13.2">
      <c r="A52" s="4" t="s">
        <v>36</v>
      </c>
      <c r="B52" s="5" t="str">
        <f>HYPERLINK("https://constructor.brusnika.ru/object-module/principled-decisions/project-solution-groups/b88306d9-202f-447b-a468-bc4fa13b37f0/2532?version=1", "Шумоизоляция")</f>
        <v>Шумоизоляция</v>
      </c>
      <c r="C52" s="353" t="s">
        <v>3126</v>
      </c>
      <c r="D52" s="350"/>
      <c r="E52" s="351"/>
    </row>
    <row r="53" spans="1:5" ht="30.6">
      <c r="A53" s="4" t="s">
        <v>3127</v>
      </c>
      <c r="B53" s="5" t="str">
        <f>HYPERLINK("https://constructor.brusnika.ru/object-module/principled-decisions/project-solution-groups/5ea6013a-4aa7-440d-9438-f18e91c5d043/2534?version=3", "Размещение технических помещений кварталов нижнего этажа")</f>
        <v>Размещение технических помещений кварталов нижнего этажа</v>
      </c>
      <c r="C53" s="353" t="s">
        <v>35</v>
      </c>
      <c r="D53" s="350"/>
      <c r="E53" s="351"/>
    </row>
    <row r="54" spans="1:5" ht="20.399999999999999">
      <c r="A54" s="4" t="s">
        <v>3128</v>
      </c>
      <c r="B54" s="5" t="str">
        <f>HYPERLINK("https://constructor.brusnika.ru/object-module/principled-decisions/project-solution-groups/cc6d1a66-e41b-4927-899d-ba7f0bc841fa/2536?version=2", "Нагрузки коммерческих помещений (первый этаж)")</f>
        <v>Нагрузки коммерческих помещений (первый этаж)</v>
      </c>
      <c r="C54" s="353" t="s">
        <v>3129</v>
      </c>
      <c r="D54" s="350"/>
      <c r="E54" s="351"/>
    </row>
    <row r="55" spans="1:5" ht="13.2">
      <c r="A55" s="4" t="s">
        <v>3130</v>
      </c>
      <c r="B55" s="5" t="str">
        <f>HYPERLINK("https://constructor.brusnika.ru/object-module/principled-decisions/project-solution-groups/cc6d1a66-e41b-4927-899d-ba7f0bc841fa/2535?version=1", "Общее коммерческие помещения")</f>
        <v>Общее коммерческие помещения</v>
      </c>
      <c r="C55" s="353" t="s">
        <v>37</v>
      </c>
      <c r="D55" s="350"/>
      <c r="E55" s="351"/>
    </row>
    <row r="56" spans="1:5" ht="13.2">
      <c r="A56" s="354" t="s">
        <v>3131</v>
      </c>
      <c r="B56" s="350"/>
      <c r="C56" s="350"/>
      <c r="D56" s="350"/>
      <c r="E56" s="351"/>
    </row>
    <row r="57" spans="1:5" ht="13.2">
      <c r="A57" s="4" t="s">
        <v>3132</v>
      </c>
      <c r="B57" s="5" t="str">
        <f>HYPERLINK("https://constructor.brusnika.ru/object-module/principled-decisions/project-solution-groups/94a52525-c00b-410c-b6ec-23207a2da9b5/2537?version=2", "Общее Мокап")</f>
        <v>Общее Мокап</v>
      </c>
      <c r="C57" s="356" t="s">
        <v>3133</v>
      </c>
      <c r="D57" s="350"/>
      <c r="E57" s="351"/>
    </row>
    <row r="58" spans="1:5" ht="13.2">
      <c r="A58" s="4" t="s">
        <v>3134</v>
      </c>
      <c r="B58" s="5" t="str">
        <f>HYPERLINK("https://constructor.brusnika.ru/object-module/principled-decisions/project-solution-groups/94a52525-c00b-410c-b6ec-23207a2da9b5/2539?version=1", "Мокап архитектура")</f>
        <v>Мокап архитектура</v>
      </c>
      <c r="C58" s="353" t="s">
        <v>3135</v>
      </c>
      <c r="D58" s="350"/>
      <c r="E58" s="351"/>
    </row>
    <row r="59" spans="1:5" ht="13.2">
      <c r="A59" s="354" t="s">
        <v>38</v>
      </c>
      <c r="B59" s="350"/>
      <c r="C59" s="350"/>
      <c r="D59" s="350"/>
      <c r="E59" s="351"/>
    </row>
    <row r="60" spans="1:5" ht="13.2">
      <c r="A60" s="354" t="s">
        <v>39</v>
      </c>
      <c r="B60" s="350"/>
      <c r="C60" s="350"/>
      <c r="D60" s="350"/>
      <c r="E60" s="351"/>
    </row>
    <row r="61" spans="1:5" ht="13.2">
      <c r="A61" s="4" t="s">
        <v>40</v>
      </c>
      <c r="B61" s="5" t="str">
        <f>HYPERLINK("https://constructor.brusnika.ru/object-module/principled-decisions/project-solution-groups/34d84b00-287d-44cb-bdd2-7ce3d10999e3/2518?version=1", "Управляющая компания")</f>
        <v>Управляющая компания</v>
      </c>
      <c r="C61" s="353" t="s">
        <v>41</v>
      </c>
      <c r="D61" s="350"/>
      <c r="E61" s="351"/>
    </row>
    <row r="62" spans="1:5" ht="13.2">
      <c r="A62" s="354" t="s">
        <v>42</v>
      </c>
      <c r="B62" s="350"/>
      <c r="C62" s="350"/>
      <c r="D62" s="350"/>
      <c r="E62" s="351"/>
    </row>
    <row r="63" spans="1:5" ht="13.2">
      <c r="A63" s="354" t="s">
        <v>43</v>
      </c>
      <c r="B63" s="350"/>
      <c r="C63" s="350"/>
      <c r="D63" s="350"/>
      <c r="E63" s="351"/>
    </row>
    <row r="64" spans="1:5" ht="13.2">
      <c r="A64" s="354" t="s">
        <v>44</v>
      </c>
      <c r="B64" s="350"/>
      <c r="C64" s="350"/>
      <c r="D64" s="350"/>
      <c r="E64" s="351"/>
    </row>
    <row r="65" spans="1:5" ht="13.2">
      <c r="A65" s="4" t="s">
        <v>45</v>
      </c>
      <c r="B65" s="5" t="str">
        <f>HYPERLINK("https://constructor.brusnika.ru/object-module/principled-decisions/project-solution-groups/01c5c480-02f0-4f83-86a8-60bf7f513bae/2598?version=1", "Навигация наружная")</f>
        <v>Навигация наружная</v>
      </c>
      <c r="C65" s="353" t="s">
        <v>3136</v>
      </c>
      <c r="D65" s="350"/>
      <c r="E65" s="351"/>
    </row>
    <row r="66" spans="1:5" ht="20.399999999999999">
      <c r="A66" s="4" t="s">
        <v>47</v>
      </c>
      <c r="B66" s="8" t="s">
        <v>3137</v>
      </c>
      <c r="C66" s="353" t="s">
        <v>3138</v>
      </c>
      <c r="D66" s="350"/>
      <c r="E66" s="351"/>
    </row>
    <row r="67" spans="1:5" ht="13.2">
      <c r="A67" s="4" t="s">
        <v>50</v>
      </c>
      <c r="B67" s="8" t="s">
        <v>3139</v>
      </c>
      <c r="C67" s="353" t="s">
        <v>3140</v>
      </c>
      <c r="D67" s="350"/>
      <c r="E67" s="351"/>
    </row>
    <row r="68" spans="1:5" ht="20.399999999999999">
      <c r="A68" s="4" t="s">
        <v>52</v>
      </c>
      <c r="B68" s="8" t="s">
        <v>3141</v>
      </c>
      <c r="C68" s="353" t="s">
        <v>3142</v>
      </c>
      <c r="D68" s="350"/>
      <c r="E68" s="351"/>
    </row>
    <row r="69" spans="1:5" ht="13.2">
      <c r="A69" s="4" t="s">
        <v>54</v>
      </c>
      <c r="B69" s="5" t="str">
        <f>HYPERLINK("https://constructor.brusnika.ru/object-module/principled-decisions/project-solution-groups/2c6c91ef-0f44-4f17-b48d-ce95dfb03120/2610?version=2", "Стандарт микромассинга СФТК")</f>
        <v>Стандарт микромассинга СФТК</v>
      </c>
      <c r="C69" s="353" t="s">
        <v>57</v>
      </c>
      <c r="D69" s="350"/>
      <c r="E69" s="351"/>
    </row>
    <row r="70" spans="1:5" ht="13.2">
      <c r="A70" s="4" t="s">
        <v>56</v>
      </c>
      <c r="B70" s="5" t="str">
        <f>HYPERLINK("https://constructor.brusnika.ru/object-module/principled-decisions/project-solution-groups/2c6c91ef-0f44-4f17-b48d-ce95dfb03120/2611?version=2", "Стандарт микромассинга НВФ")</f>
        <v>Стандарт микромассинга НВФ</v>
      </c>
      <c r="C70" s="356" t="s">
        <v>3143</v>
      </c>
      <c r="D70" s="350"/>
      <c r="E70" s="351"/>
    </row>
    <row r="71" spans="1:5" ht="20.399999999999999">
      <c r="A71" s="4" t="s">
        <v>58</v>
      </c>
      <c r="B71" s="5" t="str">
        <f>HYPERLINK("https://constructor.brusnika.ru/object-module/principled-decisions/project-solution-groups/41ea100d-762c-4df7-91e1-b405a7f6ba24/2612?version=2", "Кондиционирование жилых помещений")</f>
        <v>Кондиционирование жилых помещений</v>
      </c>
      <c r="C71" s="353" t="s">
        <v>61</v>
      </c>
      <c r="D71" s="350"/>
      <c r="E71" s="351"/>
    </row>
    <row r="72" spans="1:5" ht="20.399999999999999">
      <c r="A72" s="4" t="s">
        <v>60</v>
      </c>
      <c r="B72" s="5" t="str">
        <f>HYPERLINK("https://constructor.brusnika.ru/object-module/principled-decisions/project-solution-groups/41ea100d-762c-4df7-91e1-b405a7f6ba24/2613?version=3", "Кондиционирование коммерческих помещений")</f>
        <v>Кондиционирование коммерческих помещений</v>
      </c>
      <c r="C72" s="353" t="s">
        <v>63</v>
      </c>
      <c r="D72" s="350"/>
      <c r="E72" s="351"/>
    </row>
    <row r="73" spans="1:5" ht="13.2">
      <c r="A73" s="354" t="s">
        <v>3144</v>
      </c>
      <c r="B73" s="350"/>
      <c r="C73" s="350"/>
      <c r="D73" s="350"/>
      <c r="E73" s="351"/>
    </row>
    <row r="74" spans="1:5" ht="13.2">
      <c r="A74" s="216" t="s">
        <v>67</v>
      </c>
      <c r="B74" s="5" t="str">
        <f>HYPERLINK("https://constructor.brusnika.ru/object-module/principled-decisions/project-solution-groups/2a42c1b6-9bbb-474d-95f3-7a16a9378f5a/2744?version=2", "Размерность и модули кладовых")</f>
        <v>Размерность и модули кладовых</v>
      </c>
      <c r="C74" s="353" t="s">
        <v>118</v>
      </c>
      <c r="D74" s="350"/>
      <c r="E74" s="351"/>
    </row>
    <row r="75" spans="1:5" ht="20.399999999999999">
      <c r="A75" s="216" t="s">
        <v>69</v>
      </c>
      <c r="B75" s="5" t="str">
        <f>HYPERLINK("https://constructor.brusnika.ru/object-module/principled-decisions/project-solution-groups/2a42c1b6-9bbb-474d-95f3-7a16a9378f5a/2748?version=1", "Планировка коммерческих помещений")</f>
        <v>Планировка коммерческих помещений</v>
      </c>
      <c r="C75" s="353" t="s">
        <v>126</v>
      </c>
      <c r="D75" s="350"/>
      <c r="E75" s="351"/>
    </row>
    <row r="76" spans="1:5" ht="13.2">
      <c r="A76" s="216" t="s">
        <v>71</v>
      </c>
      <c r="B76" s="5" t="str">
        <f>HYPERLINK("https://constructor.brusnika.ru/object-module/principled-decisions/project-solution-groups/2a42c1b6-9bbb-474d-95f3-7a16a9378f5a/2749?version=1", "Планировка соседских центров")</f>
        <v>Планировка соседских центров</v>
      </c>
      <c r="C76" s="353" t="s">
        <v>128</v>
      </c>
      <c r="D76" s="350"/>
      <c r="E76" s="351"/>
    </row>
    <row r="77" spans="1:5" ht="20.399999999999999">
      <c r="A77" s="216" t="s">
        <v>73</v>
      </c>
      <c r="B77" s="5" t="str">
        <f>HYPERLINK("https://constructor.brusnika.ru/object-module/principled-decisions/project-solution-groups/2a42c1b6-9bbb-474d-95f3-7a16a9378f5a/2751?version=1", "Планировка управляющей компании")</f>
        <v>Планировка управляющей компании</v>
      </c>
      <c r="C77" s="353" t="s">
        <v>130</v>
      </c>
      <c r="D77" s="350"/>
      <c r="E77" s="351"/>
    </row>
    <row r="78" spans="1:5" ht="13.2">
      <c r="A78" s="216" t="s">
        <v>75</v>
      </c>
      <c r="B78" s="5" t="str">
        <f>HYPERLINK("https://constructor.brusnika.ru/object-module/principled-decisions/project-solution-groups/2a42c1b6-9bbb-474d-95f3-7a16a9378f5a/2754?version=2", "Планировки квартир")</f>
        <v>Планировки квартир</v>
      </c>
      <c r="C78" s="356" t="s">
        <v>3145</v>
      </c>
      <c r="D78" s="350"/>
      <c r="E78" s="351"/>
    </row>
    <row r="79" spans="1:5" ht="13.2">
      <c r="A79" s="216" t="s">
        <v>77</v>
      </c>
      <c r="B79" s="5" t="str">
        <f>HYPERLINK("https://constructor.brusnika.ru/object-module/principled-decisions/project-solution-groups/09c6bc88-567c-495c-85ed-239118d5c1f1/2755?version=1", "Планировки нижнего этажа С28")</f>
        <v>Планировки нижнего этажа С28</v>
      </c>
      <c r="C79" s="353" t="s">
        <v>138</v>
      </c>
      <c r="D79" s="350"/>
      <c r="E79" s="351"/>
    </row>
    <row r="80" spans="1:5" ht="13.2">
      <c r="A80" s="216" t="s">
        <v>79</v>
      </c>
      <c r="B80" s="5" t="str">
        <f>HYPERLINK("https://constructor.brusnika.ru/object-module/principled-decisions/project-solution-groups/09c6bc88-567c-495c-85ed-239118d5c1f1/2757?version=1", "Планировки нижнего этажа C50")</f>
        <v>Планировки нижнего этажа C50</v>
      </c>
      <c r="C80" s="353" t="s">
        <v>140</v>
      </c>
      <c r="D80" s="350"/>
      <c r="E80" s="351"/>
    </row>
    <row r="81" spans="1:5" ht="13.2">
      <c r="A81" s="216" t="s">
        <v>81</v>
      </c>
      <c r="B81" s="5" t="str">
        <f>HYPERLINK("https://constructor.brusnika.ru/object-module/principled-decisions/project-solution-groups/db9729cc-b17c-45ea-b154-1c99896419df/2764?version=1", "Планировки первого этажа С28")</f>
        <v>Планировки первого этажа С28</v>
      </c>
      <c r="C81" s="353" t="s">
        <v>142</v>
      </c>
      <c r="D81" s="350"/>
      <c r="E81" s="351"/>
    </row>
    <row r="82" spans="1:5" ht="20.399999999999999">
      <c r="A82" s="216" t="s">
        <v>83</v>
      </c>
      <c r="B82" s="5" t="str">
        <f>HYPERLINK("https://constructor.brusnika.ru/object-module/principled-decisions/project-solution-groups/db9729cc-b17c-45ea-b154-1c99896419df/2766?version=2", "Планировочное решение МОП первого этажа С28")</f>
        <v>Планировочное решение МОП первого этажа С28</v>
      </c>
      <c r="C82" s="356" t="s">
        <v>3146</v>
      </c>
      <c r="D82" s="350"/>
      <c r="E82" s="351"/>
    </row>
    <row r="83" spans="1:5" ht="13.2">
      <c r="A83" s="216" t="s">
        <v>85</v>
      </c>
      <c r="B83" s="5" t="str">
        <f>HYPERLINK("https://constructor.brusnika.ru/object-module/principled-decisions/project-solution-groups/db9729cc-b17c-45ea-b154-1c99896419df/2767?version=1", "Планировки первого этажа C50")</f>
        <v>Планировки первого этажа C50</v>
      </c>
      <c r="C83" s="353" t="s">
        <v>146</v>
      </c>
      <c r="D83" s="350"/>
      <c r="E83" s="351"/>
    </row>
    <row r="84" spans="1:5" ht="20.399999999999999">
      <c r="A84" s="216" t="s">
        <v>87</v>
      </c>
      <c r="B84" s="5" t="str">
        <f>HYPERLINK("https://constructor.brusnika.ru/object-module/principled-decisions/project-solution-groups/db9729cc-b17c-45ea-b154-1c99896419df/2768?version=2", "Планировочное решение МОП первого этажа С50")</f>
        <v>Планировочное решение МОП первого этажа С50</v>
      </c>
      <c r="C84" s="356" t="s">
        <v>3147</v>
      </c>
      <c r="D84" s="350"/>
      <c r="E84" s="351"/>
    </row>
    <row r="85" spans="1:5" ht="20.399999999999999">
      <c r="A85" s="216" t="s">
        <v>89</v>
      </c>
      <c r="B85" s="5" t="str">
        <f>HYPERLINK("https://constructor.brusnika.ru/object-module/principled-decisions/project-solution-groups/2c3ea2db-bc3c-433c-b0f0-a5dfa58d9cf1/2772?version=2", "Планировки квартир типового этажа С28")</f>
        <v>Планировки квартир типового этажа С28</v>
      </c>
      <c r="C85" s="356" t="s">
        <v>3148</v>
      </c>
      <c r="D85" s="350"/>
      <c r="E85" s="351"/>
    </row>
    <row r="86" spans="1:5" ht="13.2">
      <c r="A86" s="216" t="s">
        <v>91</v>
      </c>
      <c r="B86" s="5" t="str">
        <f>HYPERLINK("https://constructor.brusnika.ru/object-module/principled-decisions/project-solution-groups/2c3ea2db-bc3c-433c-b0f0-a5dfa58d9cf1/2773?version=1", "Планировки типового этажа C50")</f>
        <v>Планировки типового этажа C50</v>
      </c>
      <c r="C86" s="353" t="s">
        <v>152</v>
      </c>
      <c r="D86" s="350"/>
      <c r="E86" s="351"/>
    </row>
    <row r="87" spans="1:5" ht="13.2">
      <c r="A87" s="216" t="s">
        <v>93</v>
      </c>
      <c r="B87" s="5" t="str">
        <f>HYPERLINK("https://constructor.brusnika.ru/object-module/principled-decisions/project-solution-groups/6d3e37d6-b9bc-44fb-8caf-0932a7ab9339/2781?version=2", "Планировки особенного этажа С28")</f>
        <v>Планировки особенного этажа С28</v>
      </c>
      <c r="C87" s="356" t="s">
        <v>3149</v>
      </c>
      <c r="D87" s="350"/>
      <c r="E87" s="351"/>
    </row>
    <row r="88" spans="1:5" ht="13.2">
      <c r="A88" s="216" t="s">
        <v>95</v>
      </c>
      <c r="B88" s="5" t="str">
        <f>HYPERLINK("https://constructor.brusnika.ru/object-module/principled-decisions/project-solution-groups/6d3e37d6-b9bc-44fb-8caf-0932a7ab9339/2782?version=2", "Планировки особенного этажа C50")</f>
        <v>Планировки особенного этажа C50</v>
      </c>
      <c r="C88" s="356" t="s">
        <v>3150</v>
      </c>
      <c r="D88" s="350"/>
      <c r="E88" s="351"/>
    </row>
    <row r="89" spans="1:5" ht="13.2">
      <c r="A89" s="216" t="s">
        <v>96</v>
      </c>
      <c r="B89" s="5" t="str">
        <f>HYPERLINK("https://constructor.brusnika.ru/object-module/principled-decisions/project-solution-groups/7c34cce4-e531-48cc-b8bc-04fac4ff5878/2791?version=1", "Планировки верхнего этажа С28")</f>
        <v>Планировки верхнего этажа С28</v>
      </c>
      <c r="C89" s="353" t="s">
        <v>160</v>
      </c>
      <c r="D89" s="350"/>
      <c r="E89" s="351"/>
    </row>
    <row r="90" spans="1:5" ht="13.2">
      <c r="A90" s="216" t="s">
        <v>98</v>
      </c>
      <c r="B90" s="5" t="str">
        <f>HYPERLINK("https://constructor.brusnika.ru/object-module/principled-decisions/project-solution-groups/7c34cce4-e531-48cc-b8bc-04fac4ff5878/2792?version=1", "Планировки верхнего этажа C50")</f>
        <v>Планировки верхнего этажа C50</v>
      </c>
      <c r="C90" s="353" t="s">
        <v>162</v>
      </c>
      <c r="D90" s="350"/>
      <c r="E90" s="351"/>
    </row>
    <row r="91" spans="1:5" ht="13.2">
      <c r="A91" s="354" t="s">
        <v>166</v>
      </c>
      <c r="B91" s="350"/>
      <c r="C91" s="350"/>
      <c r="D91" s="350"/>
      <c r="E91" s="351"/>
    </row>
    <row r="92" spans="1:5" ht="20.399999999999999">
      <c r="A92" s="216" t="s">
        <v>167</v>
      </c>
      <c r="B92" s="5" t="str">
        <f>HYPERLINK("https://constructor.brusnika.ru/object-module/principled-decisions/project-solution-groups/eb044fbf-f0b6-4ee4-b3ca-a938cacc1bb1/2809?version=2", "Правила подбора толщины теплоизоляционного слоя")</f>
        <v>Правила подбора толщины теплоизоляционного слоя</v>
      </c>
      <c r="C92" s="353" t="s">
        <v>172</v>
      </c>
      <c r="D92" s="350"/>
      <c r="E92" s="351"/>
    </row>
    <row r="93" spans="1:5" ht="13.2">
      <c r="A93" s="216" t="s">
        <v>169</v>
      </c>
      <c r="B93" s="5" t="str">
        <f>HYPERLINK("https://constructor.brusnika.ru/object-module/principled-decisions/project-solution-groups/eb044fbf-f0b6-4ee4-b3ca-a938cacc1bb1/2810?version=2", "Устройство тамбура")</f>
        <v>Устройство тамбура</v>
      </c>
      <c r="C93" s="356" t="s">
        <v>3151</v>
      </c>
      <c r="D93" s="350"/>
      <c r="E93" s="351"/>
    </row>
    <row r="94" spans="1:5" ht="13.2">
      <c r="A94" s="216" t="s">
        <v>171</v>
      </c>
      <c r="B94" s="5" t="str">
        <f>HYPERLINK("https://constructor.brusnika.ru/object-module/principled-decisions/project-solution-groups/eb044fbf-f0b6-4ee4-b3ca-a938cacc1bb1/2811?version=2", "Устройство цоколя")</f>
        <v>Устройство цоколя</v>
      </c>
      <c r="C94" s="353" t="s">
        <v>176</v>
      </c>
      <c r="D94" s="350"/>
      <c r="E94" s="351"/>
    </row>
    <row r="95" spans="1:5" ht="13.2">
      <c r="A95" s="216" t="s">
        <v>173</v>
      </c>
      <c r="B95" s="5" t="str">
        <f>HYPERLINK("https://constructor.brusnika.ru/object-module/principled-decisions/project-solution-groups/eb044fbf-f0b6-4ee4-b3ca-a938cacc1bb1/2812?version=2", "Устройство штукатурного фасада")</f>
        <v>Устройство штукатурного фасада</v>
      </c>
      <c r="C95" s="356" t="s">
        <v>3152</v>
      </c>
      <c r="D95" s="350"/>
      <c r="E95" s="351"/>
    </row>
    <row r="96" spans="1:5" ht="20.399999999999999">
      <c r="A96" s="216" t="s">
        <v>175</v>
      </c>
      <c r="B96" s="5" t="str">
        <f>HYPERLINK("https://constructor.brusnika.ru/object-module/principled-decisions/project-solution-groups/eb044fbf-f0b6-4ee4-b3ca-a938cacc1bb1/2814?version=2", "Устройство навесного фасада (клинкер, кирпич, HPL)")</f>
        <v>Устройство навесного фасада (клинкер, кирпич, HPL)</v>
      </c>
      <c r="C96" s="356" t="s">
        <v>3153</v>
      </c>
      <c r="D96" s="350"/>
      <c r="E96" s="351"/>
    </row>
    <row r="97" spans="1:5" ht="20.399999999999999">
      <c r="A97" s="216" t="s">
        <v>177</v>
      </c>
      <c r="B97" s="5" t="str">
        <f>HYPERLINK("https://constructor.brusnika.ru/object-module/principled-decisions/project-solution-groups/eb044fbf-f0b6-4ee4-b3ca-a938cacc1bb1/2815?version=2", "Устройство навесного фасада (аквапанель)")</f>
        <v>Устройство навесного фасада (аквапанель)</v>
      </c>
      <c r="C97" s="356" t="s">
        <v>3154</v>
      </c>
      <c r="D97" s="350"/>
      <c r="E97" s="351"/>
    </row>
    <row r="98" spans="1:5" ht="13.2">
      <c r="A98" s="216" t="s">
        <v>179</v>
      </c>
      <c r="B98" s="5" t="str">
        <f>HYPERLINK("https://constructor.brusnika.ru/object-module/principled-decisions/project-solution-groups/eb044fbf-f0b6-4ee4-b3ca-a938cacc1bb1/2816?version=1", "Устройство фасадов первого этажа")</f>
        <v>Устройство фасадов первого этажа</v>
      </c>
      <c r="C98" s="353" t="s">
        <v>184</v>
      </c>
      <c r="D98" s="350"/>
      <c r="E98" s="351"/>
    </row>
    <row r="99" spans="1:5" ht="13.2">
      <c r="A99" s="216" t="s">
        <v>181</v>
      </c>
      <c r="B99" s="5" t="str">
        <f>HYPERLINK("https://constructor.brusnika.ru/object-module/principled-decisions/project-solution-groups/eb044fbf-f0b6-4ee4-b3ca-a938cacc1bb1/2823?version=1", "Фасадное освещение")</f>
        <v>Фасадное освещение</v>
      </c>
      <c r="C99" s="353" t="s">
        <v>198</v>
      </c>
      <c r="D99" s="350"/>
      <c r="E99" s="351"/>
    </row>
    <row r="100" spans="1:5" ht="13.2">
      <c r="A100" s="216" t="s">
        <v>183</v>
      </c>
      <c r="B100" s="5" t="str">
        <f>HYPERLINK("https://constructor.brusnika.ru/object-module/principled-decisions/project-solution-groups/eb044fbf-f0b6-4ee4-b3ca-a938cacc1bb1/2802?version=2", "Отлив оконный")</f>
        <v>Отлив оконный</v>
      </c>
      <c r="C100" s="353" t="s">
        <v>200</v>
      </c>
      <c r="D100" s="350"/>
      <c r="E100" s="351"/>
    </row>
    <row r="101" spans="1:5" ht="13.2">
      <c r="A101" s="216" t="s">
        <v>185</v>
      </c>
      <c r="B101" s="5" t="str">
        <f>HYPERLINK("https://constructor.brusnika.ru/object-module/principled-decisions/project-solution-groups/eb044fbf-f0b6-4ee4-b3ca-a938cacc1bb1/2825?version=2", "Отлив фасадный переходный")</f>
        <v>Отлив фасадный переходный</v>
      </c>
      <c r="C101" s="353" t="s">
        <v>202</v>
      </c>
      <c r="D101" s="350"/>
      <c r="E101" s="351"/>
    </row>
    <row r="102" spans="1:5" ht="13.2">
      <c r="A102" s="216" t="s">
        <v>187</v>
      </c>
      <c r="B102" s="5" t="str">
        <f>HYPERLINK("https://constructor.brusnika.ru/object-module/principled-decisions/project-solution-groups/eb044fbf-f0b6-4ee4-b3ca-a938cacc1bb1/2826?version=1", "Отлив фасадный декоративный")</f>
        <v>Отлив фасадный декоративный</v>
      </c>
      <c r="C102" s="353" t="s">
        <v>204</v>
      </c>
      <c r="D102" s="350"/>
      <c r="E102" s="351"/>
    </row>
    <row r="103" spans="1:5" ht="13.2">
      <c r="A103" s="216" t="s">
        <v>189</v>
      </c>
      <c r="B103" s="5" t="str">
        <f>HYPERLINK("https://constructor.brusnika.ru/object-module/principled-decisions/project-solution-groups/eb044fbf-f0b6-4ee4-b3ca-a938cacc1bb1/2827?version=3", "Отлив парапетный")</f>
        <v>Отлив парапетный</v>
      </c>
      <c r="C103" s="353" t="s">
        <v>206</v>
      </c>
      <c r="D103" s="350"/>
      <c r="E103" s="351"/>
    </row>
    <row r="104" spans="1:5" ht="13.2">
      <c r="A104" s="216" t="s">
        <v>191</v>
      </c>
      <c r="B104" s="5" t="str">
        <f>HYPERLINK("https://constructor.brusnika.ru/object-module/principled-decisions/project-solution-groups/eb044fbf-f0b6-4ee4-b3ca-a938cacc1bb1/2828?version=1", "Декоративные элементы Префаб")</f>
        <v>Декоративные элементы Префаб</v>
      </c>
      <c r="C104" s="353" t="s">
        <v>208</v>
      </c>
      <c r="D104" s="350"/>
      <c r="E104" s="351"/>
    </row>
    <row r="105" spans="1:5" ht="13.2">
      <c r="A105" s="216" t="s">
        <v>193</v>
      </c>
      <c r="B105" s="5" t="str">
        <f>HYPERLINK("https://constructor.brusnika.ru/object-module/principled-decisions/project-solution-groups/899dda0b-cd61-48f1-aeb3-1b2d1b9838cd/2829?version=3", "Корзина кондиционера на ЛП")</f>
        <v>Корзина кондиционера на ЛП</v>
      </c>
      <c r="C105" s="353" t="s">
        <v>210</v>
      </c>
      <c r="D105" s="350"/>
      <c r="E105" s="351"/>
    </row>
    <row r="106" spans="1:5" ht="13.2">
      <c r="A106" s="216" t="s">
        <v>195</v>
      </c>
      <c r="B106" s="5" t="str">
        <f>HYPERLINK("https://constructor.brusnika.ru/object-module/principled-decisions/project-solution-groups/899dda0b-cd61-48f1-aeb3-1b2d1b9838cd/2831?version=1", "Корзина кондиционера под окно")</f>
        <v>Корзина кондиционера под окно</v>
      </c>
      <c r="C106" s="353" t="s">
        <v>212</v>
      </c>
      <c r="D106" s="350"/>
      <c r="E106" s="351"/>
    </row>
    <row r="107" spans="1:5" ht="20.399999999999999">
      <c r="A107" s="216" t="s">
        <v>197</v>
      </c>
      <c r="B107" s="5" t="str">
        <f>HYPERLINK("https://constructor.brusnika.ru/object-module/principled-decisions/project-solution-groups/899dda0b-cd61-48f1-aeb3-1b2d1b9838cd/2832?version=2", "Каталог паттернов корзин кондиционера")</f>
        <v>Каталог паттернов корзин кондиционера</v>
      </c>
      <c r="C107" s="356" t="s">
        <v>3155</v>
      </c>
      <c r="D107" s="350"/>
      <c r="E107" s="351"/>
    </row>
    <row r="108" spans="1:5" ht="13.2">
      <c r="A108" s="216" t="s">
        <v>199</v>
      </c>
      <c r="B108" s="5" t="str">
        <f>HYPERLINK("https://constructor.brusnika.ru/object-module/principled-decisions/project-solution-groups/bf6f71c7-d26c-4617-8619-2d62b5494be3/2834?version=1", "Ограждения террас первого этажа")</f>
        <v>Ограждения террас первого этажа</v>
      </c>
      <c r="C108" s="353" t="s">
        <v>218</v>
      </c>
      <c r="D108" s="350"/>
      <c r="E108" s="351"/>
    </row>
    <row r="109" spans="1:5" ht="40.799999999999997">
      <c r="A109" s="216" t="s">
        <v>201</v>
      </c>
      <c r="B109" s="5" t="str">
        <f>HYPERLINK("https://constructor.brusnika.ru/object-module/principled-decisions/project-solution-groups/bf6f71c7-d26c-4617-8619-2d62b5494be3/2835?version=1", "Ограждения террас
типовых
особенных
и верхних этажей")</f>
        <v>Ограждения террас
типовых
особенных
и верхних этажей</v>
      </c>
      <c r="C109" s="353" t="s">
        <v>317</v>
      </c>
      <c r="D109" s="350"/>
      <c r="E109" s="351"/>
    </row>
    <row r="110" spans="1:5" ht="13.2">
      <c r="A110" s="216" t="s">
        <v>203</v>
      </c>
      <c r="B110" s="5" t="str">
        <f>HYPERLINK("https://constructor.brusnika.ru/object-module/principled-decisions/project-solution-groups/bf6f71c7-d26c-4617-8619-2d62b5494be3/2830?version=2", "Ограждение кровли")</f>
        <v>Ограждение кровли</v>
      </c>
      <c r="C110" s="353" t="s">
        <v>220</v>
      </c>
      <c r="D110" s="350"/>
      <c r="E110" s="351"/>
    </row>
    <row r="111" spans="1:5" ht="13.2">
      <c r="A111" s="216" t="s">
        <v>205</v>
      </c>
      <c r="B111" s="5" t="str">
        <f>HYPERLINK("https://constructor.brusnika.ru/object-module/principled-decisions/project-solution-groups/bf6f71c7-d26c-4617-8619-2d62b5494be3/2837?version=1", "Ограждение окна")</f>
        <v>Ограждение окна</v>
      </c>
      <c r="C111" s="353" t="s">
        <v>222</v>
      </c>
      <c r="D111" s="350"/>
      <c r="E111" s="351"/>
    </row>
    <row r="112" spans="1:5" ht="13.2">
      <c r="A112" s="216" t="s">
        <v>207</v>
      </c>
      <c r="B112" s="5" t="str">
        <f>HYPERLINK("https://constructor.brusnika.ru/object-module/principled-decisions/project-solution-groups/5c3aa6ac-dfa0-4ce5-a9c6-882adc6ab6b7/2838?version=1", "Пироги пола нижнего этажа")</f>
        <v>Пироги пола нижнего этажа</v>
      </c>
      <c r="C112" s="353" t="s">
        <v>224</v>
      </c>
      <c r="D112" s="350"/>
      <c r="E112" s="351"/>
    </row>
    <row r="113" spans="1:5" ht="13.2">
      <c r="A113" s="216" t="s">
        <v>209</v>
      </c>
      <c r="B113" s="5" t="str">
        <f>HYPERLINK("https://constructor.brusnika.ru/object-module/principled-decisions/project-solution-groups/5c3aa6ac-dfa0-4ce5-a9c6-882adc6ab6b7/2839?version=3", "Пироги пола первого этажа")</f>
        <v>Пироги пола первого этажа</v>
      </c>
      <c r="C113" s="353" t="s">
        <v>226</v>
      </c>
      <c r="D113" s="350"/>
      <c r="E113" s="351"/>
    </row>
    <row r="114" spans="1:5" ht="13.2">
      <c r="A114" s="216" t="s">
        <v>211</v>
      </c>
      <c r="B114" s="5" t="str">
        <f>HYPERLINK("https://constructor.brusnika.ru/object-module/principled-decisions/project-solution-groups/5c3aa6ac-dfa0-4ce5-a9c6-882adc6ab6b7/2840?version=1", "Пироги пола типового этажа")</f>
        <v>Пироги пола типового этажа</v>
      </c>
      <c r="C114" s="353" t="s">
        <v>228</v>
      </c>
      <c r="D114" s="350"/>
      <c r="E114" s="351"/>
    </row>
    <row r="115" spans="1:5" ht="13.2">
      <c r="A115" s="216" t="s">
        <v>213</v>
      </c>
      <c r="B115" s="5" t="str">
        <f>HYPERLINK("https://constructor.brusnika.ru/object-module/principled-decisions/project-solution-groups/5c3aa6ac-dfa0-4ce5-a9c6-882adc6ab6b7/2841?version=1", "Пироги пола особенного этажа")</f>
        <v>Пироги пола особенного этажа</v>
      </c>
      <c r="C115" s="353" t="s">
        <v>230</v>
      </c>
      <c r="D115" s="350"/>
      <c r="E115" s="351"/>
    </row>
    <row r="116" spans="1:5" ht="13.2">
      <c r="A116" s="216" t="s">
        <v>215</v>
      </c>
      <c r="B116" s="5" t="str">
        <f>HYPERLINK("https://constructor.brusnika.ru/object-module/principled-decisions/project-solution-groups/5c3aa6ac-dfa0-4ce5-a9c6-882adc6ab6b7/2842?version=1", "Пироги пола верхнего этажа")</f>
        <v>Пироги пола верхнего этажа</v>
      </c>
      <c r="C116" s="353" t="s">
        <v>232</v>
      </c>
      <c r="D116" s="350"/>
      <c r="E116" s="351"/>
    </row>
    <row r="117" spans="1:5" ht="13.2">
      <c r="A117" s="216" t="s">
        <v>217</v>
      </c>
      <c r="B117" s="5" t="str">
        <f>HYPERLINK("https://constructor.brusnika.ru/object-module/principled-decisions/project-solution-groups/5c3aa6ac-dfa0-4ce5-a9c6-882adc6ab6b7/2843?version=2", "Пироги кровли верхнего этажа")</f>
        <v>Пироги кровли верхнего этажа</v>
      </c>
      <c r="C117" s="353" t="s">
        <v>234</v>
      </c>
      <c r="D117" s="350"/>
      <c r="E117" s="351"/>
    </row>
    <row r="118" spans="1:5" ht="13.2">
      <c r="A118" s="216" t="s">
        <v>219</v>
      </c>
      <c r="B118" s="5" t="str">
        <f>HYPERLINK("https://constructor.brusnika.ru/object-module/principled-decisions/project-solution-groups/5c3aa6ac-dfa0-4ce5-a9c6-882adc6ab6b7/2844?version=3", "Пироги монолитных балконов")</f>
        <v>Пироги монолитных балконов</v>
      </c>
      <c r="C118" s="353" t="s">
        <v>236</v>
      </c>
      <c r="D118" s="350"/>
      <c r="E118" s="351"/>
    </row>
    <row r="119" spans="1:5" ht="13.2">
      <c r="A119" s="216" t="s">
        <v>221</v>
      </c>
      <c r="B119" s="5" t="str">
        <f>HYPERLINK("https://constructor.brusnika.ru/object-module/principled-decisions/project-solution-groups/5c3aa6ac-dfa0-4ce5-a9c6-882adc6ab6b7/2845?version=2", "Пироги террас")</f>
        <v>Пироги террас</v>
      </c>
      <c r="C119" s="353" t="s">
        <v>238</v>
      </c>
      <c r="D119" s="350"/>
      <c r="E119" s="351"/>
    </row>
    <row r="120" spans="1:5" ht="20.399999999999999">
      <c r="A120" s="216" t="s">
        <v>223</v>
      </c>
      <c r="B120" s="8" t="s">
        <v>3156</v>
      </c>
      <c r="C120" s="353" t="s">
        <v>3157</v>
      </c>
      <c r="D120" s="350"/>
      <c r="E120" s="351"/>
    </row>
    <row r="121" spans="1:5" ht="20.399999999999999">
      <c r="A121" s="216" t="s">
        <v>225</v>
      </c>
      <c r="B121" s="8" t="s">
        <v>3158</v>
      </c>
      <c r="C121" s="353" t="s">
        <v>3159</v>
      </c>
      <c r="D121" s="350"/>
      <c r="E121" s="351"/>
    </row>
    <row r="122" spans="1:5" ht="13.2">
      <c r="A122" s="216" t="s">
        <v>227</v>
      </c>
      <c r="B122" s="5" t="str">
        <f>HYPERLINK("https://constructor.brusnika.ru/object-module/principled-decisions/project-solution-groups/5c3aa6ac-dfa0-4ce5-a9c6-882adc6ab6b7/2849?version=2", "Пироги кровли паркинга")</f>
        <v>Пироги кровли паркинга</v>
      </c>
      <c r="C122" s="353" t="s">
        <v>242</v>
      </c>
      <c r="D122" s="350"/>
      <c r="E122" s="351"/>
    </row>
    <row r="123" spans="1:5" ht="13.2">
      <c r="A123" s="216" t="s">
        <v>229</v>
      </c>
      <c r="B123" s="5" t="str">
        <f>HYPERLINK("https://constructor.brusnika.ru/object-module/principled-decisions/project-solution-groups/5c3aa6ac-dfa0-4ce5-a9c6-882adc6ab6b7/2850?version=3", "Террасная доска")</f>
        <v>Террасная доска</v>
      </c>
      <c r="C123" s="353" t="s">
        <v>244</v>
      </c>
      <c r="D123" s="350"/>
      <c r="E123" s="351"/>
    </row>
    <row r="124" spans="1:5" ht="20.399999999999999">
      <c r="A124" s="216" t="s">
        <v>231</v>
      </c>
      <c r="B124" s="5" t="str">
        <f>HYPERLINK("https://constructor.brusnika.ru/object-module/principled-decisions/project-solution-groups/7f517705-bb45-47d4-af11-7372c2ad3bf4/2851?version=2", "Внешние стены. Блок керамический.")</f>
        <v>Внешние стены. Блок керамический.</v>
      </c>
      <c r="C124" s="353" t="s">
        <v>246</v>
      </c>
      <c r="D124" s="350"/>
      <c r="E124" s="351"/>
    </row>
    <row r="125" spans="1:5" ht="13.2">
      <c r="A125" s="216" t="s">
        <v>233</v>
      </c>
      <c r="B125" s="5" t="str">
        <f>HYPERLINK("https://constructor.brusnika.ru/object-module/principled-decisions/project-solution-groups/7f517705-bb45-47d4-af11-7372c2ad3bf4/2852?version=2", "Монолитный борт первого этажа")</f>
        <v>Монолитный борт первого этажа</v>
      </c>
      <c r="C125" s="353" t="s">
        <v>248</v>
      </c>
      <c r="D125" s="350"/>
      <c r="E125" s="351"/>
    </row>
    <row r="126" spans="1:5" ht="13.2">
      <c r="A126" s="216" t="s">
        <v>235</v>
      </c>
      <c r="B126" s="5" t="str">
        <f>HYPERLINK("https://constructor.brusnika.ru/object-module/principled-decisions/project-solution-groups/7f517705-bb45-47d4-af11-7372c2ad3bf4/2853?version=3", "Монолитный парапет")</f>
        <v>Монолитный парапет</v>
      </c>
      <c r="C126" s="353" t="s">
        <v>250</v>
      </c>
      <c r="D126" s="350"/>
      <c r="E126" s="351"/>
    </row>
    <row r="127" spans="1:5" ht="20.399999999999999">
      <c r="A127" s="216" t="s">
        <v>237</v>
      </c>
      <c r="B127" s="5" t="str">
        <f>HYPERLINK("https://constructor.brusnika.ru/object-module/principled-decisions/project-solution-groups/7f517705-bb45-47d4-af11-7372c2ad3bf4/2854?version=2", "Внутренние стены. Блок керамический")</f>
        <v>Внутренние стены. Блок керамический</v>
      </c>
      <c r="C127" s="353" t="s">
        <v>252</v>
      </c>
      <c r="D127" s="350"/>
      <c r="E127" s="351"/>
    </row>
    <row r="128" spans="1:5" ht="13.2">
      <c r="A128" s="216" t="s">
        <v>239</v>
      </c>
      <c r="B128" s="5" t="str">
        <f>HYPERLINK("https://constructor.brusnika.ru/object-module/principled-decisions/project-solution-groups/7f517705-bb45-47d4-af11-7372c2ad3bf4/2855?version=2", "Перегородки")</f>
        <v>Перегородки</v>
      </c>
      <c r="C128" s="353" t="s">
        <v>254</v>
      </c>
      <c r="D128" s="350"/>
      <c r="E128" s="351"/>
    </row>
    <row r="129" spans="1:5" ht="13.2">
      <c r="A129" s="216" t="s">
        <v>241</v>
      </c>
      <c r="B129" s="8" t="s">
        <v>256</v>
      </c>
      <c r="C129" s="353" t="s">
        <v>257</v>
      </c>
      <c r="D129" s="350"/>
      <c r="E129" s="351"/>
    </row>
    <row r="130" spans="1:5" ht="13.2">
      <c r="A130" s="216" t="s">
        <v>243</v>
      </c>
      <c r="B130" s="5" t="str">
        <f>HYPERLINK("https://constructor.brusnika.ru/object-module/principled-decisions/project-solution-groups/077c638b-2559-42d5-bb5b-f3a69ba0699d/2856?version=1", "Оконные проемы первого этажа")</f>
        <v>Оконные проемы первого этажа</v>
      </c>
      <c r="C130" s="353" t="s">
        <v>259</v>
      </c>
      <c r="D130" s="350"/>
      <c r="E130" s="351"/>
    </row>
    <row r="131" spans="1:5" ht="20.399999999999999">
      <c r="A131" s="216" t="s">
        <v>245</v>
      </c>
      <c r="B131" s="105" t="s">
        <v>261</v>
      </c>
      <c r="C131" s="462" t="s">
        <v>3160</v>
      </c>
      <c r="D131" s="350"/>
      <c r="E131" s="351"/>
    </row>
    <row r="132" spans="1:5" ht="20.399999999999999">
      <c r="A132" s="216" t="s">
        <v>247</v>
      </c>
      <c r="B132" s="5" t="str">
        <f>HYPERLINK("https://constructor.brusnika.ru/object-module/principled-decisions/project-solution-groups/077c638b-2559-42d5-bb5b-f3a69ba0699d/2862?version=2", "Оконные проемы верхнего (3.02 м) этажа.")</f>
        <v>Оконные проемы верхнего (3.02 м) этажа.</v>
      </c>
      <c r="C132" s="356" t="s">
        <v>3161</v>
      </c>
      <c r="D132" s="350"/>
      <c r="E132" s="351"/>
    </row>
    <row r="133" spans="1:5" ht="20.399999999999999">
      <c r="A133" s="216" t="s">
        <v>249</v>
      </c>
      <c r="B133" s="5" t="str">
        <f>HYPERLINK("https://constructor.brusnika.ru/object-module/principled-decisions/project-solution-groups/077c638b-2559-42d5-bb5b-f3a69ba0699d/2863?version=1", "Дверные проемы и их заполнение на нижнем этаже С28, С50, Б50")</f>
        <v>Дверные проемы и их заполнение на нижнем этаже С28, С50, Б50</v>
      </c>
      <c r="C133" s="353" t="s">
        <v>266</v>
      </c>
      <c r="D133" s="350"/>
      <c r="E133" s="351"/>
    </row>
    <row r="134" spans="1:5" ht="20.399999999999999">
      <c r="A134" s="216" t="s">
        <v>251</v>
      </c>
      <c r="B134" s="5" t="str">
        <f>HYPERLINK("https://constructor.brusnika.ru/object-module/principled-decisions/project-solution-groups/077c638b-2559-42d5-bb5b-f3a69ba0699d/2867?version=1", "Дверные проемы и их заполнение на первом этаже С28, С50, Б50")</f>
        <v>Дверные проемы и их заполнение на первом этаже С28, С50, Б50</v>
      </c>
      <c r="C134" s="353" t="s">
        <v>268</v>
      </c>
      <c r="D134" s="350"/>
      <c r="E134" s="351"/>
    </row>
    <row r="135" spans="1:5" ht="20.399999999999999">
      <c r="A135" s="216" t="s">
        <v>253</v>
      </c>
      <c r="B135" s="5" t="str">
        <f>HYPERLINK("https://constructor.brusnika.ru/object-module/principled-decisions/project-solution-groups/077c638b-2559-42d5-bb5b-f3a69ba0699d/2872?version=1", "Дверные проемы и их заполнение на типовом этаже С28, С50, Б50")</f>
        <v>Дверные проемы и их заполнение на типовом этаже С28, С50, Б50</v>
      </c>
      <c r="C135" s="353" t="s">
        <v>270</v>
      </c>
      <c r="D135" s="350"/>
      <c r="E135" s="351"/>
    </row>
    <row r="136" spans="1:5" ht="20.399999999999999">
      <c r="A136" s="216" t="s">
        <v>255</v>
      </c>
      <c r="B136" s="5" t="str">
        <f>HYPERLINK("https://constructor.brusnika.ru/object-module/principled-decisions/project-solution-groups/077c638b-2559-42d5-bb5b-f3a69ba0699d/2876?version=1", "Дверные проемы и их заполнение на особенном этаже С28, С50, Б50")</f>
        <v>Дверные проемы и их заполнение на особенном этаже С28, С50, Б50</v>
      </c>
      <c r="C136" s="353" t="s">
        <v>272</v>
      </c>
      <c r="D136" s="350"/>
      <c r="E136" s="351"/>
    </row>
    <row r="137" spans="1:5" ht="20.399999999999999">
      <c r="A137" s="216" t="s">
        <v>258</v>
      </c>
      <c r="B137" s="5" t="str">
        <f>HYPERLINK("https://constructor.brusnika.ru/object-module/principled-decisions/project-solution-groups/077c638b-2559-42d5-bb5b-f3a69ba0699d/2871?version=1", "Дверные проемы и их заполнение на верхнем этаже С28, С50, Б50")</f>
        <v>Дверные проемы и их заполнение на верхнем этаже С28, С50, Б50</v>
      </c>
      <c r="C137" s="353" t="s">
        <v>274</v>
      </c>
      <c r="D137" s="350"/>
      <c r="E137" s="351"/>
    </row>
    <row r="138" spans="1:5" ht="13.2">
      <c r="A138" s="216" t="s">
        <v>260</v>
      </c>
      <c r="B138" s="5" t="str">
        <f>HYPERLINK("https://constructor.brusnika.ru/object-module/principled-decisions/project-solution-groups/077c638b-2559-42d5-bb5b-f3a69ba0699d/2881?version=4", "Перемычки оконных проемов")</f>
        <v>Перемычки оконных проемов</v>
      </c>
      <c r="C138" s="353" t="s">
        <v>276</v>
      </c>
      <c r="D138" s="350"/>
      <c r="E138" s="351"/>
    </row>
    <row r="139" spans="1:5" ht="13.2">
      <c r="A139" s="216" t="s">
        <v>263</v>
      </c>
      <c r="B139" s="5" t="str">
        <f>HYPERLINK("https://constructor.brusnika.ru/object-module/principled-decisions/project-solution-groups/077c638b-2559-42d5-bb5b-f3a69ba0699d/2882?version=1", "Перемычки дверных проемов")</f>
        <v>Перемычки дверных проемов</v>
      </c>
      <c r="C139" s="353" t="s">
        <v>278</v>
      </c>
      <c r="D139" s="350"/>
      <c r="E139" s="351"/>
    </row>
    <row r="140" spans="1:5" ht="13.2">
      <c r="A140" s="216" t="s">
        <v>265</v>
      </c>
      <c r="B140" s="5" t="str">
        <f>HYPERLINK("https://constructor.brusnika.ru/object-module/principled-decisions/project-solution-groups/077c638b-2559-42d5-bb5b-f3a69ba0699d/2883?version=1", "Инженерные ниши С28, С50")</f>
        <v>Инженерные ниши С28, С50</v>
      </c>
      <c r="C140" s="353" t="s">
        <v>280</v>
      </c>
      <c r="D140" s="350"/>
      <c r="E140" s="351"/>
    </row>
    <row r="141" spans="1:5" ht="20.399999999999999">
      <c r="A141" s="216" t="s">
        <v>267</v>
      </c>
      <c r="B141" s="5" t="str">
        <f>HYPERLINK("https://constructor.brusnika.ru/object-module/principled-decisions/project-solution-groups/90dd175d-a00d-4752-9f82-8544aa8c3cdd/2885?version=1", "Оконные конструкции ПВХ первого этажа")</f>
        <v>Оконные конструкции ПВХ первого этажа</v>
      </c>
      <c r="C141" s="353" t="s">
        <v>282</v>
      </c>
      <c r="D141" s="350"/>
      <c r="E141" s="351"/>
    </row>
    <row r="142" spans="1:5" ht="20.399999999999999">
      <c r="A142" s="216" t="s">
        <v>269</v>
      </c>
      <c r="B142" s="105" t="s">
        <v>284</v>
      </c>
      <c r="C142" s="355" t="s">
        <v>3162</v>
      </c>
      <c r="D142" s="350"/>
      <c r="E142" s="351"/>
    </row>
    <row r="143" spans="1:5" ht="20.399999999999999">
      <c r="A143" s="216" t="s">
        <v>271</v>
      </c>
      <c r="B143" s="5" t="str">
        <f>HYPERLINK("https://constructor.brusnika.ru/object-module/principled-decisions/project-solution-groups/90dd175d-a00d-4752-9f82-8544aa8c3cdd/2889?version=1", "Оконные конструкции ПВХ верхнего этажа")</f>
        <v>Оконные конструкции ПВХ верхнего этажа</v>
      </c>
      <c r="C143" s="353" t="s">
        <v>287</v>
      </c>
      <c r="D143" s="350"/>
      <c r="E143" s="351"/>
    </row>
    <row r="144" spans="1:5" ht="20.399999999999999">
      <c r="A144" s="216" t="s">
        <v>273</v>
      </c>
      <c r="B144" s="5" t="str">
        <f>HYPERLINK("https://constructor.brusnika.ru/object-module/principled-decisions/project-solution-groups/90dd175d-a00d-4752-9f82-8544aa8c3cdd/2890?version=1", "Оконные конструкции ДВА первого этажа")</f>
        <v>Оконные конструкции ДВА первого этажа</v>
      </c>
      <c r="C144" s="353" t="s">
        <v>282</v>
      </c>
      <c r="D144" s="350"/>
      <c r="E144" s="351"/>
    </row>
    <row r="145" spans="1:5" ht="20.399999999999999">
      <c r="A145" s="216" t="s">
        <v>275</v>
      </c>
      <c r="B145" s="5" t="str">
        <f>HYPERLINK("https://constructor.brusnika.ru/object-module/principled-decisions/project-solution-groups/90dd175d-a00d-4752-9f82-8544aa8c3cdd/2895?version=1", "Оконные конструкции ДВА верхнего этажа")</f>
        <v>Оконные конструкции ДВА верхнего этажа</v>
      </c>
      <c r="C145" s="353" t="s">
        <v>3163</v>
      </c>
      <c r="D145" s="350"/>
      <c r="E145" s="351"/>
    </row>
    <row r="146" spans="1:5" ht="13.2">
      <c r="A146" s="216" t="s">
        <v>277</v>
      </c>
      <c r="B146" s="5" t="str">
        <f>HYPERLINK("https://constructor.brusnika.ru/object-module/principled-decisions/project-solution-groups/90dd175d-a00d-4752-9f82-8544aa8c3cdd/2896?version=1", "Витражи первого этажа")</f>
        <v>Витражи первого этажа</v>
      </c>
      <c r="C146" s="353" t="s">
        <v>293</v>
      </c>
      <c r="D146" s="350"/>
      <c r="E146" s="351"/>
    </row>
    <row r="147" spans="1:5" ht="13.2">
      <c r="A147" s="216" t="s">
        <v>279</v>
      </c>
      <c r="B147" s="5" t="str">
        <f>HYPERLINK("https://constructor.brusnika.ru/object-module/principled-decisions/project-solution-groups/90dd175d-a00d-4752-9f82-8544aa8c3cdd/2899?version=1", "Витражи типового этажа")</f>
        <v>Витражи типового этажа</v>
      </c>
      <c r="C147" s="353" t="s">
        <v>295</v>
      </c>
      <c r="D147" s="350"/>
      <c r="E147" s="351"/>
    </row>
    <row r="148" spans="1:5" ht="13.2">
      <c r="A148" s="216" t="s">
        <v>281</v>
      </c>
      <c r="B148" s="5" t="str">
        <f>HYPERLINK("https://constructor.brusnika.ru/object-module/principled-decisions/project-solution-groups/90dd175d-a00d-4752-9f82-8544aa8c3cdd/2900?version=1", "Витражи особенного этажа")</f>
        <v>Витражи особенного этажа</v>
      </c>
      <c r="C148" s="353" t="s">
        <v>297</v>
      </c>
      <c r="D148" s="350"/>
      <c r="E148" s="351"/>
    </row>
    <row r="149" spans="1:5" ht="13.2">
      <c r="A149" s="216" t="s">
        <v>283</v>
      </c>
      <c r="B149" s="5" t="str">
        <f>HYPERLINK("https://constructor.brusnika.ru/object-module/principled-decisions/project-solution-groups/90dd175d-a00d-4752-9f82-8544aa8c3cdd/2901?version=1", "Витражи верхнего этажа")</f>
        <v>Витражи верхнего этажа</v>
      </c>
      <c r="C149" s="353" t="s">
        <v>299</v>
      </c>
      <c r="D149" s="350"/>
      <c r="E149" s="351"/>
    </row>
    <row r="150" spans="1:5" ht="13.2">
      <c r="A150" s="216" t="s">
        <v>286</v>
      </c>
      <c r="B150" s="5" t="str">
        <f>HYPERLINK("https://constructor.brusnika.ru/object-module/principled-decisions/project-solution-groups/da527ee1-d29e-44cb-903d-b311adaf8f92/2903?version=1", "Входные двери")</f>
        <v>Входные двери</v>
      </c>
      <c r="C150" s="353" t="s">
        <v>301</v>
      </c>
      <c r="D150" s="350"/>
      <c r="E150" s="351"/>
    </row>
    <row r="151" spans="1:5" ht="13.2">
      <c r="A151" s="216" t="s">
        <v>288</v>
      </c>
      <c r="B151" s="5" t="str">
        <f>HYPERLINK("https://constructor.brusnika.ru/object-module/principled-decisions/project-solution-groups/da527ee1-d29e-44cb-903d-b311adaf8f92/2905?version=1", "Ворота паркинга")</f>
        <v>Ворота паркинга</v>
      </c>
      <c r="C151" s="353" t="s">
        <v>303</v>
      </c>
      <c r="D151" s="350"/>
      <c r="E151" s="351"/>
    </row>
    <row r="152" spans="1:5" ht="20.399999999999999">
      <c r="A152" s="216" t="s">
        <v>289</v>
      </c>
      <c r="B152" s="5" t="str">
        <f>HYPERLINK("https://constructor.brusnika.ru/object-module/principled-decisions/project-solution-groups/da527ee1-d29e-44cb-903d-b311adaf8f92/2907?version=1", "Отдельный вход в квартиру. Заполнение.")</f>
        <v>Отдельный вход в квартиру. Заполнение.</v>
      </c>
      <c r="C152" s="353" t="s">
        <v>307</v>
      </c>
      <c r="D152" s="350"/>
      <c r="E152" s="351"/>
    </row>
    <row r="153" spans="1:5" ht="20.399999999999999">
      <c r="A153" s="216" t="s">
        <v>292</v>
      </c>
      <c r="B153" s="5" t="str">
        <f>HYPERLINK("https://constructor.brusnika.ru/object-module/principled-decisions/project-solution-groups/1960716b-b52b-45a2-ae53-dc0622423f6f/2912?version=1", "Ограждения префабрицированных лестниц лифтового узла")</f>
        <v>Ограждения префабрицированных лестниц лифтового узла</v>
      </c>
      <c r="C153" s="353" t="s">
        <v>313</v>
      </c>
      <c r="D153" s="350"/>
      <c r="E153" s="351"/>
    </row>
    <row r="154" spans="1:5" ht="20.399999999999999">
      <c r="A154" s="216" t="s">
        <v>294</v>
      </c>
      <c r="B154" s="5" t="str">
        <f>HYPERLINK("https://constructor.brusnika.ru/object-module/principled-decisions/project-solution-groups/1960716b-b52b-45a2-ae53-dc0622423f6f/2913?version=1", "Ограждения монолитных лестниц лифтового узла")</f>
        <v>Ограждения монолитных лестниц лифтового узла</v>
      </c>
      <c r="C154" s="353" t="s">
        <v>315</v>
      </c>
      <c r="D154" s="350"/>
      <c r="E154" s="351"/>
    </row>
    <row r="155" spans="1:5" ht="13.2">
      <c r="A155" s="216" t="s">
        <v>296</v>
      </c>
      <c r="B155" s="5" t="str">
        <f>HYPERLINK("https://constructor.brusnika.ru/object-module/principled-decisions/project-solution-groups/1960716b-b52b-45a2-ae53-dc0622423f6f/2915?version=1", "Пожарная лестница длиной от 6м")</f>
        <v>Пожарная лестница длиной от 6м</v>
      </c>
      <c r="C155" s="353" t="s">
        <v>321</v>
      </c>
      <c r="D155" s="350"/>
      <c r="E155" s="351"/>
    </row>
    <row r="156" spans="1:5" ht="13.2">
      <c r="A156" s="216" t="s">
        <v>298</v>
      </c>
      <c r="B156" s="5" t="str">
        <f>HYPERLINK("https://constructor.brusnika.ru/object-module/principled-decisions/project-solution-groups/1960716b-b52b-45a2-ae53-dc0622423f6f/2914?version=2", "Пожарная лестница длиной до 6м")</f>
        <v>Пожарная лестница длиной до 6м</v>
      </c>
      <c r="C156" s="353" t="s">
        <v>319</v>
      </c>
      <c r="D156" s="350"/>
      <c r="E156" s="351"/>
    </row>
    <row r="157" spans="1:5" ht="13.2">
      <c r="A157" s="354" t="s">
        <v>322</v>
      </c>
      <c r="B157" s="350"/>
      <c r="C157" s="350"/>
      <c r="D157" s="350"/>
      <c r="E157" s="351"/>
    </row>
    <row r="158" spans="1:5" ht="13.2">
      <c r="A158" s="354" t="s">
        <v>323</v>
      </c>
      <c r="B158" s="350"/>
      <c r="C158" s="350"/>
      <c r="D158" s="350"/>
      <c r="E158" s="351"/>
    </row>
    <row r="159" spans="1:5" ht="13.2">
      <c r="A159" s="354" t="s">
        <v>324</v>
      </c>
      <c r="B159" s="350"/>
      <c r="C159" s="350"/>
      <c r="D159" s="350"/>
      <c r="E159" s="351"/>
    </row>
    <row r="160" spans="1:5" ht="20.399999999999999">
      <c r="A160" s="4" t="s">
        <v>325</v>
      </c>
      <c r="B160" s="5" t="str">
        <f>HYPERLINK("https://constructor.brusnika.ru/object-module/principled-decisions/project-solution-groups/93a41d46-ace2-4672-8b93-425f394169dd/3105?version=1", "Техническое задание на испытание свай")</f>
        <v>Техническое задание на испытание свай</v>
      </c>
      <c r="C160" s="353" t="s">
        <v>3164</v>
      </c>
      <c r="D160" s="350"/>
      <c r="E160" s="351"/>
    </row>
    <row r="161" spans="1:5" ht="20.399999999999999">
      <c r="A161" s="4" t="s">
        <v>327</v>
      </c>
      <c r="B161" s="5" t="str">
        <f>HYPERLINK("https://constructor.brusnika.ru/object-module/principled-decisions/project-solution-groups/fc279583-2c82-4ea3-8309-7bad6a747ef3/3752?version=1", "Вертикальные несущие элементы массинга ")</f>
        <v xml:space="preserve">Вертикальные несущие элементы массинга </v>
      </c>
      <c r="C161" s="356" t="s">
        <v>3165</v>
      </c>
      <c r="D161" s="350"/>
      <c r="E161" s="351"/>
    </row>
    <row r="162" spans="1:5" ht="20.399999999999999">
      <c r="A162" s="4" t="s">
        <v>329</v>
      </c>
      <c r="B162" s="5" t="str">
        <f>HYPERLINK("https://constructor.brusnika.ru/object-module/principled-decisions/project-solution-groups/af52afd0-e405-46d2-9372-3686a3b37f41/3107?version=3", "Определение уровня грунтовых вод")</f>
        <v>Определение уровня грунтовых вод</v>
      </c>
      <c r="C162" s="353" t="s">
        <v>3166</v>
      </c>
      <c r="D162" s="350"/>
      <c r="E162" s="351"/>
    </row>
    <row r="163" spans="1:5" ht="13.2">
      <c r="A163" s="4" t="s">
        <v>331</v>
      </c>
      <c r="B163" s="5" t="str">
        <f>HYPERLINK("https://constructor.brusnika.ru/object-module/principled-decisions/project-solution-groups/af52afd0-e405-46d2-9372-3686a3b37f41/3108?version=2", "Временное водопонижение")</f>
        <v>Временное водопонижение</v>
      </c>
      <c r="C163" s="353" t="s">
        <v>3167</v>
      </c>
      <c r="D163" s="350"/>
      <c r="E163" s="351"/>
    </row>
    <row r="164" spans="1:5" ht="13.2">
      <c r="A164" s="4" t="s">
        <v>334</v>
      </c>
      <c r="B164" s="5" t="str">
        <f>HYPERLINK("https://constructor.brusnika.ru/object-module/principled-decisions/project-solution-groups/af52afd0-e405-46d2-9372-3686a3b37f41/3109?version=2", "Дренаж")</f>
        <v>Дренаж</v>
      </c>
      <c r="C164" s="353" t="s">
        <v>3168</v>
      </c>
      <c r="D164" s="350"/>
      <c r="E164" s="351"/>
    </row>
    <row r="165" spans="1:5" ht="13.2">
      <c r="A165" s="4" t="s">
        <v>336</v>
      </c>
      <c r="B165" s="5" t="str">
        <f>HYPERLINK("https://constructor.brusnika.ru/object-module/principled-decisions/project-solution-groups/fc279583-2c82-4ea3-8309-7bad6a747ef3/2813?version=5", "Каркас С28")</f>
        <v>Каркас С28</v>
      </c>
      <c r="C165" s="353" t="s">
        <v>328</v>
      </c>
      <c r="D165" s="350"/>
      <c r="E165" s="351"/>
    </row>
    <row r="166" spans="1:5" ht="13.2">
      <c r="A166" s="4" t="s">
        <v>338</v>
      </c>
      <c r="B166" s="5" t="str">
        <f>HYPERLINK("https://constructor.brusnika.ru/object-module/principled-decisions/project-solution-groups/fc279583-2c82-4ea3-8309-7bad6a747ef3/2836?version=2", "Каркас С50")</f>
        <v>Каркас С50</v>
      </c>
      <c r="C166" s="353" t="s">
        <v>330</v>
      </c>
      <c r="D166" s="350"/>
      <c r="E166" s="351"/>
    </row>
    <row r="167" spans="1:5" ht="13.2">
      <c r="A167" s="4" t="s">
        <v>340</v>
      </c>
      <c r="B167" s="5" t="str">
        <f>HYPERLINK("https://constructor.brusnika.ru/object-module/principled-decisions/project-solution-groups/fc279583-2c82-4ea3-8309-7bad6a747ef3/2918?version=1", "Каркас Б75")</f>
        <v>Каркас Б75</v>
      </c>
      <c r="C167" s="353" t="s">
        <v>3169</v>
      </c>
      <c r="D167" s="350"/>
      <c r="E167" s="351"/>
    </row>
    <row r="168" spans="1:5" ht="367.2">
      <c r="A168" s="4" t="s">
        <v>342</v>
      </c>
      <c r="B168" s="6" t="s">
        <v>332</v>
      </c>
      <c r="C168" s="353" t="s">
        <v>333</v>
      </c>
      <c r="D168" s="350"/>
      <c r="E168" s="351"/>
    </row>
    <row r="169" spans="1:5" ht="13.2">
      <c r="A169" s="4" t="s">
        <v>344</v>
      </c>
      <c r="B169" s="5" t="str">
        <f>HYPERLINK("https://constructor.brusnika.ru/object-module/principled-decisions/project-solution-groups/348541a8-ebd2-4331-9d07-227cb853ef87/3110?version=1", "Общее армирование")</f>
        <v>Общее армирование</v>
      </c>
      <c r="C169" s="353" t="s">
        <v>3170</v>
      </c>
      <c r="D169" s="350"/>
      <c r="E169" s="351"/>
    </row>
    <row r="170" spans="1:5" ht="20.399999999999999">
      <c r="A170" s="4" t="s">
        <v>346</v>
      </c>
      <c r="B170" s="5" t="str">
        <f>HYPERLINK("https://constructor.brusnika.ru/object-module/principled-decisions/project-solution-groups/05376e13-212c-4ffb-94a5-d7c68f665d24/3111?version=1", "Паспорт нагрузок объекта строительства")</f>
        <v>Паспорт нагрузок объекта строительства</v>
      </c>
      <c r="C170" s="353" t="s">
        <v>3171</v>
      </c>
      <c r="D170" s="350"/>
      <c r="E170" s="351"/>
    </row>
    <row r="171" spans="1:5" ht="13.2">
      <c r="A171" s="4" t="s">
        <v>348</v>
      </c>
      <c r="B171" s="5" t="str">
        <f>HYPERLINK("https://constructor.brusnika.ru/object-module/principled-decisions/project-solution-groups/05376e13-212c-4ffb-94a5-d7c68f665d24/3112?version=1", "Приложение нагрузок")</f>
        <v>Приложение нагрузок</v>
      </c>
      <c r="C171" s="353" t="s">
        <v>3172</v>
      </c>
      <c r="D171" s="350"/>
      <c r="E171" s="351"/>
    </row>
    <row r="172" spans="1:5" ht="13.2">
      <c r="A172" s="4" t="s">
        <v>350</v>
      </c>
      <c r="B172" s="5" t="str">
        <f>HYPERLINK("https://constructor.brusnika.ru/object-module/principled-decisions/project-solution-groups/cd25c060-e3ad-4832-a54f-69d44aac9f84/3113?version=2", "Стены ЛЛУ монолитные")</f>
        <v>Стены ЛЛУ монолитные</v>
      </c>
      <c r="C172" s="356" t="s">
        <v>3173</v>
      </c>
      <c r="D172" s="350"/>
      <c r="E172" s="351"/>
    </row>
    <row r="173" spans="1:5" ht="13.2">
      <c r="A173" s="4" t="s">
        <v>352</v>
      </c>
      <c r="B173" s="5" t="str">
        <f>HYPERLINK("https://constructor.brusnika.ru/object-module/principled-decisions/project-solution-groups/cd25c060-e3ad-4832-a54f-69d44aac9f84/3115?version=1", "Стены монолитные")</f>
        <v>Стены монолитные</v>
      </c>
      <c r="C173" s="353" t="s">
        <v>337</v>
      </c>
      <c r="D173" s="350"/>
      <c r="E173" s="351"/>
    </row>
    <row r="174" spans="1:5" ht="13.2">
      <c r="A174" s="4" t="s">
        <v>354</v>
      </c>
      <c r="B174" s="5" t="str">
        <f>HYPERLINK("https://constructor.brusnika.ru/object-module/principled-decisions/project-solution-groups/cd25c060-e3ad-4832-a54f-69d44aac9f84/3116?version=1", "Парапет монолитный")</f>
        <v>Парапет монолитный</v>
      </c>
      <c r="C174" s="353" t="s">
        <v>339</v>
      </c>
      <c r="D174" s="350"/>
      <c r="E174" s="351"/>
    </row>
    <row r="175" spans="1:5" ht="13.2">
      <c r="A175" s="4" t="s">
        <v>356</v>
      </c>
      <c r="B175" s="5" t="str">
        <f>HYPERLINK("https://constructor.brusnika.ru/object-module/principled-decisions/project-solution-groups/cd25c060-e3ad-4832-a54f-69d44aac9f84/3117?version=1", "Борт монолитный")</f>
        <v>Борт монолитный</v>
      </c>
      <c r="C175" s="353" t="s">
        <v>341</v>
      </c>
      <c r="D175" s="350"/>
      <c r="E175" s="351"/>
    </row>
    <row r="176" spans="1:5" ht="13.2">
      <c r="A176" s="4" t="s">
        <v>358</v>
      </c>
      <c r="B176" s="5" t="str">
        <f>HYPERLINK("https://constructor.brusnika.ru/object-module/principled-decisions/project-solution-groups/1189d0c9-4a08-4540-9bd9-ae4420e9bd80/3119?version=1", "Фундаменты")</f>
        <v>Фундаменты</v>
      </c>
      <c r="C176" s="353" t="s">
        <v>343</v>
      </c>
      <c r="D176" s="350"/>
      <c r="E176" s="351"/>
    </row>
    <row r="177" spans="1:5" ht="20.399999999999999">
      <c r="A177" s="4" t="s">
        <v>3174</v>
      </c>
      <c r="B177" s="5" t="str">
        <f>HYPERLINK("https://constructor.brusnika.ru/object-module/principled-decisions/project-solution-groups/1189d0c9-4a08-4540-9bd9-ae4420e9bd80/3120?version=2", "Фундаменты под малые архитектурные формы")</f>
        <v>Фундаменты под малые архитектурные формы</v>
      </c>
      <c r="C177" s="356" t="s">
        <v>3175</v>
      </c>
      <c r="D177" s="350"/>
      <c r="E177" s="351"/>
    </row>
    <row r="178" spans="1:5" ht="13.2">
      <c r="A178" s="4" t="s">
        <v>3176</v>
      </c>
      <c r="B178" s="5" t="str">
        <f>HYPERLINK("https://constructor.brusnika.ru/object-module/principled-decisions/project-solution-groups/1189d0c9-4a08-4540-9bd9-ae4420e9bd80/3122?version=2", "Гидроизоляция")</f>
        <v>Гидроизоляция</v>
      </c>
      <c r="C178" s="356" t="s">
        <v>3177</v>
      </c>
      <c r="D178" s="350"/>
      <c r="E178" s="351"/>
    </row>
    <row r="179" spans="1:5" ht="13.2">
      <c r="A179" s="4" t="s">
        <v>3178</v>
      </c>
      <c r="B179" s="5" t="str">
        <f>HYPERLINK("https://constructor.brusnika.ru/object-module/principled-decisions/project-solution-groups/1189d0c9-4a08-4540-9bd9-ae4420e9bd80/3123?version=1", "Подготовка под фундамент")</f>
        <v>Подготовка под фундамент</v>
      </c>
      <c r="C179" s="353" t="s">
        <v>3179</v>
      </c>
      <c r="D179" s="350"/>
      <c r="E179" s="351"/>
    </row>
    <row r="180" spans="1:5" ht="20.399999999999999">
      <c r="A180" s="4" t="s">
        <v>3180</v>
      </c>
      <c r="B180" s="5" t="str">
        <f>HYPERLINK("https://constructor.brusnika.ru/object-module/principled-decisions/project-solution-groups/1189d0c9-4a08-4540-9bd9-ae4420e9bd80/3124?version=2", "Монолитные плиты перекрытия, покрытия")</f>
        <v>Монолитные плиты перекрытия, покрытия</v>
      </c>
      <c r="C180" s="356" t="s">
        <v>3181</v>
      </c>
      <c r="D180" s="350"/>
      <c r="E180" s="351"/>
    </row>
    <row r="181" spans="1:5" ht="13.2">
      <c r="A181" s="4" t="s">
        <v>3182</v>
      </c>
      <c r="B181" s="5" t="str">
        <f>HYPERLINK("https://constructor.brusnika.ru/object-module/principled-decisions/project-solution-groups/1189d0c9-4a08-4540-9bd9-ae4420e9bd80/3125?version=1", "Монолитные балки")</f>
        <v>Монолитные балки</v>
      </c>
      <c r="C181" s="353" t="s">
        <v>349</v>
      </c>
      <c r="D181" s="350"/>
      <c r="E181" s="351"/>
    </row>
    <row r="182" spans="1:5" ht="13.2">
      <c r="A182" s="4" t="s">
        <v>3183</v>
      </c>
      <c r="B182" s="5" t="str">
        <f>HYPERLINK("https://constructor.brusnika.ru/object-module/principled-decisions/project-solution-groups/cd25c060-e3ad-4832-a54f-69d44aac9f84/3126?version=1", "Сваи для секции С28")</f>
        <v>Сваи для секции С28</v>
      </c>
      <c r="C182" s="353" t="s">
        <v>3184</v>
      </c>
      <c r="D182" s="350"/>
      <c r="E182" s="351"/>
    </row>
    <row r="183" spans="1:5" ht="13.2">
      <c r="A183" s="4" t="s">
        <v>3185</v>
      </c>
      <c r="B183" s="5" t="str">
        <f>HYPERLINK("https://constructor.brusnika.ru/object-module/principled-decisions/project-solution-groups/cd25c060-e3ad-4832-a54f-69d44aac9f84/3129?version=1", "Сваи для секции С50")</f>
        <v>Сваи для секции С50</v>
      </c>
      <c r="C183" s="353" t="s">
        <v>3186</v>
      </c>
      <c r="D183" s="350"/>
      <c r="E183" s="351"/>
    </row>
    <row r="184" spans="1:5" ht="13.2">
      <c r="A184" s="4" t="s">
        <v>3187</v>
      </c>
      <c r="B184" s="5" t="str">
        <f>HYPERLINK("https://constructor.brusnika.ru/object-module/principled-decisions/project-solution-groups/cd25c060-e3ad-4832-a54f-69d44aac9f84/3131?version=1", "Монолитные пилоны")</f>
        <v>Монолитные пилоны</v>
      </c>
      <c r="C184" s="353" t="s">
        <v>351</v>
      </c>
      <c r="D184" s="350"/>
      <c r="E184" s="351"/>
    </row>
    <row r="185" spans="1:5" ht="13.2">
      <c r="A185" s="4" t="s">
        <v>3188</v>
      </c>
      <c r="B185" s="5" t="str">
        <f>HYPERLINK("https://constructor.brusnika.ru/object-module/principled-decisions/project-solution-groups/7064250c-88c9-4b2e-9027-f2fa4adc5c73/3132?version=1", "Дренажные приямки")</f>
        <v>Дренажные приямки</v>
      </c>
      <c r="C185" s="353" t="s">
        <v>3189</v>
      </c>
      <c r="D185" s="350"/>
      <c r="E185" s="351"/>
    </row>
    <row r="186" spans="1:5" ht="13.2">
      <c r="A186" s="4" t="s">
        <v>3190</v>
      </c>
      <c r="B186" s="5" t="str">
        <f>HYPERLINK("https://constructor.brusnika.ru/object-module/principled-decisions/project-solution-groups/d7c8b307-54bd-4941-80e9-3e2e8db42869/3134?version=2", "Деформационный шов жилой части")</f>
        <v>Деформационный шов жилой части</v>
      </c>
      <c r="C186" s="356" t="s">
        <v>3191</v>
      </c>
      <c r="D186" s="350"/>
      <c r="E186" s="351"/>
    </row>
    <row r="187" spans="1:5" ht="13.2">
      <c r="A187" s="4" t="s">
        <v>3192</v>
      </c>
      <c r="B187" s="5" t="str">
        <f>HYPERLINK("https://constructor.brusnika.ru/object-module/principled-decisions/project-solution-groups/d7c8b307-54bd-4941-80e9-3e2e8db42869/3135?version=3", "Деформационный шов паркинга")</f>
        <v>Деформационный шов паркинга</v>
      </c>
      <c r="C187" s="356" t="s">
        <v>3193</v>
      </c>
      <c r="D187" s="350"/>
      <c r="E187" s="351"/>
    </row>
    <row r="188" spans="1:5" ht="20.399999999999999">
      <c r="A188" s="4" t="s">
        <v>3194</v>
      </c>
      <c r="B188" s="5" t="str">
        <f>HYPERLINK("https://constructor.brusnika.ru/object-module/principled-decisions/project-solution-groups/d7c8b307-54bd-4941-80e9-3e2e8db42869/3136?version=1", "Деформационный шов между жилой частью и паркингом")</f>
        <v>Деформационный шов между жилой частью и паркингом</v>
      </c>
      <c r="C188" s="353" t="s">
        <v>3195</v>
      </c>
      <c r="D188" s="350"/>
      <c r="E188" s="351"/>
    </row>
    <row r="189" spans="1:5" ht="13.2">
      <c r="A189" s="4" t="s">
        <v>3196</v>
      </c>
      <c r="B189" s="5" t="str">
        <f>HYPERLINK("https://constructor.brusnika.ru/object-module/principled-decisions/project-solution-groups/bf3ca84e-e84b-4b98-add4-6b54864b9726/3137?version=1", "Гидроизоляция фундамента")</f>
        <v>Гидроизоляция фундамента</v>
      </c>
      <c r="C189" s="353" t="s">
        <v>3197</v>
      </c>
      <c r="D189" s="350"/>
      <c r="E189" s="351"/>
    </row>
    <row r="190" spans="1:5" ht="20.399999999999999">
      <c r="A190" s="4" t="s">
        <v>3198</v>
      </c>
      <c r="B190" s="5" t="str">
        <f>HYPERLINK("https://constructor.brusnika.ru/object-module/principled-decisions/project-solution-groups/bf3ca84e-e84b-4b98-add4-6b54864b9726/3138?version=1", "Гидроизоляция и теплоизоляция стен подземной части
")</f>
        <v xml:space="preserve">Гидроизоляция и теплоизоляция стен подземной части
</v>
      </c>
      <c r="C190" s="353" t="s">
        <v>3199</v>
      </c>
      <c r="D190" s="350"/>
      <c r="E190" s="351"/>
    </row>
    <row r="191" spans="1:5" ht="20.399999999999999">
      <c r="A191" s="4" t="s">
        <v>3200</v>
      </c>
      <c r="B191" s="5" t="str">
        <f>HYPERLINK("https://constructor.brusnika.ru/object-module/principled-decisions/project-solution-groups/fc279583-2c82-4ea3-8309-7bad6a747ef3/3748?version=1", "Излом (перепад) плит первого этажа")</f>
        <v>Излом (перепад) плит первого этажа</v>
      </c>
      <c r="C191" s="356" t="s">
        <v>3201</v>
      </c>
      <c r="D191" s="350"/>
      <c r="E191" s="351"/>
    </row>
    <row r="192" spans="1:5" ht="13.2">
      <c r="A192" s="354" t="s">
        <v>360</v>
      </c>
      <c r="B192" s="350"/>
      <c r="C192" s="350"/>
      <c r="D192" s="350"/>
      <c r="E192" s="351"/>
    </row>
    <row r="193" spans="1:5" ht="13.2">
      <c r="A193" s="216" t="s">
        <v>361</v>
      </c>
      <c r="B193" s="5" t="str">
        <f>HYPERLINK("https://constructor.brusnika.ru/object-module/principled-decisions/project-solution-groups/ab0bee3a-32f1-4f60-978d-386e9ae9d051/3144?version=1", "Каркас ЛЛУ нижнего этажа С28")</f>
        <v>Каркас ЛЛУ нижнего этажа С28</v>
      </c>
      <c r="C193" s="353" t="s">
        <v>364</v>
      </c>
      <c r="D193" s="350"/>
      <c r="E193" s="351"/>
    </row>
    <row r="194" spans="1:5" ht="13.2">
      <c r="A194" s="216" t="s">
        <v>363</v>
      </c>
      <c r="B194" s="5" t="str">
        <f>HYPERLINK("https://constructor.brusnika.ru/object-module/principled-decisions/project-solution-groups/ab0bee3a-32f1-4f60-978d-386e9ae9d051/3148?version=1", "Каркас ЛЛУ нижнего этажа C50")</f>
        <v>Каркас ЛЛУ нижнего этажа C50</v>
      </c>
      <c r="C194" s="353" t="s">
        <v>368</v>
      </c>
      <c r="D194" s="350"/>
      <c r="E194" s="351"/>
    </row>
    <row r="195" spans="1:5" ht="13.2">
      <c r="A195" s="216" t="s">
        <v>365</v>
      </c>
      <c r="B195" s="5" t="str">
        <f>HYPERLINK("https://constructor.brusnika.ru/object-module/principled-decisions/project-solution-groups/8cada7e9-2aa4-4116-ac4b-347c487bb9fa/3160?version=1", "Каркас первого этажа С28 класс В")</f>
        <v>Каркас первого этажа С28 класс В</v>
      </c>
      <c r="C195" s="353" t="s">
        <v>3202</v>
      </c>
      <c r="D195" s="350"/>
      <c r="E195" s="351"/>
    </row>
    <row r="196" spans="1:5" ht="13.2">
      <c r="A196" s="216" t="s">
        <v>367</v>
      </c>
      <c r="B196" s="5" t="str">
        <f>HYPERLINK("https://constructor.brusnika.ru/object-module/principled-decisions/project-solution-groups/8cada7e9-2aa4-4116-ac4b-347c487bb9fa/3162?version=1", "Каркас ЛЛУ первого этажа С28")</f>
        <v>Каркас ЛЛУ первого этажа С28</v>
      </c>
      <c r="C196" s="353" t="s">
        <v>372</v>
      </c>
      <c r="D196" s="350"/>
      <c r="E196" s="351"/>
    </row>
    <row r="197" spans="1:5" ht="13.2">
      <c r="A197" s="216" t="s">
        <v>369</v>
      </c>
      <c r="B197" s="5" t="str">
        <f>HYPERLINK("https://constructor.brusnika.ru/object-module/principled-decisions/project-solution-groups/8cada7e9-2aa4-4116-ac4b-347c487bb9fa/3164?version=1", "Каркас первого этажа C50 класс В")</f>
        <v>Каркас первого этажа C50 класс В</v>
      </c>
      <c r="C197" s="353" t="s">
        <v>3203</v>
      </c>
      <c r="D197" s="350"/>
      <c r="E197" s="351"/>
    </row>
    <row r="198" spans="1:5" ht="13.2">
      <c r="A198" s="216" t="s">
        <v>371</v>
      </c>
      <c r="B198" s="5" t="str">
        <f>HYPERLINK("https://constructor.brusnika.ru/object-module/principled-decisions/project-solution-groups/8cada7e9-2aa4-4116-ac4b-347c487bb9fa/3167?version=1", "Каркас ЛЛУ первого этажа C50")</f>
        <v>Каркас ЛЛУ первого этажа C50</v>
      </c>
      <c r="C198" s="353" t="s">
        <v>376</v>
      </c>
      <c r="D198" s="350"/>
      <c r="E198" s="351"/>
    </row>
    <row r="199" spans="1:5" ht="13.2">
      <c r="A199" s="216" t="s">
        <v>373</v>
      </c>
      <c r="B199" s="5" t="str">
        <f>HYPERLINK("https://constructor.brusnika.ru/object-module/principled-decisions/project-solution-groups/647539b7-5f35-454a-be74-5d1f9240ff39/3185?version=1", "Каркас типового этажа С28 класс В")</f>
        <v>Каркас типового этажа С28 класс В</v>
      </c>
      <c r="C199" s="353" t="s">
        <v>3204</v>
      </c>
      <c r="D199" s="350"/>
      <c r="E199" s="351"/>
    </row>
    <row r="200" spans="1:5" ht="13.2">
      <c r="A200" s="216" t="s">
        <v>375</v>
      </c>
      <c r="B200" s="5" t="str">
        <f>HYPERLINK("https://constructor.brusnika.ru/object-module/principled-decisions/project-solution-groups/647539b7-5f35-454a-be74-5d1f9240ff39/3187?version=1", "Каркас ЛЛУ типового этажа С28")</f>
        <v>Каркас ЛЛУ типового этажа С28</v>
      </c>
      <c r="C200" s="353" t="s">
        <v>380</v>
      </c>
      <c r="D200" s="350"/>
      <c r="E200" s="351"/>
    </row>
    <row r="201" spans="1:5" ht="13.2">
      <c r="A201" s="216" t="s">
        <v>377</v>
      </c>
      <c r="B201" s="5" t="str">
        <f>HYPERLINK("https://constructor.brusnika.ru/object-module/principled-decisions/project-solution-groups/647539b7-5f35-454a-be74-5d1f9240ff39/3189?version=1", "Каркас типового этажа C50 класс В")</f>
        <v>Каркас типового этажа C50 класс В</v>
      </c>
      <c r="C201" s="353" t="s">
        <v>3205</v>
      </c>
      <c r="D201" s="350"/>
      <c r="E201" s="351"/>
    </row>
    <row r="202" spans="1:5" ht="13.2">
      <c r="A202" s="216" t="s">
        <v>379</v>
      </c>
      <c r="B202" s="5" t="str">
        <f>HYPERLINK("https://constructor.brusnika.ru/object-module/principled-decisions/project-solution-groups/647539b7-5f35-454a-be74-5d1f9240ff39/3193?version=1", "Каркас ЛЛУ типового этажа C50")</f>
        <v>Каркас ЛЛУ типового этажа C50</v>
      </c>
      <c r="C202" s="353" t="s">
        <v>384</v>
      </c>
      <c r="D202" s="350"/>
      <c r="E202" s="351"/>
    </row>
    <row r="203" spans="1:5" ht="13.2">
      <c r="A203" s="216" t="s">
        <v>381</v>
      </c>
      <c r="B203" s="5" t="str">
        <f>HYPERLINK("https://constructor.brusnika.ru/object-module/principled-decisions/project-solution-groups/647539b7-5f35-454a-be74-5d1f9240ff39/3204?version=2", "Каркас типового этажа Б75 класс В")</f>
        <v>Каркас типового этажа Б75 класс В</v>
      </c>
      <c r="C203" s="356" t="s">
        <v>3206</v>
      </c>
      <c r="D203" s="350"/>
      <c r="E203" s="351"/>
    </row>
    <row r="204" spans="1:5" ht="20.399999999999999">
      <c r="A204" s="216" t="s">
        <v>383</v>
      </c>
      <c r="B204" s="5" t="str">
        <f>HYPERLINK("https://constructor.brusnika.ru/object-module/principled-decisions/project-solution-groups/4d1e0264-7a18-49ba-9a7e-0542ce6cfd24/3210?version=2", "Каркас особенного этажа С28 класс В")</f>
        <v>Каркас особенного этажа С28 класс В</v>
      </c>
      <c r="C204" s="356" t="s">
        <v>3207</v>
      </c>
      <c r="D204" s="350"/>
      <c r="E204" s="351"/>
    </row>
    <row r="205" spans="1:5" ht="13.2">
      <c r="A205" s="216" t="s">
        <v>385</v>
      </c>
      <c r="B205" s="5" t="str">
        <f>HYPERLINK("https://constructor.brusnika.ru/object-module/principled-decisions/project-solution-groups/4d1e0264-7a18-49ba-9a7e-0542ce6cfd24/3212?version=1", "Каркас ЛЛУ особенного этажа С28")</f>
        <v>Каркас ЛЛУ особенного этажа С28</v>
      </c>
      <c r="C205" s="353" t="s">
        <v>388</v>
      </c>
      <c r="D205" s="350"/>
      <c r="E205" s="351"/>
    </row>
    <row r="206" spans="1:5" ht="20.399999999999999">
      <c r="A206" s="216" t="s">
        <v>387</v>
      </c>
      <c r="B206" s="5" t="str">
        <f>HYPERLINK("https://constructor.brusnika.ru/object-module/principled-decisions/project-solution-groups/4d1e0264-7a18-49ba-9a7e-0542ce6cfd24/3215?version=1", "Каркас особенного этажа C50 класс В")</f>
        <v>Каркас особенного этажа C50 класс В</v>
      </c>
      <c r="C206" s="353" t="s">
        <v>3208</v>
      </c>
      <c r="D206" s="350"/>
      <c r="E206" s="351"/>
    </row>
    <row r="207" spans="1:5" ht="13.2">
      <c r="A207" s="216" t="s">
        <v>389</v>
      </c>
      <c r="B207" s="5" t="str">
        <f>HYPERLINK("https://constructor.brusnika.ru/object-module/principled-decisions/project-solution-groups/4d1e0264-7a18-49ba-9a7e-0542ce6cfd24/3217?version=1", "Каркас ЛЛУ особенного этажа C50")</f>
        <v>Каркас ЛЛУ особенного этажа C50</v>
      </c>
      <c r="C207" s="353" t="s">
        <v>392</v>
      </c>
      <c r="D207" s="350"/>
      <c r="E207" s="351"/>
    </row>
    <row r="208" spans="1:5" ht="20.399999999999999">
      <c r="A208" s="216" t="s">
        <v>391</v>
      </c>
      <c r="B208" s="5" t="str">
        <f>HYPERLINK("https://constructor.brusnika.ru/object-module/principled-decisions/project-solution-groups/a547441b-24a1-40d4-b21e-1a0baa2f19c0/3233?version=1", "Каркас верхнего этажа С28 класс В")</f>
        <v>Каркас верхнего этажа С28 класс В</v>
      </c>
      <c r="C208" s="353" t="s">
        <v>394</v>
      </c>
      <c r="D208" s="350"/>
      <c r="E208" s="351"/>
    </row>
    <row r="209" spans="1:5" ht="20.399999999999999">
      <c r="A209" s="216" t="s">
        <v>393</v>
      </c>
      <c r="B209" s="5" t="str">
        <f>HYPERLINK("https://constructor.brusnika.ru/object-module/principled-decisions/project-solution-groups/a547441b-24a1-40d4-b21e-1a0baa2f19c0/3236?version=1", "Каркас надстроек верхнего этажа С28 класс В")</f>
        <v>Каркас надстроек верхнего этажа С28 класс В</v>
      </c>
      <c r="C209" s="353" t="s">
        <v>396</v>
      </c>
      <c r="D209" s="350"/>
      <c r="E209" s="351"/>
    </row>
    <row r="210" spans="1:5" ht="13.2">
      <c r="A210" s="216" t="s">
        <v>395</v>
      </c>
      <c r="B210" s="5" t="str">
        <f>HYPERLINK("https://constructor.brusnika.ru/object-module/principled-decisions/project-solution-groups/a547441b-24a1-40d4-b21e-1a0baa2f19c0/3239?version=1", "Каркас ЛЛУ верхнего этажа С28")</f>
        <v>Каркас ЛЛУ верхнего этажа С28</v>
      </c>
      <c r="C210" s="353" t="s">
        <v>398</v>
      </c>
      <c r="D210" s="350"/>
      <c r="E210" s="351"/>
    </row>
    <row r="211" spans="1:5" ht="20.399999999999999">
      <c r="A211" s="216" t="s">
        <v>397</v>
      </c>
      <c r="B211" s="5" t="str">
        <f>HYPERLINK("https://constructor.brusnika.ru/object-module/principled-decisions/project-solution-groups/a547441b-24a1-40d4-b21e-1a0baa2f19c0/3241?version=2", "Каркас верхнего этажа C50 класс В")</f>
        <v>Каркас верхнего этажа C50 класс В</v>
      </c>
      <c r="C211" s="356" t="s">
        <v>3209</v>
      </c>
      <c r="D211" s="350"/>
      <c r="E211" s="351"/>
    </row>
    <row r="212" spans="1:5" ht="20.399999999999999">
      <c r="A212" s="216" t="s">
        <v>399</v>
      </c>
      <c r="B212" s="5" t="str">
        <f>HYPERLINK("https://constructor.brusnika.ru/object-module/principled-decisions/project-solution-groups/a547441b-24a1-40d4-b21e-1a0baa2f19c0/3244?version=1", "Каркас надстроек верхнего этажа C50 класс В")</f>
        <v>Каркас надстроек верхнего этажа C50 класс В</v>
      </c>
      <c r="C212" s="353" t="s">
        <v>404</v>
      </c>
      <c r="D212" s="350"/>
      <c r="E212" s="351"/>
    </row>
    <row r="213" spans="1:5" ht="13.2">
      <c r="A213" s="216" t="s">
        <v>401</v>
      </c>
      <c r="B213" s="5" t="str">
        <f>HYPERLINK("https://constructor.brusnika.ru/object-module/principled-decisions/project-solution-groups/a547441b-24a1-40d4-b21e-1a0baa2f19c0/3247?version=1", "Каркас ЛЛУ верхнего этажа C50")</f>
        <v>Каркас ЛЛУ верхнего этажа C50</v>
      </c>
      <c r="C213" s="353" t="s">
        <v>402</v>
      </c>
      <c r="D213" s="350"/>
      <c r="E213" s="351"/>
    </row>
    <row r="214" spans="1:5" ht="13.2">
      <c r="A214" s="216" t="s">
        <v>403</v>
      </c>
      <c r="B214" s="8" t="s">
        <v>409</v>
      </c>
      <c r="C214" s="353" t="s">
        <v>3210</v>
      </c>
      <c r="D214" s="350"/>
      <c r="E214" s="351"/>
    </row>
    <row r="215" spans="1:5" ht="13.2">
      <c r="A215" s="216" t="s">
        <v>405</v>
      </c>
      <c r="B215" s="8" t="s">
        <v>3211</v>
      </c>
      <c r="C215" s="353" t="s">
        <v>3212</v>
      </c>
      <c r="D215" s="350"/>
      <c r="E215" s="351"/>
    </row>
    <row r="216" spans="1:5" ht="13.2">
      <c r="A216" s="216" t="s">
        <v>408</v>
      </c>
      <c r="B216" s="5" t="str">
        <f>HYPERLINK("https://constructor.brusnika.ru/object-module/principled-decisions/project-solution-groups/60ee4b17-7d7f-47df-95fa-d3e39635fd0b/3285?version=1", "Монолитные марши нижнего этажа")</f>
        <v>Монолитные марши нижнего этажа</v>
      </c>
      <c r="C216" s="353" t="s">
        <v>415</v>
      </c>
      <c r="D216" s="350"/>
      <c r="E216" s="351"/>
    </row>
    <row r="217" spans="1:5" ht="20.399999999999999">
      <c r="A217" s="216" t="s">
        <v>411</v>
      </c>
      <c r="B217" s="5" t="str">
        <f>HYPERLINK("https://constructor.brusnika.ru/object-module/principled-decisions/project-solution-groups/60ee4b17-7d7f-47df-95fa-d3e39635fd0b/3286?version=1", "Префаб марши и площадки нижнего этажа")</f>
        <v>Префаб марши и площадки нижнего этажа</v>
      </c>
      <c r="C217" s="353" t="s">
        <v>417</v>
      </c>
      <c r="D217" s="350"/>
      <c r="E217" s="351"/>
    </row>
    <row r="218" spans="1:5" ht="13.2">
      <c r="A218" s="216" t="s">
        <v>414</v>
      </c>
      <c r="B218" s="5" t="str">
        <f>HYPERLINK("https://constructor.brusnika.ru/object-module/principled-decisions/project-solution-groups/60ee4b17-7d7f-47df-95fa-d3e39635fd0b/3288?version=1", "Монолитные марши первого этажа")</f>
        <v>Монолитные марши первого этажа</v>
      </c>
      <c r="C218" s="353" t="s">
        <v>419</v>
      </c>
      <c r="D218" s="350"/>
      <c r="E218" s="351"/>
    </row>
    <row r="219" spans="1:5" ht="20.399999999999999">
      <c r="A219" s="216" t="s">
        <v>416</v>
      </c>
      <c r="B219" s="5" t="str">
        <f>HYPERLINK("https://constructor.brusnika.ru/object-module/principled-decisions/project-solution-groups/60ee4b17-7d7f-47df-95fa-d3e39635fd0b/3289?version=1", "Префаб марши и площадки первого этажа")</f>
        <v>Префаб марши и площадки первого этажа</v>
      </c>
      <c r="C219" s="353" t="s">
        <v>421</v>
      </c>
      <c r="D219" s="350"/>
      <c r="E219" s="351"/>
    </row>
    <row r="220" spans="1:5" ht="13.2">
      <c r="A220" s="216" t="s">
        <v>418</v>
      </c>
      <c r="B220" s="5" t="str">
        <f>HYPERLINK("https://constructor.brusnika.ru/object-module/principled-decisions/project-solution-groups/60ee4b17-7d7f-47df-95fa-d3e39635fd0b/3290?version=1", "Монолитные марши типового этажа")</f>
        <v>Монолитные марши типового этажа</v>
      </c>
      <c r="C220" s="353" t="s">
        <v>423</v>
      </c>
      <c r="D220" s="350"/>
      <c r="E220" s="351"/>
    </row>
    <row r="221" spans="1:5" ht="20.399999999999999">
      <c r="A221" s="216" t="s">
        <v>420</v>
      </c>
      <c r="B221" s="5" t="str">
        <f>HYPERLINK("https://constructor.brusnika.ru/object-module/principled-decisions/project-solution-groups/60ee4b17-7d7f-47df-95fa-d3e39635fd0b/3291?version=2", "Префаб марши и площадки типового этажа")</f>
        <v>Префаб марши и площадки типового этажа</v>
      </c>
      <c r="C221" s="353" t="s">
        <v>425</v>
      </c>
      <c r="D221" s="350"/>
      <c r="E221" s="351"/>
    </row>
    <row r="222" spans="1:5" ht="20.399999999999999">
      <c r="A222" s="216" t="s">
        <v>422</v>
      </c>
      <c r="B222" s="5" t="str">
        <f>HYPERLINK("https://constructor.brusnika.ru/object-module/principled-decisions/project-solution-groups/60ee4b17-7d7f-47df-95fa-d3e39635fd0b/3293?version=1", "Монолитные марши особенного этажа")</f>
        <v>Монолитные марши особенного этажа</v>
      </c>
      <c r="C222" s="353" t="s">
        <v>427</v>
      </c>
      <c r="D222" s="350"/>
      <c r="E222" s="351"/>
    </row>
    <row r="223" spans="1:5" ht="20.399999999999999">
      <c r="A223" s="216" t="s">
        <v>424</v>
      </c>
      <c r="B223" s="5" t="str">
        <f>HYPERLINK("https://constructor.brusnika.ru/object-module/principled-decisions/project-solution-groups/60ee4b17-7d7f-47df-95fa-d3e39635fd0b/3294?version=1", "Префаб марши и площадки особенного этажа")</f>
        <v>Префаб марши и площадки особенного этажа</v>
      </c>
      <c r="C223" s="353" t="s">
        <v>429</v>
      </c>
      <c r="D223" s="350"/>
      <c r="E223" s="351"/>
    </row>
    <row r="224" spans="1:5" ht="13.2">
      <c r="A224" s="216" t="s">
        <v>426</v>
      </c>
      <c r="B224" s="5" t="str">
        <f>HYPERLINK("https://constructor.brusnika.ru/object-module/principled-decisions/project-solution-groups/76ce6ece-0335-4719-8cce-65edad34fb31/3295?version=1", "Префаб балконы")</f>
        <v>Префаб балконы</v>
      </c>
      <c r="C224" s="353" t="s">
        <v>431</v>
      </c>
      <c r="D224" s="350"/>
      <c r="E224" s="351"/>
    </row>
    <row r="225" spans="1:5" ht="13.2">
      <c r="A225" s="216" t="s">
        <v>428</v>
      </c>
      <c r="B225" s="5" t="str">
        <f>HYPERLINK("https://constructor.brusnika.ru/object-module/principled-decisions/project-solution-groups/3c426a1f-3905-4db0-9954-dcee1650bd76/3297?version=1", "Префаб крышки вентшахт")</f>
        <v>Префаб крышки вентшахт</v>
      </c>
      <c r="C225" s="353" t="s">
        <v>433</v>
      </c>
      <c r="D225" s="350"/>
      <c r="E225" s="351"/>
    </row>
    <row r="226" spans="1:5" ht="20.399999999999999">
      <c r="A226" s="216" t="s">
        <v>430</v>
      </c>
      <c r="B226" s="5" t="str">
        <f>HYPERLINK("https://constructor.brusnika.ru/object-module/principled-decisions/project-solution-groups/c1eb9ab7-2074-4fe8-b24d-b1ee870f92f2/3292?version=1", "Вертикальные несущие конструкции арки")</f>
        <v>Вертикальные несущие конструкции арки</v>
      </c>
      <c r="C226" s="353" t="s">
        <v>437</v>
      </c>
      <c r="D226" s="350"/>
      <c r="E226" s="351"/>
    </row>
    <row r="227" spans="1:5" ht="20.399999999999999">
      <c r="A227" s="216" t="s">
        <v>432</v>
      </c>
      <c r="B227" s="5" t="str">
        <f>HYPERLINK("https://constructor.brusnika.ru/object-module/principled-decisions/project-solution-groups/c1eb9ab7-2074-4fe8-b24d-b1ee870f92f2/3298?version=1", "Горизонтальные несущие конструкции арки")</f>
        <v>Горизонтальные несущие конструкции арки</v>
      </c>
      <c r="C227" s="353" t="s">
        <v>439</v>
      </c>
      <c r="D227" s="350"/>
      <c r="E227" s="351"/>
    </row>
    <row r="228" spans="1:5" ht="20.399999999999999">
      <c r="A228" s="216" t="s">
        <v>434</v>
      </c>
      <c r="B228" s="5" t="str">
        <f>HYPERLINK("https://constructor.brusnika.ru/object-module/principled-decisions/project-solution-groups/5ed65795-e3b8-4b7a-bbb8-e24714e46c4b/3299?version=1", "Вертикальные несущие конструкции рампы")</f>
        <v>Вертикальные несущие конструкции рампы</v>
      </c>
      <c r="C228" s="353" t="s">
        <v>441</v>
      </c>
      <c r="D228" s="350"/>
      <c r="E228" s="351"/>
    </row>
    <row r="229" spans="1:5" ht="20.399999999999999">
      <c r="A229" s="216" t="s">
        <v>436</v>
      </c>
      <c r="B229" s="5" t="str">
        <f>HYPERLINK("https://constructor.brusnika.ru/object-module/principled-decisions/project-solution-groups/5ed65795-e3b8-4b7a-bbb8-e24714e46c4b/3300?version=1", "Горизонтальные несущие конструкции рампы")</f>
        <v>Горизонтальные несущие конструкции рампы</v>
      </c>
      <c r="C229" s="353" t="s">
        <v>443</v>
      </c>
      <c r="D229" s="350"/>
      <c r="E229" s="351"/>
    </row>
    <row r="230" spans="1:5" ht="13.2">
      <c r="A230" s="216" t="s">
        <v>438</v>
      </c>
      <c r="B230" s="5" t="str">
        <f>HYPERLINK("https://constructor.brusnika.ru/object-module/principled-decisions/project-solution-groups/76ce6ece-0335-4719-8cce-65edad34fb31/3296?version=1", "Монолитные балконы")</f>
        <v>Монолитные балконы</v>
      </c>
      <c r="C230" s="353" t="s">
        <v>435</v>
      </c>
      <c r="D230" s="350"/>
      <c r="E230" s="351"/>
    </row>
    <row r="231" spans="1:5" ht="13.2">
      <c r="A231" s="354" t="s">
        <v>3213</v>
      </c>
      <c r="B231" s="350"/>
      <c r="C231" s="350"/>
      <c r="D231" s="350"/>
      <c r="E231" s="351"/>
    </row>
    <row r="232" spans="1:5" ht="20.399999999999999">
      <c r="A232" s="4" t="s">
        <v>1849</v>
      </c>
      <c r="B232" s="5" t="str">
        <f>HYPERLINK("https://constructor.brusnika.ru/object-module/principled-decisions/project-solution-groups/6a712cf4-c42a-4bb3-8c7e-ea3d471428bc/3301?version=1", "Армирование фундамента отдельными стержнями")</f>
        <v>Армирование фундамента отдельными стержнями</v>
      </c>
      <c r="C232" s="353" t="s">
        <v>3214</v>
      </c>
      <c r="D232" s="350"/>
      <c r="E232" s="351"/>
    </row>
    <row r="233" spans="1:5" ht="20.399999999999999">
      <c r="A233" s="4" t="s">
        <v>1851</v>
      </c>
      <c r="B233" s="5" t="str">
        <f>HYPERLINK("https://constructor.brusnika.ru/object-module/principled-decisions/project-solution-groups/6a712cf4-c42a-4bb3-8c7e-ea3d471428bc/3303?version=1", "Армирование стен отдельными стержнями")</f>
        <v>Армирование стен отдельными стержнями</v>
      </c>
      <c r="C233" s="353" t="s">
        <v>3215</v>
      </c>
      <c r="D233" s="350"/>
      <c r="E233" s="351"/>
    </row>
    <row r="234" spans="1:5" ht="20.399999999999999">
      <c r="A234" s="4" t="s">
        <v>1853</v>
      </c>
      <c r="B234" s="5" t="str">
        <f>HYPERLINK("https://constructor.brusnika.ru/object-module/principled-decisions/project-solution-groups/6a712cf4-c42a-4bb3-8c7e-ea3d471428bc/3304?version=1", "Армирование пилонов отдельными стержнями")</f>
        <v>Армирование пилонов отдельными стержнями</v>
      </c>
      <c r="C234" s="353" t="s">
        <v>3216</v>
      </c>
      <c r="D234" s="350"/>
      <c r="E234" s="351"/>
    </row>
    <row r="235" spans="1:5" ht="20.399999999999999">
      <c r="A235" s="4" t="s">
        <v>3217</v>
      </c>
      <c r="B235" s="5" t="str">
        <f>HYPERLINK("https://constructor.brusnika.ru/object-module/principled-decisions/project-solution-groups/6a712cf4-c42a-4bb3-8c7e-ea3d471428bc/3305?version=1", "Армирование плиты перекрытия отдельными стержнями")</f>
        <v>Армирование плиты перекрытия отдельными стержнями</v>
      </c>
      <c r="C235" s="353" t="s">
        <v>3218</v>
      </c>
      <c r="D235" s="350"/>
      <c r="E235" s="351"/>
    </row>
    <row r="236" spans="1:5" ht="20.399999999999999">
      <c r="A236" s="4" t="s">
        <v>3219</v>
      </c>
      <c r="B236" s="5" t="str">
        <f>HYPERLINK("https://constructor.brusnika.ru/object-module/principled-decisions/project-solution-groups/6a712cf4-c42a-4bb3-8c7e-ea3d471428bc/3306?version=1", "Армирование балок отдельными стержнями")</f>
        <v>Армирование балок отдельными стержнями</v>
      </c>
      <c r="C236" s="353" t="s">
        <v>3220</v>
      </c>
      <c r="D236" s="350"/>
      <c r="E236" s="351"/>
    </row>
    <row r="237" spans="1:5" ht="13.2">
      <c r="A237" s="4" t="s">
        <v>3221</v>
      </c>
      <c r="B237" s="5" t="str">
        <f>HYPERLINK("https://constructor.brusnika.ru/object-module/principled-decisions/project-solution-groups/3bb7adf6-ab9e-459a-bbf0-f3307e1ad1b8/3307?version=1", "Армирование сетками фундамента")</f>
        <v>Армирование сетками фундамента</v>
      </c>
      <c r="C237" s="353" t="s">
        <v>3222</v>
      </c>
      <c r="D237" s="350"/>
      <c r="E237" s="351"/>
    </row>
    <row r="238" spans="1:5" ht="13.2">
      <c r="A238" s="4" t="s">
        <v>3223</v>
      </c>
      <c r="B238" s="5" t="str">
        <f>HYPERLINK("https://constructor.brusnika.ru/object-module/principled-decisions/project-solution-groups/3bb7adf6-ab9e-459a-bbf0-f3307e1ad1b8/3308?version=1", "Арматурные сетки фундамента")</f>
        <v>Арматурные сетки фундамента</v>
      </c>
      <c r="C238" s="353" t="s">
        <v>3224</v>
      </c>
      <c r="D238" s="350"/>
      <c r="E238" s="351"/>
    </row>
    <row r="239" spans="1:5" ht="13.2">
      <c r="A239" s="4" t="s">
        <v>3225</v>
      </c>
      <c r="B239" s="5" t="str">
        <f>HYPERLINK("https://constructor.brusnika.ru/object-module/principled-decisions/project-solution-groups/3bb7adf6-ab9e-459a-bbf0-f3307e1ad1b8/3309?version=1", "Армирование стен ЛЛУ сетками")</f>
        <v>Армирование стен ЛЛУ сетками</v>
      </c>
      <c r="C239" s="353" t="s">
        <v>3226</v>
      </c>
      <c r="D239" s="350"/>
      <c r="E239" s="351"/>
    </row>
    <row r="240" spans="1:5" ht="13.2">
      <c r="A240" s="4" t="s">
        <v>3227</v>
      </c>
      <c r="B240" s="5" t="str">
        <f>HYPERLINK("https://constructor.brusnika.ru/object-module/principled-decisions/project-solution-groups/3bb7adf6-ab9e-459a-bbf0-f3307e1ad1b8/3310?version=1", "Арматурные сетки стен")</f>
        <v>Арматурные сетки стен</v>
      </c>
      <c r="C240" s="353" t="s">
        <v>3228</v>
      </c>
      <c r="D240" s="350"/>
      <c r="E240" s="351"/>
    </row>
    <row r="241" spans="1:5" ht="13.2">
      <c r="A241" s="4" t="s">
        <v>3229</v>
      </c>
      <c r="B241" s="5" t="str">
        <f>HYPERLINK("https://constructor.brusnika.ru/object-module/principled-decisions/project-solution-groups/3bb7adf6-ab9e-459a-bbf0-f3307e1ad1b8/3311?version=1", "Армирование пилонов сетками")</f>
        <v>Армирование пилонов сетками</v>
      </c>
      <c r="C241" s="353" t="s">
        <v>3230</v>
      </c>
      <c r="D241" s="350"/>
      <c r="E241" s="351"/>
    </row>
    <row r="242" spans="1:5" ht="13.2">
      <c r="A242" s="4" t="s">
        <v>3231</v>
      </c>
      <c r="B242" s="5" t="str">
        <f>HYPERLINK("https://constructor.brusnika.ru/object-module/principled-decisions/project-solution-groups/3bb7adf6-ab9e-459a-bbf0-f3307e1ad1b8/3312?version=1", "Арматурные сетки пилонов")</f>
        <v>Арматурные сетки пилонов</v>
      </c>
      <c r="C242" s="353" t="s">
        <v>3232</v>
      </c>
      <c r="D242" s="350"/>
      <c r="E242" s="351"/>
    </row>
    <row r="243" spans="1:5" ht="20.399999999999999">
      <c r="A243" s="4" t="s">
        <v>3233</v>
      </c>
      <c r="B243" s="5" t="str">
        <f>HYPERLINK("https://constructor.brusnika.ru/object-module/principled-decisions/project-solution-groups/3bb7adf6-ab9e-459a-bbf0-f3307e1ad1b8/3313?version=1", "Армирование плиты перекрытия сетками")</f>
        <v>Армирование плиты перекрытия сетками</v>
      </c>
      <c r="C243" s="353" t="s">
        <v>3234</v>
      </c>
      <c r="D243" s="350"/>
      <c r="E243" s="351"/>
    </row>
    <row r="244" spans="1:5" ht="20.399999999999999">
      <c r="A244" s="4" t="s">
        <v>3235</v>
      </c>
      <c r="B244" s="5" t="str">
        <f>HYPERLINK("https://constructor.brusnika.ru/object-module/principled-decisions/project-solution-groups/3bb7adf6-ab9e-459a-bbf0-f3307e1ad1b8/3314?version=1", "Арматурные сетки плиты перекрытия")</f>
        <v>Арматурные сетки плиты перекрытия</v>
      </c>
      <c r="C244" s="353" t="s">
        <v>3236</v>
      </c>
      <c r="D244" s="350"/>
      <c r="E244" s="351"/>
    </row>
    <row r="245" spans="1:5" ht="13.2">
      <c r="A245" s="354" t="s">
        <v>3237</v>
      </c>
      <c r="B245" s="350"/>
      <c r="C245" s="350"/>
      <c r="D245" s="350"/>
      <c r="E245" s="351"/>
    </row>
    <row r="246" spans="1:5" ht="13.2">
      <c r="A246" s="354" t="s">
        <v>3238</v>
      </c>
      <c r="B246" s="350"/>
      <c r="C246" s="350"/>
      <c r="D246" s="350"/>
      <c r="E246" s="351"/>
    </row>
    <row r="247" spans="1:5" ht="20.399999999999999">
      <c r="A247" s="4" t="s">
        <v>1865</v>
      </c>
      <c r="B247" s="5" t="str">
        <f>HYPERLINK("https://constructor.brusnika.ru/object-module/principled-decisions/project-solution-groups/2d3a2bc7-b1b3-436a-bfa9-d4549800df72/3315?version=2", "Общие требования. Электроснабжение")</f>
        <v>Общие требования. Электроснабжение</v>
      </c>
      <c r="C247" s="353" t="s">
        <v>3239</v>
      </c>
      <c r="D247" s="350"/>
      <c r="E247" s="351"/>
    </row>
    <row r="248" spans="1:5" ht="13.2">
      <c r="A248" s="4" t="s">
        <v>1904</v>
      </c>
      <c r="B248" s="5" t="str">
        <f>HYPERLINK("https://constructor.brusnika.ru/object-module/principled-decisions/project-solution-groups/2d3a2bc7-b1b3-436a-bfa9-d4549800df72/3316?version=1", "Внутреннее электроосвещение")</f>
        <v>Внутреннее электроосвещение</v>
      </c>
      <c r="C248" s="353" t="s">
        <v>3240</v>
      </c>
      <c r="D248" s="350"/>
      <c r="E248" s="351"/>
    </row>
    <row r="249" spans="1:5" ht="20.399999999999999">
      <c r="A249" s="4" t="s">
        <v>3241</v>
      </c>
      <c r="B249" s="5" t="str">
        <f>HYPERLINK("https://constructor.brusnika.ru/object-module/principled-decisions/project-solution-groups/2d3a2bc7-b1b3-436a-bfa9-d4549800df72/3318?version=1", "Категории надежности электроснабжения")</f>
        <v>Категории надежности электроснабжения</v>
      </c>
      <c r="C249" s="353" t="s">
        <v>3242</v>
      </c>
      <c r="D249" s="350"/>
      <c r="E249" s="351"/>
    </row>
    <row r="250" spans="1:5" ht="13.2">
      <c r="A250" s="4" t="s">
        <v>3243</v>
      </c>
      <c r="B250" s="5" t="str">
        <f>HYPERLINK("https://constructor.brusnika.ru/object-module/principled-decisions/project-solution-groups/814280ff-5ecd-496b-b7d1-ccbc6feed149/3319?version=1", "Плановые нагрузки")</f>
        <v>Плановые нагрузки</v>
      </c>
      <c r="C250" s="353" t="s">
        <v>3244</v>
      </c>
      <c r="D250" s="350"/>
      <c r="E250" s="351"/>
    </row>
    <row r="251" spans="1:5" ht="20.399999999999999">
      <c r="A251" s="4" t="s">
        <v>3245</v>
      </c>
      <c r="B251" s="5" t="str">
        <f>HYPERLINK("https://constructor.brusnika.ru/object-module/principled-decisions/project-solution-groups/b66addee-aa04-4e54-87ec-1ebe872272d5/3320?version=1", "Питающие и распределительные сети 0,4 кв - кабель")</f>
        <v>Питающие и распределительные сети 0,4 кв - кабель</v>
      </c>
      <c r="C251" s="353" t="s">
        <v>3246</v>
      </c>
      <c r="D251" s="350"/>
      <c r="E251" s="351"/>
    </row>
    <row r="252" spans="1:5" ht="30.6">
      <c r="A252" s="4" t="s">
        <v>3247</v>
      </c>
      <c r="B252" s="5" t="str">
        <f>HYPERLINK("https://constructor.brusnika.ru/object-module/principled-decisions/project-solution-groups/5f82052f-056c-4157-b6d3-c8543aa5de9b/3323?version=1", "Наружное освещение.
Внутридворовое (ландшафтное) освещение.")</f>
        <v>Наружное освещение.
Внутридворовое (ландшафтное) освещение.</v>
      </c>
      <c r="C252" s="353" t="s">
        <v>3248</v>
      </c>
      <c r="D252" s="350"/>
      <c r="E252" s="351"/>
    </row>
    <row r="253" spans="1:5" ht="13.2">
      <c r="A253" s="354" t="s">
        <v>3249</v>
      </c>
      <c r="B253" s="350"/>
      <c r="C253" s="350"/>
      <c r="D253" s="350"/>
      <c r="E253" s="351"/>
    </row>
    <row r="254" spans="1:5" ht="20.399999999999999">
      <c r="A254" s="4" t="s">
        <v>1939</v>
      </c>
      <c r="B254" s="5" t="str">
        <f>HYPERLINK("https://constructor.brusnika.ru/object-module/principled-decisions/project-solution-groups/7fd64562-5a78-4291-90b5-708d3ae3f24c/3324?version=1", "Трубная разводка закладных в каркасе")</f>
        <v>Трубная разводка закладных в каркасе</v>
      </c>
      <c r="C254" s="353" t="s">
        <v>3250</v>
      </c>
      <c r="D254" s="350"/>
      <c r="E254" s="351"/>
    </row>
    <row r="255" spans="1:5" ht="13.2">
      <c r="A255" s="354" t="s">
        <v>3251</v>
      </c>
      <c r="B255" s="350"/>
      <c r="C255" s="350"/>
      <c r="D255" s="350"/>
      <c r="E255" s="351"/>
    </row>
    <row r="256" spans="1:5" ht="20.399999999999999">
      <c r="A256" s="4" t="s">
        <v>1978</v>
      </c>
      <c r="B256" s="5" t="str">
        <f>HYPERLINK("https://constructor.brusnika.ru/object-module/principled-decisions/project-solution-groups/e6ab6f08-a5a4-4c31-8130-158d9dea1af5/3325?version=1", "Cистема электроснабжения Жилая часть")</f>
        <v>Cистема электроснабжения Жилая часть</v>
      </c>
      <c r="C256" s="353" t="s">
        <v>3252</v>
      </c>
      <c r="D256" s="350"/>
      <c r="E256" s="351"/>
    </row>
    <row r="257" spans="1:5" ht="13.2">
      <c r="A257" s="4" t="s">
        <v>1999</v>
      </c>
      <c r="B257" s="5" t="str">
        <f>HYPERLINK("https://constructor.brusnika.ru/object-module/principled-decisions/project-solution-groups/e6ab6f08-a5a4-4c31-8130-158d9dea1af5/3326?version=1", "Cистема электроснабжения МОП")</f>
        <v>Cистема электроснабжения МОП</v>
      </c>
      <c r="C257" s="353" t="s">
        <v>3253</v>
      </c>
      <c r="D257" s="350"/>
      <c r="E257" s="351"/>
    </row>
    <row r="258" spans="1:5" ht="20.399999999999999">
      <c r="A258" s="4" t="s">
        <v>2004</v>
      </c>
      <c r="B258" s="5" t="str">
        <f>HYPERLINK("https://constructor.brusnika.ru/object-module/principled-decisions/project-solution-groups/e6ab6f08-a5a4-4c31-8130-158d9dea1af5/3328?version=1", "Cистема электроснабжения Коммерческие помещения")</f>
        <v>Cистема электроснабжения Коммерческие помещения</v>
      </c>
      <c r="C258" s="353" t="s">
        <v>3254</v>
      </c>
      <c r="D258" s="350"/>
      <c r="E258" s="351"/>
    </row>
    <row r="259" spans="1:5" ht="20.399999999999999">
      <c r="A259" s="4" t="s">
        <v>2016</v>
      </c>
      <c r="B259" s="5" t="str">
        <f>HYPERLINK("https://constructor.brusnika.ru/object-module/principled-decisions/project-solution-groups/e6ab6f08-a5a4-4c31-8130-158d9dea1af5/3330?version=1", "Cистема электроснабжения Технических помещений")</f>
        <v>Cистема электроснабжения Технических помещений</v>
      </c>
      <c r="C259" s="353" t="s">
        <v>3255</v>
      </c>
      <c r="D259" s="350"/>
      <c r="E259" s="351"/>
    </row>
    <row r="260" spans="1:5" ht="20.399999999999999">
      <c r="A260" s="4" t="s">
        <v>2022</v>
      </c>
      <c r="B260" s="6" t="s">
        <v>3256</v>
      </c>
      <c r="C260" s="355" t="s">
        <v>3257</v>
      </c>
      <c r="D260" s="350"/>
      <c r="E260" s="351"/>
    </row>
    <row r="261" spans="1:5" ht="30.6">
      <c r="A261" s="4" t="s">
        <v>2031</v>
      </c>
      <c r="B261" s="5" t="str">
        <f>HYPERLINK("https://constructor.brusnika.ru/object-module/principled-decisions/project-solution-groups/6267115a-733a-4a69-89bc-994d1e7a29c8/3331?version=2", "Типовое вводно - распределительное устройство Жилой части")</f>
        <v>Типовое вводно - распределительное устройство Жилой части</v>
      </c>
      <c r="C261" s="353" t="s">
        <v>3258</v>
      </c>
      <c r="D261" s="350"/>
      <c r="E261" s="351"/>
    </row>
    <row r="262" spans="1:5" ht="30.6">
      <c r="A262" s="4" t="s">
        <v>2043</v>
      </c>
      <c r="B262" s="5" t="str">
        <f>HYPERLINK("https://constructor.brusnika.ru/object-module/principled-decisions/project-solution-groups/6267115a-733a-4a69-89bc-994d1e7a29c8/3332?version=1", "Типовое вводно - распределительное устройство Паркинга")</f>
        <v>Типовое вводно - распределительное устройство Паркинга</v>
      </c>
      <c r="C262" s="353" t="s">
        <v>3259</v>
      </c>
      <c r="D262" s="350"/>
      <c r="E262" s="351"/>
    </row>
    <row r="263" spans="1:5" ht="20.399999999999999">
      <c r="A263" s="4" t="s">
        <v>3260</v>
      </c>
      <c r="B263" s="5" t="str">
        <f>HYPERLINK("https://constructor.brusnika.ru/object-module/principled-decisions/project-solution-groups/5046c14f-acad-45f3-a6f8-d58c27f0ad55/3333?version=2", "Магистраль кабельных линий Жилой части")</f>
        <v>Магистраль кабельных линий Жилой части</v>
      </c>
      <c r="C263" s="353" t="s">
        <v>3261</v>
      </c>
      <c r="D263" s="350"/>
      <c r="E263" s="351"/>
    </row>
    <row r="264" spans="1:5" ht="13.2">
      <c r="A264" s="4" t="s">
        <v>3262</v>
      </c>
      <c r="B264" s="5" t="str">
        <f>HYPERLINK("https://constructor.brusnika.ru/object-module/principled-decisions/project-solution-groups/5046c14f-acad-45f3-a6f8-d58c27f0ad55/3335?version=2", "Магистраль кабельных линий МОП")</f>
        <v>Магистраль кабельных линий МОП</v>
      </c>
      <c r="C264" s="353" t="s">
        <v>3263</v>
      </c>
      <c r="D264" s="350"/>
      <c r="E264" s="351"/>
    </row>
    <row r="265" spans="1:5" ht="20.399999999999999">
      <c r="A265" s="4" t="s">
        <v>3264</v>
      </c>
      <c r="B265" s="5" t="str">
        <f>HYPERLINK("https://constructor.brusnika.ru/object-module/principled-decisions/project-solution-groups/5046c14f-acad-45f3-a6f8-d58c27f0ad55/3337?version=2", "Магистраль кабельных линий Коммерческих помещений")</f>
        <v>Магистраль кабельных линий Коммерческих помещений</v>
      </c>
      <c r="C265" s="353" t="s">
        <v>3265</v>
      </c>
      <c r="D265" s="350"/>
      <c r="E265" s="351"/>
    </row>
    <row r="266" spans="1:5" ht="20.399999999999999">
      <c r="A266" s="4" t="s">
        <v>3266</v>
      </c>
      <c r="B266" s="5" t="str">
        <f>HYPERLINK("https://constructor.brusnika.ru/object-module/principled-decisions/project-solution-groups/5046c14f-acad-45f3-a6f8-d58c27f0ad55/3341?version=2", "Магистраль кабельных линий Технических помещений")</f>
        <v>Магистраль кабельных линий Технических помещений</v>
      </c>
      <c r="C266" s="353" t="s">
        <v>3267</v>
      </c>
      <c r="D266" s="350"/>
      <c r="E266" s="351"/>
    </row>
    <row r="267" spans="1:5" ht="20.399999999999999">
      <c r="A267" s="4" t="s">
        <v>3268</v>
      </c>
      <c r="B267" s="6" t="s">
        <v>3269</v>
      </c>
      <c r="C267" s="355" t="s">
        <v>3270</v>
      </c>
      <c r="D267" s="350"/>
      <c r="E267" s="351"/>
    </row>
    <row r="268" spans="1:5" ht="20.399999999999999">
      <c r="A268" s="4" t="s">
        <v>3271</v>
      </c>
      <c r="B268" s="5" t="str">
        <f>HYPERLINK("https://constructor.brusnika.ru/object-module/principled-decisions/project-solution-groups/88b6b6c7-2279-47b6-83d1-8b29acca4007/3343?version=2", "Стояки электроснабжения кабельных линий Жилой части")</f>
        <v>Стояки электроснабжения кабельных линий Жилой части</v>
      </c>
      <c r="C268" s="353" t="s">
        <v>3272</v>
      </c>
      <c r="D268" s="350"/>
      <c r="E268" s="351"/>
    </row>
    <row r="269" spans="1:5" ht="20.399999999999999">
      <c r="A269" s="4" t="s">
        <v>3273</v>
      </c>
      <c r="B269" s="5" t="str">
        <f>HYPERLINK("https://constructor.brusnika.ru/object-module/principled-decisions/project-solution-groups/88b6b6c7-2279-47b6-83d1-8b29acca4007/3345?version=2", "Стояки электроснабжения кабельных линий МОП")</f>
        <v>Стояки электроснабжения кабельных линий МОП</v>
      </c>
      <c r="C269" s="353" t="s">
        <v>3274</v>
      </c>
      <c r="D269" s="350"/>
      <c r="E269" s="351"/>
    </row>
    <row r="270" spans="1:5" ht="30.6">
      <c r="A270" s="4" t="s">
        <v>3275</v>
      </c>
      <c r="B270" s="5" t="str">
        <f>HYPERLINK("https://constructor.brusnika.ru/object-module/principled-decisions/project-solution-groups/88b6b6c7-2279-47b6-83d1-8b29acca4007/3346?version=2", "Стояки электроснабжения кабельных линий Коммерческие помещения")</f>
        <v>Стояки электроснабжения кабельных линий Коммерческие помещения</v>
      </c>
      <c r="C270" s="353" t="s">
        <v>3276</v>
      </c>
      <c r="D270" s="350"/>
      <c r="E270" s="351"/>
    </row>
    <row r="271" spans="1:5" ht="30.6">
      <c r="A271" s="4" t="s">
        <v>3277</v>
      </c>
      <c r="B271" s="5" t="str">
        <f>HYPERLINK("https://constructor.brusnika.ru/object-module/principled-decisions/project-solution-groups/88b6b6c7-2279-47b6-83d1-8b29acca4007/3347?version=2", "Стояки электроснабжения кабельных линий Технических помещений")</f>
        <v>Стояки электроснабжения кабельных линий Технических помещений</v>
      </c>
      <c r="C271" s="353" t="s">
        <v>3278</v>
      </c>
      <c r="D271" s="350"/>
      <c r="E271" s="351"/>
    </row>
    <row r="272" spans="1:5" ht="13.2">
      <c r="A272" s="4" t="s">
        <v>3279</v>
      </c>
      <c r="B272" s="5" t="str">
        <f>HYPERLINK("https://constructor.brusnika.ru/object-module/principled-decisions/project-solution-groups/38c47e3d-5a4b-459e-b414-b5dff53333ff/3348?version=1", "Этажный щит")</f>
        <v>Этажный щит</v>
      </c>
      <c r="C272" s="353" t="s">
        <v>3280</v>
      </c>
      <c r="D272" s="350"/>
      <c r="E272" s="351"/>
    </row>
    <row r="273" spans="1:5" ht="13.2">
      <c r="A273" s="4" t="s">
        <v>3281</v>
      </c>
      <c r="B273" s="5" t="str">
        <f>HYPERLINK("https://constructor.brusnika.ru/object-module/principled-decisions/project-solution-groups/0cefe9be-add4-4426-abbe-eb7a74c31365/3349?version=1", "Квартирный щит")</f>
        <v>Квартирный щит</v>
      </c>
      <c r="C273" s="353" t="s">
        <v>3282</v>
      </c>
      <c r="D273" s="350"/>
      <c r="E273" s="351"/>
    </row>
    <row r="274" spans="1:5" ht="13.2">
      <c r="A274" s="4" t="s">
        <v>3283</v>
      </c>
      <c r="B274" s="5" t="str">
        <f>HYPERLINK("https://constructor.brusnika.ru/object-module/principled-decisions/project-solution-groups/0cefe9be-add4-4426-abbe-eb7a74c31365/3350?version=1", "Щит Коммерческих помещений")</f>
        <v>Щит Коммерческих помещений</v>
      </c>
      <c r="C274" s="353" t="s">
        <v>3284</v>
      </c>
      <c r="D274" s="350"/>
      <c r="E274" s="351"/>
    </row>
    <row r="275" spans="1:5" ht="13.2">
      <c r="A275" s="4" t="s">
        <v>3285</v>
      </c>
      <c r="B275" s="5" t="str">
        <f>HYPERLINK("https://constructor.brusnika.ru/object-module/principled-decisions/project-solution-groups/0cefe9be-add4-4426-abbe-eb7a74c31365/3351?version=1", "Щит Технических помещений")</f>
        <v>Щит Технических помещений</v>
      </c>
      <c r="C275" s="353" t="s">
        <v>3286</v>
      </c>
      <c r="D275" s="350"/>
      <c r="E275" s="351"/>
    </row>
    <row r="276" spans="1:5" ht="20.399999999999999">
      <c r="A276" s="4" t="s">
        <v>3287</v>
      </c>
      <c r="B276" s="5" t="str">
        <f>HYPERLINK("https://constructor.brusnika.ru/object-module/principled-decisions/project-solution-groups/57892c69-a3ea-4fa8-8bcf-fa8c1391fef0/3352?version=2", "Разводка кабельных линий по Жилым помещениям")</f>
        <v>Разводка кабельных линий по Жилым помещениям</v>
      </c>
      <c r="C276" s="353" t="s">
        <v>3288</v>
      </c>
      <c r="D276" s="350"/>
      <c r="E276" s="351"/>
    </row>
    <row r="277" spans="1:5" ht="13.2">
      <c r="A277" s="4" t="s">
        <v>3289</v>
      </c>
      <c r="B277" s="5" t="str">
        <f>HYPERLINK("https://constructor.brusnika.ru/object-module/principled-decisions/project-solution-groups/57892c69-a3ea-4fa8-8bcf-fa8c1391fef0/3353?version=1", "Разводка кабельных линий по МОП")</f>
        <v>Разводка кабельных линий по МОП</v>
      </c>
      <c r="C277" s="353" t="s">
        <v>3290</v>
      </c>
      <c r="D277" s="350"/>
      <c r="E277" s="351"/>
    </row>
    <row r="278" spans="1:5" ht="20.399999999999999">
      <c r="A278" s="4" t="s">
        <v>3291</v>
      </c>
      <c r="B278" s="5" t="str">
        <f>HYPERLINK("https://constructor.brusnika.ru/object-module/principled-decisions/project-solution-groups/57892c69-a3ea-4fa8-8bcf-fa8c1391fef0/3327?version=2", "Разводка кабельных линий по Техническим помещениям")</f>
        <v>Разводка кабельных линий по Техническим помещениям</v>
      </c>
      <c r="C278" s="353" t="s">
        <v>3292</v>
      </c>
      <c r="D278" s="350"/>
      <c r="E278" s="351"/>
    </row>
    <row r="279" spans="1:5" ht="20.399999999999999">
      <c r="A279" s="4" t="s">
        <v>3293</v>
      </c>
      <c r="B279" s="6" t="s">
        <v>3294</v>
      </c>
      <c r="C279" s="355" t="s">
        <v>3295</v>
      </c>
      <c r="D279" s="350"/>
      <c r="E279" s="351"/>
    </row>
    <row r="280" spans="1:5" ht="30.6">
      <c r="A280" s="4" t="s">
        <v>3296</v>
      </c>
      <c r="B280" s="5" t="str">
        <f>HYPERLINK("https://constructor.brusnika.ru/object-module/principled-decisions/project-solution-groups/845f2d5f-1578-4291-967a-198de2c7847a/3354?version=1", "Оконечное оборудование электроснабжения Заградительные огни")</f>
        <v>Оконечное оборудование электроснабжения Заградительные огни</v>
      </c>
      <c r="C280" s="353" t="s">
        <v>3297</v>
      </c>
      <c r="D280" s="350"/>
      <c r="E280" s="351"/>
    </row>
    <row r="281" spans="1:5" ht="13.2">
      <c r="A281" s="354" t="s">
        <v>3298</v>
      </c>
      <c r="B281" s="350"/>
      <c r="C281" s="350"/>
      <c r="D281" s="350"/>
      <c r="E281" s="351"/>
    </row>
    <row r="282" spans="1:5" ht="13.2">
      <c r="A282" s="4" t="s">
        <v>3299</v>
      </c>
      <c r="B282" s="5" t="str">
        <f>HYPERLINK("https://constructor.brusnika.ru/object-module/principled-decisions/project-solution-groups/7d987a25-5b30-4de6-b4c5-aa817084acb6/3355?version=1", "Система молниезащиты")</f>
        <v>Система молниезащиты</v>
      </c>
      <c r="C282" s="353" t="s">
        <v>3300</v>
      </c>
      <c r="D282" s="350"/>
      <c r="E282" s="351"/>
    </row>
    <row r="283" spans="1:5" ht="20.399999999999999">
      <c r="A283" s="4" t="s">
        <v>3301</v>
      </c>
      <c r="B283" s="5" t="str">
        <f>HYPERLINK("https://constructor.brusnika.ru/object-module/principled-decisions/project-solution-groups/7d987a25-5b30-4de6-b4c5-aa817084acb6/3356?version=1", "Заземление и система уравнивания потенциалов")</f>
        <v>Заземление и система уравнивания потенциалов</v>
      </c>
      <c r="C283" s="353" t="s">
        <v>3302</v>
      </c>
      <c r="D283" s="350"/>
      <c r="E283" s="351"/>
    </row>
    <row r="284" spans="1:5" ht="13.2">
      <c r="A284" s="4" t="s">
        <v>3303</v>
      </c>
      <c r="B284" s="5" t="str">
        <f>HYPERLINK("https://constructor.brusnika.ru/object-module/principled-decisions/project-solution-groups/3dc03d22-2b68-4b31-a400-9651290b581e/3357?version=1", "Молниеприемник молниезащиты")</f>
        <v>Молниеприемник молниезащиты</v>
      </c>
      <c r="C284" s="353" t="s">
        <v>3304</v>
      </c>
      <c r="D284" s="350"/>
      <c r="E284" s="351"/>
    </row>
    <row r="285" spans="1:5" ht="13.2">
      <c r="A285" s="4" t="s">
        <v>3305</v>
      </c>
      <c r="B285" s="5" t="str">
        <f>HYPERLINK("https://constructor.brusnika.ru/object-module/principled-decisions/project-solution-groups/a7e543f4-9c81-436e-9999-f0e17f505d14/3358?version=1", "Опуски молниезащиты")</f>
        <v>Опуски молниезащиты</v>
      </c>
      <c r="C285" s="353" t="s">
        <v>3306</v>
      </c>
      <c r="D285" s="350"/>
      <c r="E285" s="351"/>
    </row>
    <row r="286" spans="1:5" ht="30.6">
      <c r="A286" s="4" t="s">
        <v>3307</v>
      </c>
      <c r="B286" s="5" t="str">
        <f>HYPERLINK("https://constructor.brusnika.ru/object-module/principled-decisions/project-solution-groups/7fefa380-c03e-4c80-aa53-a7a64e3a5531/3359?version=1", "Контур заземления молниезащиты и системы уравнивания потенциалов")</f>
        <v>Контур заземления молниезащиты и системы уравнивания потенциалов</v>
      </c>
      <c r="C286" s="353" t="s">
        <v>3308</v>
      </c>
      <c r="D286" s="350"/>
      <c r="E286" s="351"/>
    </row>
    <row r="287" spans="1:5" ht="13.2">
      <c r="A287" s="354" t="s">
        <v>3309</v>
      </c>
      <c r="B287" s="350"/>
      <c r="C287" s="350"/>
      <c r="D287" s="350"/>
      <c r="E287" s="351"/>
    </row>
    <row r="288" spans="1:5" ht="13.2">
      <c r="A288" s="354" t="s">
        <v>3310</v>
      </c>
      <c r="B288" s="350"/>
      <c r="C288" s="350"/>
      <c r="D288" s="350"/>
      <c r="E288" s="351"/>
    </row>
    <row r="289" spans="1:5" ht="30.6">
      <c r="A289" s="4" t="s">
        <v>3311</v>
      </c>
      <c r="B289" s="5" t="str">
        <f>HYPERLINK("https://constructor.brusnika.ru/object-module/principled-decisions/project-solution-groups/80f2f26c-b0a2-49e5-bfd6-929d4f148e4f/3360?version=2", "Принцип деления и границы систем водоснабжения, водоотведения и пожаротушения")</f>
        <v>Принцип деления и границы систем водоснабжения, водоотведения и пожаротушения</v>
      </c>
      <c r="C289" s="353" t="s">
        <v>3312</v>
      </c>
      <c r="D289" s="350"/>
      <c r="E289" s="351"/>
    </row>
    <row r="290" spans="1:5" ht="40.799999999999997">
      <c r="A290" s="4" t="s">
        <v>3313</v>
      </c>
      <c r="B290" s="5" t="str">
        <f>HYPERLINK("https://constructor.brusnika.ru/object-module/principled-decisions/project-solution-groups/80f2f26c-b0a2-49e5-bfd6-929d4f148e4f/3361?version=2", "Обозначение систем водоснабжения, водоотведения и пожаротушения в рабочей документации")</f>
        <v>Обозначение систем водоснабжения, водоотведения и пожаротушения в рабочей документации</v>
      </c>
      <c r="C290" s="353" t="s">
        <v>3314</v>
      </c>
      <c r="D290" s="350"/>
      <c r="E290" s="351"/>
    </row>
    <row r="291" spans="1:5" ht="13.2">
      <c r="A291" s="354" t="s">
        <v>3315</v>
      </c>
      <c r="B291" s="350"/>
      <c r="C291" s="350"/>
      <c r="D291" s="350"/>
      <c r="E291" s="351"/>
    </row>
    <row r="292" spans="1:5" ht="13.2">
      <c r="A292" s="4" t="s">
        <v>2057</v>
      </c>
      <c r="B292" s="5" t="str">
        <f>HYPERLINK("https://constructor.brusnika.ru/object-module/principled-decisions/project-solution-groups/41f7b6d5-8795-4413-b883-a75a5403fdbf/3362?version=1", "Плановые нагрузки водоснабжение")</f>
        <v>Плановые нагрузки водоснабжение</v>
      </c>
      <c r="C292" s="353" t="s">
        <v>3316</v>
      </c>
      <c r="D292" s="350"/>
      <c r="E292" s="351"/>
    </row>
    <row r="293" spans="1:5" ht="30.6">
      <c r="A293" s="4" t="s">
        <v>2085</v>
      </c>
      <c r="B293" s="5" t="str">
        <f>HYPERLINK("https://constructor.brusnika.ru/object-module/principled-decisions/project-solution-groups/c2411884-a1fe-43a5-b46e-37e87f482268/3366?version=3", "Cистема водоснабжения коллекторная однозонная до 50 метров")</f>
        <v>Cистема водоснабжения коллекторная однозонная до 50 метров</v>
      </c>
      <c r="C293" s="356" t="s">
        <v>3317</v>
      </c>
      <c r="D293" s="350"/>
      <c r="E293" s="351"/>
    </row>
    <row r="294" spans="1:5" ht="30.6">
      <c r="A294" s="4" t="s">
        <v>2110</v>
      </c>
      <c r="B294" s="5" t="str">
        <f>HYPERLINK("https://constructor.brusnika.ru/object-module/principled-decisions/project-solution-groups/c2411884-a1fe-43a5-b46e-37e87f482268/3367?version=3", "Cистема водоснабжения коллекторная двухзонная от 50 до 75 метров")</f>
        <v>Cистема водоснабжения коллекторная двухзонная от 50 до 75 метров</v>
      </c>
      <c r="C294" s="356" t="s">
        <v>3318</v>
      </c>
      <c r="D294" s="350"/>
      <c r="E294" s="351"/>
    </row>
    <row r="295" spans="1:5" ht="20.399999999999999">
      <c r="A295" s="4" t="s">
        <v>2129</v>
      </c>
      <c r="B295" s="5" t="str">
        <f>HYPERLINK("https://constructor.brusnika.ru/object-module/principled-decisions/project-solution-groups/314feade-56ae-481c-893d-faada104fa43/3372?version=1", "Насосная хозяйственно - питьевого водоснабжения")</f>
        <v>Насосная хозяйственно - питьевого водоснабжения</v>
      </c>
      <c r="C295" s="353" t="s">
        <v>3319</v>
      </c>
      <c r="D295" s="350"/>
      <c r="E295" s="351"/>
    </row>
    <row r="296" spans="1:5" ht="13.2">
      <c r="A296" s="4" t="s">
        <v>2135</v>
      </c>
      <c r="B296" s="5" t="str">
        <f>HYPERLINK("https://constructor.brusnika.ru/object-module/principled-decisions/project-solution-groups/314feade-56ae-481c-893d-faada104fa43/3373?version=1", "Узел ввода и водомерные узлы")</f>
        <v>Узел ввода и водомерные узлы</v>
      </c>
      <c r="C296" s="353" t="s">
        <v>3320</v>
      </c>
      <c r="D296" s="350"/>
      <c r="E296" s="351"/>
    </row>
    <row r="297" spans="1:5" ht="13.2">
      <c r="A297" s="4" t="s">
        <v>3321</v>
      </c>
      <c r="B297" s="5" t="str">
        <f>HYPERLINK("https://constructor.brusnika.ru/object-module/principled-decisions/project-solution-groups/314feade-56ae-481c-893d-faada104fa43/3374?version=2", "Система водоочистки")</f>
        <v>Система водоочистки</v>
      </c>
      <c r="C297" s="353" t="s">
        <v>3322</v>
      </c>
      <c r="D297" s="350"/>
      <c r="E297" s="351"/>
    </row>
    <row r="298" spans="1:5" ht="13.2">
      <c r="A298" s="4" t="s">
        <v>3323</v>
      </c>
      <c r="B298" s="5" t="str">
        <f>HYPERLINK("https://constructor.brusnika.ru/object-module/principled-decisions/project-solution-groups/c2411884-a1fe-43a5-b46e-37e87f482268/3371?version=2", "Cистема автополива")</f>
        <v>Cистема автополива</v>
      </c>
      <c r="C298" s="353" t="s">
        <v>3324</v>
      </c>
      <c r="D298" s="350"/>
      <c r="E298" s="351"/>
    </row>
    <row r="299" spans="1:5" ht="40.799999999999997">
      <c r="A299" s="4" t="s">
        <v>3325</v>
      </c>
      <c r="B299" s="5" t="str">
        <f>HYPERLINK("https://constructor.brusnika.ru/object-module/principled-decisions/project-solution-groups/8ed49765-f58c-426f-88ef-7548b81a43e6/3379?version=2", "Магистраль системы водоснабжения коллекторной однозонной до 50 метров. Новосибирск")</f>
        <v>Магистраль системы водоснабжения коллекторной однозонной до 50 метров. Новосибирск</v>
      </c>
      <c r="C299" s="353" t="s">
        <v>3326</v>
      </c>
      <c r="D299" s="350"/>
      <c r="E299" s="351"/>
    </row>
    <row r="300" spans="1:5" ht="40.799999999999997">
      <c r="A300" s="4" t="s">
        <v>3327</v>
      </c>
      <c r="B300" s="5" t="str">
        <f>HYPERLINK("https://constructor.brusnika.ru/object-module/principled-decisions/project-solution-groups/8ed49765-f58c-426f-88ef-7548b81a43e6/3380?version=2", "Магистраль системы водоснабжения коллекторной двухзонной от 50 до 75 метров. Новосибирск")</f>
        <v>Магистраль системы водоснабжения коллекторной двухзонной от 50 до 75 метров. Новосибирск</v>
      </c>
      <c r="C300" s="353" t="s">
        <v>3328</v>
      </c>
      <c r="D300" s="350"/>
      <c r="E300" s="351"/>
    </row>
    <row r="301" spans="1:5" ht="30.6">
      <c r="A301" s="4" t="s">
        <v>3329</v>
      </c>
      <c r="B301" s="5" t="str">
        <f>HYPERLINK("https://constructor.brusnika.ru/object-module/principled-decisions/project-solution-groups/35ded755-90da-484b-afe9-9b6d27bafcac/3390?version=2", "Стояки системы водоснабжения коллекторной однозонной до 28 метров. Новосибирск")</f>
        <v>Стояки системы водоснабжения коллекторной однозонной до 28 метров. Новосибирск</v>
      </c>
      <c r="C301" s="353" t="s">
        <v>3330</v>
      </c>
      <c r="D301" s="350"/>
      <c r="E301" s="351"/>
    </row>
    <row r="302" spans="1:5" ht="30.6">
      <c r="A302" s="4" t="s">
        <v>3331</v>
      </c>
      <c r="B302" s="5" t="str">
        <f>HYPERLINK("https://constructor.brusnika.ru/object-module/principled-decisions/project-solution-groups/35ded755-90da-484b-afe9-9b6d27bafcac/3391?version=2", "Стояки системы водоснабжения коллекторной однозонной от 28 до 50 метров. Новосибирск")</f>
        <v>Стояки системы водоснабжения коллекторной однозонной от 28 до 50 метров. Новосибирск</v>
      </c>
      <c r="C302" s="353" t="s">
        <v>3332</v>
      </c>
      <c r="D302" s="350"/>
      <c r="E302" s="351"/>
    </row>
    <row r="303" spans="1:5" ht="30.6">
      <c r="A303" s="4" t="s">
        <v>3333</v>
      </c>
      <c r="B303" s="5" t="str">
        <f>HYPERLINK("https://constructor.brusnika.ru/object-module/principled-decisions/project-solution-groups/35ded755-90da-484b-afe9-9b6d27bafcac/3392?version=2", "Стояки системы водоснабжения коллекторной двухзонной от 50 до 75 метров. Новосибирск")</f>
        <v>Стояки системы водоснабжения коллекторной двухзонной от 50 до 75 метров. Новосибирск</v>
      </c>
      <c r="C303" s="353" t="s">
        <v>3332</v>
      </c>
      <c r="D303" s="350"/>
      <c r="E303" s="351"/>
    </row>
    <row r="304" spans="1:5" ht="20.399999999999999">
      <c r="A304" s="4" t="s">
        <v>3334</v>
      </c>
      <c r="B304" s="217" t="s">
        <v>3335</v>
      </c>
      <c r="C304" s="355" t="s">
        <v>3336</v>
      </c>
      <c r="D304" s="350"/>
      <c r="E304" s="351"/>
    </row>
    <row r="305" spans="1:5" ht="20.399999999999999">
      <c r="A305" s="4" t="s">
        <v>3337</v>
      </c>
      <c r="B305" s="5" t="str">
        <f>HYPERLINK("https://constructor.brusnika.ru/object-module/principled-decisions/project-solution-groups/118c8b60-d919-45aa-847c-2f4d5a80b792/3396?version=1", "Состав и расположение коллектора водоснабжения")</f>
        <v>Состав и расположение коллектора водоснабжения</v>
      </c>
      <c r="C305" s="353" t="s">
        <v>3338</v>
      </c>
      <c r="D305" s="350"/>
      <c r="E305" s="351"/>
    </row>
    <row r="306" spans="1:5" ht="20.399999999999999">
      <c r="A306" s="4" t="s">
        <v>3339</v>
      </c>
      <c r="B306" s="5" t="str">
        <f>HYPERLINK("https://constructor.brusnika.ru/object-module/principled-decisions/project-solution-groups/599429d5-3e90-43b2-b2fb-3dd3a2dc2f16/3397?version=1", "Узел учета водоснабжения индивидуальный")</f>
        <v>Узел учета водоснабжения индивидуальный</v>
      </c>
      <c r="C306" s="353" t="s">
        <v>3340</v>
      </c>
      <c r="D306" s="350"/>
      <c r="E306" s="351"/>
    </row>
    <row r="307" spans="1:5" ht="13.2">
      <c r="A307" s="4" t="s">
        <v>3341</v>
      </c>
      <c r="B307" s="5" t="str">
        <f>HYPERLINK("https://constructor.brusnika.ru/object-module/principled-decisions/project-solution-groups/5e68ab9b-7894-4c61-8890-1d0026bd2d3f/3398?version=2", "Разводка системы водоснабжения")</f>
        <v>Разводка системы водоснабжения</v>
      </c>
      <c r="C307" s="353" t="s">
        <v>3342</v>
      </c>
      <c r="D307" s="350"/>
      <c r="E307" s="351"/>
    </row>
    <row r="308" spans="1:5" ht="13.2">
      <c r="A308" s="4" t="s">
        <v>3343</v>
      </c>
      <c r="B308" s="5" t="str">
        <f>HYPERLINK("https://constructor.brusnika.ru/object-module/principled-decisions/project-solution-groups/8de65c7c-a9a5-4a92-a813-9d15e9f70227/3399?version=1", "Разводка КУИ")</f>
        <v>Разводка КУИ</v>
      </c>
      <c r="C308" s="353" t="s">
        <v>3344</v>
      </c>
      <c r="D308" s="350"/>
      <c r="E308" s="351"/>
    </row>
    <row r="309" spans="1:5" ht="13.2">
      <c r="A309" s="354" t="s">
        <v>3345</v>
      </c>
      <c r="B309" s="350"/>
      <c r="C309" s="350"/>
      <c r="D309" s="350"/>
      <c r="E309" s="351"/>
    </row>
    <row r="310" spans="1:5" ht="30.6">
      <c r="A310" s="4" t="s">
        <v>2142</v>
      </c>
      <c r="B310" s="5" t="str">
        <f>HYPERLINK("https://constructor.brusnika.ru/object-module/principled-decisions/project-solution-groups/6276fcaa-d7d5-409e-88bd-737a04c21797/3401?version=1", "Система внутреннего пожарного водопровода однозонная от 30 до 50 метров.")</f>
        <v>Система внутреннего пожарного водопровода однозонная от 30 до 50 метров.</v>
      </c>
      <c r="C310" s="353" t="s">
        <v>3346</v>
      </c>
      <c r="D310" s="350"/>
      <c r="E310" s="351"/>
    </row>
    <row r="311" spans="1:5" ht="30.6">
      <c r="A311" s="4" t="s">
        <v>3347</v>
      </c>
      <c r="B311" s="5" t="str">
        <f>HYPERLINK("https://constructor.brusnika.ru/object-module/principled-decisions/project-solution-groups/6276fcaa-d7d5-409e-88bd-737a04c21797/3402?version=1", "Система внутреннего пожарного водопровода двухзонная от 50 до 75 метров.")</f>
        <v>Система внутреннего пожарного водопровода двухзонная от 50 до 75 метров.</v>
      </c>
      <c r="C311" s="353" t="s">
        <v>3348</v>
      </c>
      <c r="D311" s="350"/>
      <c r="E311" s="351"/>
    </row>
    <row r="312" spans="1:5" ht="40.799999999999997">
      <c r="A312" s="4" t="s">
        <v>2185</v>
      </c>
      <c r="B312" s="6" t="s">
        <v>3349</v>
      </c>
      <c r="C312" s="355" t="s">
        <v>3350</v>
      </c>
      <c r="D312" s="350"/>
      <c r="E312" s="351"/>
    </row>
    <row r="313" spans="1:5" ht="13.2">
      <c r="A313" s="4" t="s">
        <v>2188</v>
      </c>
      <c r="B313" s="5" t="str">
        <f>HYPERLINK("https://constructor.brusnika.ru/object-module/principled-decisions/project-solution-groups/80867a1c-fbfc-45aa-a0d3-b5637c15c34f/3405?version=1", "Насосная пожаротушения")</f>
        <v>Насосная пожаротушения</v>
      </c>
      <c r="C313" s="353" t="s">
        <v>3351</v>
      </c>
      <c r="D313" s="350"/>
      <c r="E313" s="351"/>
    </row>
    <row r="314" spans="1:5" ht="30.6">
      <c r="A314" s="4" t="s">
        <v>2197</v>
      </c>
      <c r="B314" s="5" t="str">
        <f>HYPERLINK("https://constructor.brusnika.ru/object-module/principled-decisions/project-solution-groups/6f54c887-70e8-4f8d-a03d-e86c02678e02/3406?version=2", "Магистраль системы пожаротушения однозонной от 30 до 50 метров.")</f>
        <v>Магистраль системы пожаротушения однозонной от 30 до 50 метров.</v>
      </c>
      <c r="C314" s="353" t="s">
        <v>3352</v>
      </c>
      <c r="D314" s="350"/>
      <c r="E314" s="351"/>
    </row>
    <row r="315" spans="1:5" ht="30.6">
      <c r="A315" s="4" t="s">
        <v>3353</v>
      </c>
      <c r="B315" s="5" t="str">
        <f>HYPERLINK("https://constructor.brusnika.ru/object-module/principled-decisions/project-solution-groups/6f54c887-70e8-4f8d-a03d-e86c02678e02/3407?version=2", "Магистраль системы пожаротушения двухзонной от 50 до 75 метров.")</f>
        <v>Магистраль системы пожаротушения двухзонной от 50 до 75 метров.</v>
      </c>
      <c r="C315" s="353" t="s">
        <v>3354</v>
      </c>
      <c r="D315" s="350"/>
      <c r="E315" s="351"/>
    </row>
    <row r="316" spans="1:5" ht="40.799999999999997">
      <c r="A316" s="4" t="s">
        <v>3355</v>
      </c>
      <c r="B316" s="8" t="s">
        <v>3356</v>
      </c>
      <c r="C316" s="353" t="s">
        <v>3357</v>
      </c>
      <c r="D316" s="350"/>
      <c r="E316" s="351"/>
    </row>
    <row r="317" spans="1:5" ht="20.399999999999999">
      <c r="A317" s="4" t="s">
        <v>3358</v>
      </c>
      <c r="B317" s="5" t="str">
        <f>HYPERLINK("https://constructor.brusnika.ru/object-module/principled-decisions/project-solution-groups/792f9857-ac32-4663-adc1-7769fa44319d/3395?version=2", "Стояки системы пожаротушения однозоной от 30 до 50 метров.")</f>
        <v>Стояки системы пожаротушения однозоной от 30 до 50 метров.</v>
      </c>
      <c r="C317" s="353" t="s">
        <v>3359</v>
      </c>
      <c r="D317" s="350"/>
      <c r="E317" s="351"/>
    </row>
    <row r="318" spans="1:5" ht="20.399999999999999">
      <c r="A318" s="4" t="s">
        <v>3360</v>
      </c>
      <c r="B318" s="5" t="str">
        <f>HYPERLINK("https://constructor.brusnika.ru/object-module/principled-decisions/project-solution-groups/792f9857-ac32-4663-adc1-7769fa44319d/3411?version=2", "Стояки системы пожаротушения двухзонной от 50 до 75 метров.")</f>
        <v>Стояки системы пожаротушения двухзонной от 50 до 75 метров.</v>
      </c>
      <c r="C318" s="353" t="s">
        <v>3361</v>
      </c>
      <c r="D318" s="350"/>
      <c r="E318" s="351"/>
    </row>
    <row r="319" spans="1:5" ht="13.2">
      <c r="A319" s="4" t="s">
        <v>3362</v>
      </c>
      <c r="B319" s="5" t="str">
        <f>HYPERLINK("https://constructor.brusnika.ru/object-module/principled-decisions/project-solution-groups/def1c4de-c460-4f1d-b8e1-8441d220ccec/3413?version=1", "Пожарные шкафы")</f>
        <v>Пожарные шкафы</v>
      </c>
      <c r="C319" s="353" t="s">
        <v>3363</v>
      </c>
      <c r="D319" s="350"/>
      <c r="E319" s="351"/>
    </row>
    <row r="320" spans="1:5" ht="13.2">
      <c r="A320" s="4" t="s">
        <v>3364</v>
      </c>
      <c r="B320" s="218" t="s">
        <v>3365</v>
      </c>
      <c r="C320" s="355" t="s">
        <v>3366</v>
      </c>
      <c r="D320" s="350"/>
      <c r="E320" s="351"/>
    </row>
    <row r="321" spans="1:5" ht="13.2">
      <c r="A321" s="354" t="s">
        <v>3367</v>
      </c>
      <c r="B321" s="350"/>
      <c r="C321" s="350"/>
      <c r="D321" s="350"/>
      <c r="E321" s="351"/>
    </row>
    <row r="322" spans="1:5" ht="13.2">
      <c r="A322" s="4" t="s">
        <v>2216</v>
      </c>
      <c r="B322" s="5" t="str">
        <f>HYPERLINK("https://constructor.brusnika.ru/object-module/principled-decisions/project-solution-groups/f9cccf2c-ab56-4fa2-bce5-09cbc44758e8/3410?version=1", "Бытовая канализация до 75 метров")</f>
        <v>Бытовая канализация до 75 метров</v>
      </c>
      <c r="C322" s="353" t="s">
        <v>3368</v>
      </c>
      <c r="D322" s="350"/>
      <c r="E322" s="351"/>
    </row>
    <row r="323" spans="1:5" ht="13.2">
      <c r="A323" s="4" t="s">
        <v>2233</v>
      </c>
      <c r="B323" s="5" t="str">
        <f>HYPERLINK("https://constructor.brusnika.ru/object-module/principled-decisions/project-solution-groups/f9cccf2c-ab56-4fa2-bce5-09cbc44758e8/3417?version=1", "Производственная канализация")</f>
        <v>Производственная канализация</v>
      </c>
      <c r="C323" s="353" t="s">
        <v>3369</v>
      </c>
      <c r="D323" s="350"/>
      <c r="E323" s="351"/>
    </row>
    <row r="324" spans="1:5" ht="20.399999999999999">
      <c r="A324" s="4" t="s">
        <v>3370</v>
      </c>
      <c r="B324" s="5" t="str">
        <f>HYPERLINK("https://constructor.brusnika.ru/object-module/principled-decisions/project-solution-groups/f9cccf2c-ab56-4fa2-bce5-09cbc44758e8/3418?version=1", "Ливневая канализация до 75 метров. Жилая часть")</f>
        <v>Ливневая канализация до 75 метров. Жилая часть</v>
      </c>
      <c r="C324" s="353" t="s">
        <v>3371</v>
      </c>
      <c r="D324" s="350"/>
      <c r="E324" s="351"/>
    </row>
    <row r="325" spans="1:5" ht="13.2">
      <c r="A325" s="4" t="s">
        <v>3372</v>
      </c>
      <c r="B325" s="6" t="s">
        <v>3373</v>
      </c>
      <c r="C325" s="355" t="s">
        <v>3374</v>
      </c>
      <c r="D325" s="350"/>
      <c r="E325" s="351"/>
    </row>
    <row r="326" spans="1:5" ht="20.399999999999999">
      <c r="A326" s="4" t="s">
        <v>3375</v>
      </c>
      <c r="B326" s="5" t="str">
        <f>HYPERLINK("https://constructor.brusnika.ru/object-module/principled-decisions/project-solution-groups/f9cccf2c-ab56-4fa2-bce5-09cbc44758e8/3421?version=1", "Дренажная канализация аварийных и случайных стоков")</f>
        <v>Дренажная канализация аварийных и случайных стоков</v>
      </c>
      <c r="C326" s="353" t="s">
        <v>3376</v>
      </c>
      <c r="D326" s="350"/>
      <c r="E326" s="351"/>
    </row>
    <row r="327" spans="1:5" ht="20.399999999999999">
      <c r="A327" s="4" t="s">
        <v>3377</v>
      </c>
      <c r="B327" s="5" t="str">
        <f>HYPERLINK("https://constructor.brusnika.ru/object-module/principled-decisions/project-solution-groups/f9cccf2c-ab56-4fa2-bce5-09cbc44758e8/3422?version=1", "Дренажная канализация от системы кондиционирования")</f>
        <v>Дренажная канализация от системы кондиционирования</v>
      </c>
      <c r="C327" s="353" t="s">
        <v>3378</v>
      </c>
      <c r="D327" s="350"/>
      <c r="E327" s="351"/>
    </row>
    <row r="328" spans="1:5" ht="40.799999999999997">
      <c r="A328" s="4" t="s">
        <v>3379</v>
      </c>
      <c r="B328" s="6" t="s">
        <v>3380</v>
      </c>
      <c r="C328" s="355" t="s">
        <v>3381</v>
      </c>
      <c r="D328" s="350"/>
      <c r="E328" s="351"/>
    </row>
    <row r="329" spans="1:5" ht="20.399999999999999">
      <c r="A329" s="4" t="s">
        <v>3382</v>
      </c>
      <c r="B329" s="5" t="str">
        <f>HYPERLINK("https://constructor.brusnika.ru/object-module/principled-decisions/project-solution-groups/a22c7221-7cde-403b-bec9-394887e5d220/3426?version=2", "Магистраль бытовой канализации до 75 метров")</f>
        <v>Магистраль бытовой канализации до 75 метров</v>
      </c>
      <c r="C329" s="353" t="s">
        <v>3383</v>
      </c>
      <c r="D329" s="350"/>
      <c r="E329" s="351"/>
    </row>
    <row r="330" spans="1:5" ht="20.399999999999999">
      <c r="A330" s="4" t="s">
        <v>3384</v>
      </c>
      <c r="B330" s="5" t="str">
        <f>HYPERLINK("https://constructor.brusnika.ru/object-module/principled-decisions/project-solution-groups/a22c7221-7cde-403b-bec9-394887e5d220/3428?version=2", "Магистраль производственной канализации")</f>
        <v>Магистраль производственной канализации</v>
      </c>
      <c r="C330" s="353" t="s">
        <v>3385</v>
      </c>
      <c r="D330" s="350"/>
      <c r="E330" s="351"/>
    </row>
    <row r="331" spans="1:5" ht="20.399999999999999">
      <c r="A331" s="4" t="s">
        <v>3386</v>
      </c>
      <c r="B331" s="5" t="str">
        <f>HYPERLINK("https://constructor.brusnika.ru/object-module/principled-decisions/project-solution-groups/a22c7221-7cde-403b-bec9-394887e5d220/3429?version=2", "Магистраль ливневой канализации до 75 метров. Жилая часть")</f>
        <v>Магистраль ливневой канализации до 75 метров. Жилая часть</v>
      </c>
      <c r="C331" s="353" t="s">
        <v>3387</v>
      </c>
      <c r="D331" s="350"/>
      <c r="E331" s="351"/>
    </row>
    <row r="332" spans="1:5" ht="20.399999999999999">
      <c r="A332" s="4" t="s">
        <v>3388</v>
      </c>
      <c r="B332" s="8" t="s">
        <v>3389</v>
      </c>
      <c r="C332" s="353" t="s">
        <v>3390</v>
      </c>
      <c r="D332" s="350"/>
      <c r="E332" s="351"/>
    </row>
    <row r="333" spans="1:5" ht="30.6">
      <c r="A333" s="4" t="s">
        <v>3391</v>
      </c>
      <c r="B333" s="5" t="str">
        <f>HYPERLINK("https://constructor.brusnika.ru/object-module/principled-decisions/project-solution-groups/a22c7221-7cde-403b-bec9-394887e5d220/3433?version=2", "Магистраль дренажной канализации аварийных и случайных стоков")</f>
        <v>Магистраль дренажной канализации аварийных и случайных стоков</v>
      </c>
      <c r="C333" s="353" t="s">
        <v>3392</v>
      </c>
      <c r="D333" s="350"/>
      <c r="E333" s="351"/>
    </row>
    <row r="334" spans="1:5" ht="20.399999999999999">
      <c r="A334" s="4" t="s">
        <v>3393</v>
      </c>
      <c r="B334" s="5" t="str">
        <f>HYPERLINK("https://constructor.brusnika.ru/object-module/principled-decisions/project-solution-groups/a22c7221-7cde-403b-bec9-394887e5d220/3434?version=2", "Магистраль дренажной канализации кондиционирования")</f>
        <v>Магистраль дренажной канализации кондиционирования</v>
      </c>
      <c r="C334" s="353" t="s">
        <v>3394</v>
      </c>
      <c r="D334" s="350"/>
      <c r="E334" s="351"/>
    </row>
    <row r="335" spans="1:5" ht="51">
      <c r="A335" s="4" t="s">
        <v>3395</v>
      </c>
      <c r="B335" s="8" t="s">
        <v>3396</v>
      </c>
      <c r="C335" s="353" t="s">
        <v>3397</v>
      </c>
      <c r="D335" s="350"/>
      <c r="E335" s="351"/>
    </row>
    <row r="336" spans="1:5" ht="13.2">
      <c r="A336" s="4" t="s">
        <v>3398</v>
      </c>
      <c r="B336" s="5" t="str">
        <f>HYPERLINK("https://constructor.brusnika.ru/object-module/principled-decisions/project-solution-groups/a22c7221-7cde-403b-bec9-394887e5d220/3438?version=1", "Выпуски канализации")</f>
        <v>Выпуски канализации</v>
      </c>
      <c r="C336" s="353" t="s">
        <v>3399</v>
      </c>
      <c r="D336" s="350"/>
      <c r="E336" s="351"/>
    </row>
    <row r="337" spans="1:5" ht="20.399999999999999">
      <c r="A337" s="4" t="s">
        <v>3400</v>
      </c>
      <c r="B337" s="5" t="str">
        <f>HYPERLINK("https://constructor.brusnika.ru/object-module/principled-decisions/project-solution-groups/6661e8f1-7dbc-4e4e-aeff-f6f7e9ddf24f/3439?version=2", "Стояки бытовой канализации до 75 метров")</f>
        <v>Стояки бытовой канализации до 75 метров</v>
      </c>
      <c r="C337" s="353" t="s">
        <v>3401</v>
      </c>
      <c r="D337" s="350"/>
      <c r="E337" s="351"/>
    </row>
    <row r="338" spans="1:5" ht="20.399999999999999">
      <c r="A338" s="4" t="s">
        <v>3402</v>
      </c>
      <c r="B338" s="5" t="str">
        <f>HYPERLINK("https://constructor.brusnika.ru/object-module/principled-decisions/project-solution-groups/6661e8f1-7dbc-4e4e-aeff-f6f7e9ddf24f/3442?version=2", "Стояки ливневой канализации до 75 метров. Жилая часть")</f>
        <v>Стояки ливневой канализации до 75 метров. Жилая часть</v>
      </c>
      <c r="C338" s="353" t="s">
        <v>3403</v>
      </c>
      <c r="D338" s="350"/>
      <c r="E338" s="351"/>
    </row>
    <row r="339" spans="1:5" ht="20.399999999999999">
      <c r="A339" s="4" t="s">
        <v>3404</v>
      </c>
      <c r="B339" s="5" t="str">
        <f>HYPERLINK("https://constructor.brusnika.ru/object-module/principled-decisions/project-solution-groups/6661e8f1-7dbc-4e4e-aeff-f6f7e9ddf24f/3444?version=2", "Стояки ливневой канализации с террас")</f>
        <v>Стояки ливневой канализации с террас</v>
      </c>
      <c r="C339" s="353" t="s">
        <v>3405</v>
      </c>
      <c r="D339" s="350"/>
      <c r="E339" s="351"/>
    </row>
    <row r="340" spans="1:5" ht="20.399999999999999">
      <c r="A340" s="4" t="s">
        <v>3406</v>
      </c>
      <c r="B340" s="5" t="str">
        <f>HYPERLINK("https://constructor.brusnika.ru/object-module/principled-decisions/project-solution-groups/6661e8f1-7dbc-4e4e-aeff-f6f7e9ddf24f/3445?version=2", "Стояки дренажной канализации кондиционирования до 50 метров")</f>
        <v>Стояки дренажной канализации кондиционирования до 50 метров</v>
      </c>
      <c r="C340" s="353" t="s">
        <v>3407</v>
      </c>
      <c r="D340" s="350"/>
      <c r="E340" s="351"/>
    </row>
    <row r="341" spans="1:5" ht="30.6">
      <c r="A341" s="4" t="s">
        <v>3408</v>
      </c>
      <c r="B341" s="5" t="str">
        <f>HYPERLINK("https://constructor.brusnika.ru/object-module/principled-decisions/project-solution-groups/6661e8f1-7dbc-4e4e-aeff-f6f7e9ddf24f/3425?version=2", "Стояки дренажной канализации кондиционирования свыше 50 метров")</f>
        <v>Стояки дренажной канализации кондиционирования свыше 50 метров</v>
      </c>
      <c r="C341" s="353" t="s">
        <v>3409</v>
      </c>
      <c r="D341" s="350"/>
      <c r="E341" s="351"/>
    </row>
    <row r="342" spans="1:5" ht="20.399999999999999">
      <c r="A342" s="4" t="s">
        <v>3410</v>
      </c>
      <c r="B342" s="5" t="str">
        <f>HYPERLINK("https://constructor.brusnika.ru/object-module/principled-decisions/project-solution-groups/7650b626-0bae-46ba-b3a4-feae53de67bc/3446?version=2", "Разводка бытовой канализации потребителя (КУИ)")</f>
        <v>Разводка бытовой канализации потребителя (КУИ)</v>
      </c>
      <c r="C342" s="353" t="s">
        <v>3411</v>
      </c>
      <c r="D342" s="350"/>
      <c r="E342" s="351"/>
    </row>
    <row r="343" spans="1:5" ht="20.399999999999999">
      <c r="A343" s="4" t="s">
        <v>3412</v>
      </c>
      <c r="B343" s="5" t="str">
        <f>HYPERLINK("https://constructor.brusnika.ru/object-module/principled-decisions/project-solution-groups/b52190ba-5d2b-43e0-90b5-76bf0617625f/3448?version=1", "Сантехнические приборы бытовой канализации (КУИ)")</f>
        <v>Сантехнические приборы бытовой канализации (КУИ)</v>
      </c>
      <c r="C343" s="353" t="s">
        <v>3413</v>
      </c>
      <c r="D343" s="350"/>
      <c r="E343" s="351"/>
    </row>
    <row r="344" spans="1:5" ht="20.399999999999999">
      <c r="A344" s="4" t="s">
        <v>3414</v>
      </c>
      <c r="B344" s="5" t="str">
        <f>HYPERLINK("https://constructor.brusnika.ru/object-module/principled-decisions/project-solution-groups/b52190ba-5d2b-43e0-90b5-76bf0617625f/3449?version=1", "Насосы дренажной канализации аварийных и случайных стоков")</f>
        <v>Насосы дренажной канализации аварийных и случайных стоков</v>
      </c>
      <c r="C344" s="353" t="s">
        <v>3415</v>
      </c>
      <c r="D344" s="350"/>
      <c r="E344" s="351"/>
    </row>
    <row r="345" spans="1:5" ht="13.2">
      <c r="A345" s="354" t="s">
        <v>444</v>
      </c>
      <c r="B345" s="350"/>
      <c r="C345" s="350"/>
      <c r="D345" s="350"/>
      <c r="E345" s="351"/>
    </row>
    <row r="346" spans="1:5" ht="13.2">
      <c r="A346" s="354" t="s">
        <v>3416</v>
      </c>
      <c r="B346" s="350"/>
      <c r="C346" s="350"/>
      <c r="D346" s="350"/>
      <c r="E346" s="351"/>
    </row>
    <row r="347" spans="1:5" ht="20.399999999999999">
      <c r="A347" s="4" t="s">
        <v>3417</v>
      </c>
      <c r="B347" s="5" t="str">
        <f>HYPERLINK("https://constructor.brusnika.ru/object-module/principled-decisions/project-solution-groups/3ea24cba-22c6-4d70-a09c-4f075027ecb0/3450?version=2", "Принцип деления и границы систем отопления, вентиляции")</f>
        <v>Принцип деления и границы систем отопления, вентиляции</v>
      </c>
      <c r="C347" s="353" t="s">
        <v>3418</v>
      </c>
      <c r="D347" s="350"/>
      <c r="E347" s="351"/>
    </row>
    <row r="348" spans="1:5" ht="30.6">
      <c r="A348" s="4" t="s">
        <v>3419</v>
      </c>
      <c r="B348" s="5" t="str">
        <f>HYPERLINK("https://constructor.brusnika.ru/object-module/principled-decisions/project-solution-groups/3ea24cba-22c6-4d70-a09c-4f075027ecb0/3452?version=2", "Обозначение систем отопления, вентиляции в рабочей документации")</f>
        <v>Обозначение систем отопления, вентиляции в рабочей документации</v>
      </c>
      <c r="C348" s="353" t="s">
        <v>3115</v>
      </c>
      <c r="D348" s="350"/>
      <c r="E348" s="351"/>
    </row>
    <row r="349" spans="1:5" ht="13.2">
      <c r="A349" s="354" t="s">
        <v>3420</v>
      </c>
      <c r="B349" s="350"/>
      <c r="C349" s="350"/>
      <c r="D349" s="350"/>
      <c r="E349" s="351"/>
    </row>
    <row r="350" spans="1:5" ht="13.2">
      <c r="A350" s="4" t="s">
        <v>2286</v>
      </c>
      <c r="B350" s="5" t="str">
        <f>HYPERLINK("https://constructor.brusnika.ru/object-module/principled-decisions/project-solution-groups/5d351a18-f9d8-41e7-b46b-b6fb82f9cee7/3453?version=1", "Плановые нагрузки отопление")</f>
        <v>Плановые нагрузки отопление</v>
      </c>
      <c r="C350" s="454" t="s">
        <v>3421</v>
      </c>
      <c r="D350" s="367"/>
      <c r="E350" s="368"/>
    </row>
    <row r="351" spans="1:5" ht="13.2">
      <c r="A351" s="4" t="s">
        <v>2289</v>
      </c>
      <c r="B351" s="5" t="str">
        <f>HYPERLINK("https://constructor.brusnika.ru/object-module/principled-decisions/project-solution-groups/5d351a18-f9d8-41e7-b46b-b6fb82f9cee7/3454?version=3", "Расчет нагрузок отопления")</f>
        <v>Расчет нагрузок отопления</v>
      </c>
      <c r="C351" s="353" t="s">
        <v>3422</v>
      </c>
      <c r="D351" s="350"/>
      <c r="E351" s="351"/>
    </row>
    <row r="352" spans="1:5" ht="20.399999999999999">
      <c r="A352" s="4" t="s">
        <v>2292</v>
      </c>
      <c r="B352" s="5" t="str">
        <f>HYPERLINK("https://constructor.brusnika.ru/object-module/principled-decisions/project-solution-groups/6f3ef02e-1dc2-46f5-bc5a-7c9d1252b45a/3455?version=2", "Система отопления однозонная Жилая часть")</f>
        <v>Система отопления однозонная Жилая часть</v>
      </c>
      <c r="C352" s="356" t="s">
        <v>3423</v>
      </c>
      <c r="D352" s="350"/>
      <c r="E352" s="351"/>
    </row>
    <row r="353" spans="1:5" ht="20.399999999999999">
      <c r="A353" s="4" t="s">
        <v>2295</v>
      </c>
      <c r="B353" s="5" t="str">
        <f>HYPERLINK("https://constructor.brusnika.ru/object-module/principled-decisions/project-solution-groups/6f3ef02e-1dc2-46f5-bc5a-7c9d1252b45a/3457?version=2", "Система отопления двухзонная Жилая часть")</f>
        <v>Система отопления двухзонная Жилая часть</v>
      </c>
      <c r="C353" s="356" t="s">
        <v>3424</v>
      </c>
      <c r="D353" s="350"/>
      <c r="E353" s="351"/>
    </row>
    <row r="354" spans="1:5" ht="13.2">
      <c r="A354" s="4" t="s">
        <v>2298</v>
      </c>
      <c r="B354" s="5" t="str">
        <f>HYPERLINK("https://constructor.brusnika.ru/object-module/principled-decisions/project-solution-groups/6f3ef02e-1dc2-46f5-bc5a-7c9d1252b45a/3458?version=3", "Система отопления МОП")</f>
        <v>Система отопления МОП</v>
      </c>
      <c r="C354" s="356" t="s">
        <v>3425</v>
      </c>
      <c r="D354" s="350"/>
      <c r="E354" s="351"/>
    </row>
    <row r="355" spans="1:5" ht="20.399999999999999">
      <c r="A355" s="4" t="s">
        <v>2301</v>
      </c>
      <c r="B355" s="5" t="str">
        <f>HYPERLINK("https://constructor.brusnika.ru/object-module/principled-decisions/project-solution-groups/6f3ef02e-1dc2-46f5-bc5a-7c9d1252b45a/3459?version=2", "Система отопления Коммерческие помещения")</f>
        <v>Система отопления Коммерческие помещения</v>
      </c>
      <c r="C355" s="356" t="s">
        <v>3426</v>
      </c>
      <c r="D355" s="350"/>
      <c r="E355" s="351"/>
    </row>
    <row r="356" spans="1:5" ht="20.399999999999999">
      <c r="A356" s="4" t="s">
        <v>2951</v>
      </c>
      <c r="B356" s="5" t="str">
        <f>HYPERLINK("https://constructor.brusnika.ru/object-module/principled-decisions/project-solution-groups/6f3ef02e-1dc2-46f5-bc5a-7c9d1252b45a/3460?version=2", "Система отопления Технические помещения")</f>
        <v>Система отопления Технические помещения</v>
      </c>
      <c r="C356" s="353" t="s">
        <v>3427</v>
      </c>
      <c r="D356" s="350"/>
      <c r="E356" s="351"/>
    </row>
    <row r="357" spans="1:5" ht="13.2">
      <c r="A357" s="4" t="s">
        <v>2304</v>
      </c>
      <c r="B357" s="8" t="s">
        <v>3428</v>
      </c>
      <c r="C357" s="353" t="s">
        <v>3429</v>
      </c>
      <c r="D357" s="350"/>
      <c r="E357" s="351"/>
    </row>
    <row r="358" spans="1:5" ht="20.399999999999999">
      <c r="A358" s="4" t="s">
        <v>2307</v>
      </c>
      <c r="B358" s="5" t="str">
        <f>HYPERLINK("https://constructor.brusnika.ru/object-module/principled-decisions/project-solution-groups/369aaf7d-bb18-4027-99e3-d7829581f9a7/3440?version=2", "Магистраль системы отопления однозонной Жилая часть")</f>
        <v>Магистраль системы отопления однозонной Жилая часть</v>
      </c>
      <c r="C358" s="353" t="s">
        <v>3430</v>
      </c>
      <c r="D358" s="350"/>
      <c r="E358" s="351"/>
    </row>
    <row r="359" spans="1:5" ht="20.399999999999999">
      <c r="A359" s="4" t="s">
        <v>2310</v>
      </c>
      <c r="B359" s="5" t="str">
        <f>HYPERLINK("https://constructor.brusnika.ru/object-module/principled-decisions/project-solution-groups/369aaf7d-bb18-4027-99e3-d7829581f9a7/3451?version=2", "Магистраль системы отопления двухзонной Жилая часть")</f>
        <v>Магистраль системы отопления двухзонной Жилая часть</v>
      </c>
      <c r="C359" s="353" t="s">
        <v>3431</v>
      </c>
      <c r="D359" s="350"/>
      <c r="E359" s="351"/>
    </row>
    <row r="360" spans="1:5" ht="20.399999999999999">
      <c r="A360" s="4" t="s">
        <v>2313</v>
      </c>
      <c r="B360" s="5" t="str">
        <f>HYPERLINK("https://constructor.brusnika.ru/object-module/principled-decisions/project-solution-groups/369aaf7d-bb18-4027-99e3-d7829581f9a7/3456?version=2", "Магистраль системы отопления Коммерческие помещения")</f>
        <v>Магистраль системы отопления Коммерческие помещения</v>
      </c>
      <c r="C360" s="353" t="s">
        <v>3432</v>
      </c>
      <c r="D360" s="350"/>
      <c r="E360" s="351"/>
    </row>
    <row r="361" spans="1:5" ht="30.6">
      <c r="A361" s="4" t="s">
        <v>3433</v>
      </c>
      <c r="B361" s="5" t="str">
        <f>HYPERLINK("https://constructor.brusnika.ru/object-module/principled-decisions/project-solution-groups/0846c3c7-1398-46de-a44e-d2ca867ec834/3462?version=2", "Стояки системы отопления однозонной Жилая часть до 28 метров")</f>
        <v>Стояки системы отопления однозонной Жилая часть до 28 метров</v>
      </c>
      <c r="C361" s="353" t="s">
        <v>3434</v>
      </c>
      <c r="D361" s="350"/>
      <c r="E361" s="351"/>
    </row>
    <row r="362" spans="1:5" ht="30.6">
      <c r="A362" s="4" t="s">
        <v>3435</v>
      </c>
      <c r="B362" s="5" t="str">
        <f>HYPERLINK("https://constructor.brusnika.ru/object-module/principled-decisions/project-solution-groups/0846c3c7-1398-46de-a44e-d2ca867ec834/3463?version=2", "Стояки системы отопления однозонной Жилая часть от 28 до 50 метров")</f>
        <v>Стояки системы отопления однозонной Жилая часть от 28 до 50 метров</v>
      </c>
      <c r="C362" s="353" t="s">
        <v>3436</v>
      </c>
      <c r="D362" s="350"/>
      <c r="E362" s="351"/>
    </row>
    <row r="363" spans="1:5" ht="30.6">
      <c r="A363" s="4" t="s">
        <v>3437</v>
      </c>
      <c r="B363" s="5" t="str">
        <f>HYPERLINK("https://constructor.brusnika.ru/object-module/principled-decisions/project-solution-groups/0846c3c7-1398-46de-a44e-d2ca867ec834/3464?version=3", "Стояки системы отопления двухзонной Жилая часть от 50 до 75 метров")</f>
        <v>Стояки системы отопления двухзонной Жилая часть от 50 до 75 метров</v>
      </c>
      <c r="C363" s="353" t="s">
        <v>3438</v>
      </c>
      <c r="D363" s="350"/>
      <c r="E363" s="351"/>
    </row>
    <row r="364" spans="1:5" ht="20.399999999999999">
      <c r="A364" s="4" t="s">
        <v>3439</v>
      </c>
      <c r="B364" s="217" t="s">
        <v>3440</v>
      </c>
      <c r="C364" s="355" t="s">
        <v>3441</v>
      </c>
      <c r="D364" s="350"/>
      <c r="E364" s="351"/>
    </row>
    <row r="365" spans="1:5" ht="20.399999999999999">
      <c r="A365" s="4" t="s">
        <v>3442</v>
      </c>
      <c r="B365" s="5" t="str">
        <f>HYPERLINK("https://constructor.brusnika.ru/object-module/principled-decisions/project-solution-groups/0846c3c7-1398-46de-a44e-d2ca867ec834/3467?version=2", "Стояки системы отопления Коммерческие помещения")</f>
        <v>Стояки системы отопления Коммерческие помещения</v>
      </c>
      <c r="C365" s="353" t="s">
        <v>3443</v>
      </c>
      <c r="D365" s="350"/>
      <c r="E365" s="351"/>
    </row>
    <row r="366" spans="1:5" ht="20.399999999999999">
      <c r="A366" s="4" t="s">
        <v>3444</v>
      </c>
      <c r="B366" s="5" t="str">
        <f>HYPERLINK("https://constructor.brusnika.ru/object-module/principled-decisions/project-solution-groups/63abca01-9373-46e2-a824-97f1dbfb91ff/3468?version=3", "Состав и расположение коллектора отопления")</f>
        <v>Состав и расположение коллектора отопления</v>
      </c>
      <c r="C366" s="353" t="s">
        <v>3445</v>
      </c>
      <c r="D366" s="350"/>
      <c r="E366" s="351"/>
    </row>
    <row r="367" spans="1:5" ht="20.399999999999999">
      <c r="A367" s="4" t="s">
        <v>3446</v>
      </c>
      <c r="B367" s="5" t="str">
        <f>HYPERLINK("https://constructor.brusnika.ru/object-module/principled-decisions/project-solution-groups/8bda8fc3-8a72-4cc5-8349-af8c777b2e7f/3469?version=2", "Узел учета отопления индивидуальный")</f>
        <v>Узел учета отопления индивидуальный</v>
      </c>
      <c r="C367" s="353" t="s">
        <v>3447</v>
      </c>
      <c r="D367" s="350"/>
      <c r="E367" s="351"/>
    </row>
    <row r="368" spans="1:5" ht="20.399999999999999">
      <c r="A368" s="4" t="s">
        <v>3448</v>
      </c>
      <c r="B368" s="5" t="str">
        <f>HYPERLINK("https://constructor.brusnika.ru/object-module/principled-decisions/project-solution-groups/8bda8fc3-8a72-4cc5-8349-af8c777b2e7f/3470?version=2", "Узел учета теплоснабжения индивидуальный")</f>
        <v>Узел учета теплоснабжения индивидуальный</v>
      </c>
      <c r="C368" s="353" t="s">
        <v>3449</v>
      </c>
      <c r="D368" s="350"/>
      <c r="E368" s="351"/>
    </row>
    <row r="369" spans="1:5" ht="20.399999999999999">
      <c r="A369" s="4" t="s">
        <v>3450</v>
      </c>
      <c r="B369" s="5" t="str">
        <f>HYPERLINK("https://constructor.brusnika.ru/object-module/principled-decisions/project-solution-groups/3cd7709b-82a5-4932-ad4c-2cdd64438861/3472?version=2", "Разводка системы отопления Жилая часть")</f>
        <v>Разводка системы отопления Жилая часть</v>
      </c>
      <c r="C369" s="353" t="s">
        <v>3451</v>
      </c>
      <c r="D369" s="350"/>
      <c r="E369" s="351"/>
    </row>
    <row r="370" spans="1:5" ht="13.2">
      <c r="A370" s="4" t="s">
        <v>3452</v>
      </c>
      <c r="B370" s="5" t="str">
        <f>HYPERLINK("https://constructor.brusnika.ru/object-module/principled-decisions/project-solution-groups/3cd7709b-82a5-4932-ad4c-2cdd64438861/3473?version=2", "Разводка системы отопления МОП")</f>
        <v>Разводка системы отопления МОП</v>
      </c>
      <c r="C370" s="353" t="s">
        <v>3453</v>
      </c>
      <c r="D370" s="350"/>
      <c r="E370" s="351"/>
    </row>
    <row r="371" spans="1:5" ht="20.399999999999999">
      <c r="A371" s="4" t="s">
        <v>3454</v>
      </c>
      <c r="B371" s="5" t="str">
        <f>HYPERLINK("https://constructor.brusnika.ru/object-module/principled-decisions/project-solution-groups/c17e9a89-d59c-40fd-8e70-5e7ed7d33260/3474?version=3", "Радиатор отопления
Жилая часть")</f>
        <v>Радиатор отопления
Жилая часть</v>
      </c>
      <c r="C371" s="353" t="s">
        <v>3455</v>
      </c>
      <c r="D371" s="350"/>
      <c r="E371" s="351"/>
    </row>
    <row r="372" spans="1:5" ht="20.399999999999999">
      <c r="A372" s="4" t="s">
        <v>3456</v>
      </c>
      <c r="B372" s="5" t="str">
        <f>HYPERLINK("https://constructor.brusnika.ru/object-module/principled-decisions/project-solution-groups/c17e9a89-d59c-40fd-8e70-5e7ed7d33260/3475?version=1", "Радиатор отопления
МОП")</f>
        <v>Радиатор отопления
МОП</v>
      </c>
      <c r="C372" s="353" t="s">
        <v>3457</v>
      </c>
      <c r="D372" s="350"/>
      <c r="E372" s="351"/>
    </row>
    <row r="373" spans="1:5" ht="20.399999999999999">
      <c r="A373" s="4" t="s">
        <v>3458</v>
      </c>
      <c r="B373" s="5" t="str">
        <f>HYPERLINK("https://constructor.brusnika.ru/object-module/principled-decisions/project-solution-groups/c17e9a89-d59c-40fd-8e70-5e7ed7d33260/3477?version=2", "Радиатор отопления
Коммерческая часть")</f>
        <v>Радиатор отопления
Коммерческая часть</v>
      </c>
      <c r="C373" s="353" t="s">
        <v>3459</v>
      </c>
      <c r="D373" s="350"/>
      <c r="E373" s="351"/>
    </row>
    <row r="374" spans="1:5" ht="13.2">
      <c r="A374" s="354" t="s">
        <v>3460</v>
      </c>
      <c r="B374" s="350"/>
      <c r="C374" s="350"/>
      <c r="D374" s="350"/>
      <c r="E374" s="351"/>
    </row>
    <row r="375" spans="1:5" ht="20.399999999999999">
      <c r="A375" s="4" t="s">
        <v>2318</v>
      </c>
      <c r="B375" s="5" t="str">
        <f>HYPERLINK("https://constructor.brusnika.ru/object-module/principled-decisions/project-solution-groups/9306a28e-d785-4f4f-89bd-a78dde0f0c2f/3479?version=2", "Общеобменная вентиляция до 28 метров Жилая часть Регионы")</f>
        <v>Общеобменная вентиляция до 28 метров Жилая часть Регионы</v>
      </c>
      <c r="C375" s="353" t="s">
        <v>3461</v>
      </c>
      <c r="D375" s="350"/>
      <c r="E375" s="351"/>
    </row>
    <row r="376" spans="1:5" ht="20.399999999999999">
      <c r="A376" s="4" t="s">
        <v>3462</v>
      </c>
      <c r="B376" s="5" t="str">
        <f>HYPERLINK("https://constructor.brusnika.ru/object-module/principled-decisions/project-solution-groups/9306a28e-d785-4f4f-89bd-a78dde0f0c2f/3481?version=2", "Общеобменная вентиляция от 28 до 50 метров Жилая часть Регионы")</f>
        <v>Общеобменная вентиляция от 28 до 50 метров Жилая часть Регионы</v>
      </c>
      <c r="C376" s="353" t="s">
        <v>3463</v>
      </c>
      <c r="D376" s="350"/>
      <c r="E376" s="351"/>
    </row>
    <row r="377" spans="1:5" ht="30.6">
      <c r="A377" s="4" t="s">
        <v>3464</v>
      </c>
      <c r="B377" s="5" t="str">
        <f>HYPERLINK("https://constructor.brusnika.ru/object-module/principled-decisions/project-solution-groups/9306a28e-d785-4f4f-89bd-a78dde0f0c2f/3483?version=2", "Общеобменная вентиляция от 50 до 100 метров Жилая часть Регионы")</f>
        <v>Общеобменная вентиляция от 50 до 100 метров Жилая часть Регионы</v>
      </c>
      <c r="C377" s="353" t="s">
        <v>3465</v>
      </c>
      <c r="D377" s="350"/>
      <c r="E377" s="351"/>
    </row>
    <row r="378" spans="1:5" ht="20.399999999999999">
      <c r="A378" s="4" t="s">
        <v>3466</v>
      </c>
      <c r="B378" s="5" t="str">
        <f>HYPERLINK("https://constructor.brusnika.ru/object-module/principled-decisions/project-solution-groups/9306a28e-d785-4f4f-89bd-a78dde0f0c2f/3488?version=2", "Общеобменная вентиляция МОП при лестничной клетке типа Л1")</f>
        <v>Общеобменная вентиляция МОП при лестничной клетке типа Л1</v>
      </c>
      <c r="C378" s="353" t="s">
        <v>3467</v>
      </c>
      <c r="D378" s="350"/>
      <c r="E378" s="351"/>
    </row>
    <row r="379" spans="1:5" ht="30.6">
      <c r="A379" s="4" t="s">
        <v>3468</v>
      </c>
      <c r="B379" s="5" t="str">
        <f>HYPERLINK("https://constructor.brusnika.ru/object-module/principled-decisions/project-solution-groups/9306a28e-d785-4f4f-89bd-a78dde0f0c2f/3489?version=2", "Общеобменная вентиляция МОП при лестничной клетке тип Н3 или H2+Н3")</f>
        <v>Общеобменная вентиляция МОП при лестничной клетке тип Н3 или H2+Н3</v>
      </c>
      <c r="C379" s="353" t="s">
        <v>3469</v>
      </c>
      <c r="D379" s="350"/>
      <c r="E379" s="351"/>
    </row>
    <row r="380" spans="1:5" ht="20.399999999999999">
      <c r="A380" s="4" t="s">
        <v>3470</v>
      </c>
      <c r="B380" s="5" t="str">
        <f>HYPERLINK("https://constructor.brusnika.ru/object-module/principled-decisions/project-solution-groups/9306a28e-d785-4f4f-89bd-a78dde0f0c2f/3490?version=1", "Общеобменная вентиляция Коммерческие помещения")</f>
        <v>Общеобменная вентиляция Коммерческие помещения</v>
      </c>
      <c r="C380" s="353" t="s">
        <v>3471</v>
      </c>
      <c r="D380" s="350"/>
      <c r="E380" s="351"/>
    </row>
    <row r="381" spans="1:5" ht="20.399999999999999">
      <c r="A381" s="4" t="s">
        <v>3472</v>
      </c>
      <c r="B381" s="5" t="str">
        <f>HYPERLINK("https://constructor.brusnika.ru/object-module/principled-decisions/project-solution-groups/9306a28e-d785-4f4f-89bd-a78dde0f0c2f/3491?version=1", "Общеобменная вентиляция Технические помещения")</f>
        <v>Общеобменная вентиляция Технические помещения</v>
      </c>
      <c r="C381" s="353" t="s">
        <v>3473</v>
      </c>
      <c r="D381" s="350"/>
      <c r="E381" s="351"/>
    </row>
    <row r="382" spans="1:5" ht="20.399999999999999">
      <c r="A382" s="4" t="s">
        <v>3474</v>
      </c>
      <c r="B382" s="8" t="s">
        <v>3475</v>
      </c>
      <c r="C382" s="353" t="s">
        <v>3476</v>
      </c>
      <c r="D382" s="350"/>
      <c r="E382" s="351"/>
    </row>
    <row r="383" spans="1:5" ht="20.399999999999999">
      <c r="A383" s="4" t="s">
        <v>3477</v>
      </c>
      <c r="B383" s="5" t="str">
        <f>HYPERLINK("https://constructor.brusnika.ru/object-module/principled-decisions/project-solution-groups/25faccbc-8860-45ec-99c7-94bea5d40926/3493?version=2", "Оборудование общеобменная вентиляция МОП")</f>
        <v>Оборудование общеобменная вентиляция МОП</v>
      </c>
      <c r="C383" s="353" t="s">
        <v>3478</v>
      </c>
      <c r="D383" s="350"/>
      <c r="E383" s="351"/>
    </row>
    <row r="384" spans="1:5" ht="20.399999999999999">
      <c r="A384" s="4" t="s">
        <v>3479</v>
      </c>
      <c r="B384" s="8" t="s">
        <v>3480</v>
      </c>
      <c r="C384" s="353" t="s">
        <v>3481</v>
      </c>
      <c r="D384" s="350"/>
      <c r="E384" s="351"/>
    </row>
    <row r="385" spans="1:5" ht="30.6">
      <c r="A385" s="4" t="s">
        <v>3482</v>
      </c>
      <c r="B385" s="5" t="str">
        <f>HYPERLINK("https://constructor.brusnika.ru/object-module/principled-decisions/project-solution-groups/12f7f874-4a88-4851-8028-face18965a06/3495?version=2", "Принципиальная схема стояков общеобменной вентиляции до 28 метров Жилая часть")</f>
        <v>Принципиальная схема стояков общеобменной вентиляции до 28 метров Жилая часть</v>
      </c>
      <c r="C385" s="353" t="s">
        <v>3483</v>
      </c>
      <c r="D385" s="350"/>
      <c r="E385" s="351"/>
    </row>
    <row r="386" spans="1:5" ht="30.6">
      <c r="A386" s="4" t="s">
        <v>3484</v>
      </c>
      <c r="B386" s="5" t="str">
        <f>HYPERLINK("https://constructor.brusnika.ru/object-module/principled-decisions/project-solution-groups/12f7f874-4a88-4851-8028-face18965a06/3496?version=3", "Принципиальная схема стояков общеобменной вентиляции от 28 до 50 метров Жилая часть")</f>
        <v>Принципиальная схема стояков общеобменной вентиляции от 28 до 50 метров Жилая часть</v>
      </c>
      <c r="C386" s="353" t="s">
        <v>3485</v>
      </c>
      <c r="D386" s="350"/>
      <c r="E386" s="351"/>
    </row>
    <row r="387" spans="1:5" ht="30.6">
      <c r="A387" s="4" t="s">
        <v>3486</v>
      </c>
      <c r="B387" s="5" t="str">
        <f>HYPERLINK("https://constructor.brusnika.ru/object-module/principled-decisions/project-solution-groups/12f7f874-4a88-4851-8028-face18965a06/3498?version=3", "Принципиальная схема стояков общеобменной вентиляции от 50 до 100 метров Жилая часть")</f>
        <v>Принципиальная схема стояков общеобменной вентиляции от 50 до 100 метров Жилая часть</v>
      </c>
      <c r="C387" s="353" t="s">
        <v>3487</v>
      </c>
      <c r="D387" s="350"/>
      <c r="E387" s="351"/>
    </row>
    <row r="388" spans="1:5" ht="20.399999999999999">
      <c r="A388" s="4" t="s">
        <v>3488</v>
      </c>
      <c r="B388" s="217" t="s">
        <v>3489</v>
      </c>
      <c r="C388" s="355" t="s">
        <v>3490</v>
      </c>
      <c r="D388" s="350"/>
      <c r="E388" s="351"/>
    </row>
    <row r="389" spans="1:5" ht="20.399999999999999">
      <c r="A389" s="4" t="s">
        <v>3491</v>
      </c>
      <c r="B389" s="5" t="str">
        <f>HYPERLINK("https://constructor.brusnika.ru/object-module/principled-decisions/project-solution-groups/12f7f874-4a88-4851-8028-face18965a06/3502?version=1", "Принципиальная схема стояков механической вентиляции МОП")</f>
        <v>Принципиальная схема стояков механической вентиляции МОП</v>
      </c>
      <c r="C389" s="353" t="s">
        <v>3492</v>
      </c>
      <c r="D389" s="350"/>
      <c r="E389" s="351"/>
    </row>
    <row r="390" spans="1:5" ht="30.6">
      <c r="A390" s="4" t="s">
        <v>3493</v>
      </c>
      <c r="B390" s="5" t="str">
        <f>HYPERLINK("https://constructor.brusnika.ru/object-module/principled-decisions/project-solution-groups/12f7f874-4a88-4851-8028-face18965a06/3503?version=2", "Принципиальная схема стояков вентиляции Коммерческих помещений")</f>
        <v>Принципиальная схема стояков вентиляции Коммерческих помещений</v>
      </c>
      <c r="C390" s="353" t="s">
        <v>3494</v>
      </c>
      <c r="D390" s="350"/>
      <c r="E390" s="351"/>
    </row>
    <row r="391" spans="1:5" ht="30.6">
      <c r="A391" s="4" t="s">
        <v>3495</v>
      </c>
      <c r="B391" s="5" t="str">
        <f>HYPERLINK("https://constructor.brusnika.ru/object-module/principled-decisions/project-solution-groups/12f7f874-4a88-4851-8028-face18965a06/3504?version=1", "Принципиальная схема стояков вентиляции Технические помещения")</f>
        <v>Принципиальная схема стояков вентиляции Технические помещения</v>
      </c>
      <c r="C391" s="353" t="s">
        <v>3494</v>
      </c>
      <c r="D391" s="350"/>
      <c r="E391" s="351"/>
    </row>
    <row r="392" spans="1:5" ht="20.399999999999999">
      <c r="A392" s="4" t="s">
        <v>3496</v>
      </c>
      <c r="B392" s="8" t="s">
        <v>3497</v>
      </c>
      <c r="C392" s="353" t="s">
        <v>3498</v>
      </c>
      <c r="D392" s="350"/>
      <c r="E392" s="351"/>
    </row>
    <row r="393" spans="1:5" ht="20.399999999999999">
      <c r="A393" s="4" t="s">
        <v>3499</v>
      </c>
      <c r="B393" s="5" t="str">
        <f>HYPERLINK("https://constructor.brusnika.ru/object-module/principled-decisions/project-solution-groups/80b48a2e-901b-4580-8cba-704f14d9b278/3506?version=1", "Вентиляционные решетки общеобменной вентиляции")</f>
        <v>Вентиляционные решетки общеобменной вентиляции</v>
      </c>
      <c r="C393" s="353" t="s">
        <v>3500</v>
      </c>
      <c r="D393" s="350"/>
      <c r="E393" s="351"/>
    </row>
    <row r="394" spans="1:5" ht="13.2">
      <c r="A394" s="4" t="s">
        <v>3501</v>
      </c>
      <c r="B394" s="8" t="s">
        <v>3502</v>
      </c>
      <c r="C394" s="353" t="s">
        <v>3503</v>
      </c>
      <c r="D394" s="350"/>
      <c r="E394" s="351"/>
    </row>
    <row r="395" spans="1:5" ht="20.399999999999999">
      <c r="A395" s="4" t="s">
        <v>3504</v>
      </c>
      <c r="B395" s="5" t="str">
        <f>HYPERLINK("https://constructor.brusnika.ru/object-module/principled-decisions/project-solution-groups/80b48a2e-901b-4580-8cba-704f14d9b278/3507?version=1", "Клапаны вентиляционные общеобменной вентиляции")</f>
        <v>Клапаны вентиляционные общеобменной вентиляции</v>
      </c>
      <c r="C395" s="353" t="s">
        <v>3505</v>
      </c>
      <c r="D395" s="350"/>
      <c r="E395" s="351"/>
    </row>
    <row r="396" spans="1:5" ht="13.2">
      <c r="A396" s="4" t="s">
        <v>3506</v>
      </c>
      <c r="B396" s="5" t="str">
        <f>HYPERLINK("https://constructor.brusnika.ru/object-module/principled-decisions/project-solution-groups/80b48a2e-901b-4580-8cba-704f14d9b278/3508?version=1", "Клапан приточный угловой")</f>
        <v>Клапан приточный угловой</v>
      </c>
      <c r="C396" s="353" t="s">
        <v>3507</v>
      </c>
      <c r="D396" s="350"/>
      <c r="E396" s="351"/>
    </row>
    <row r="397" spans="1:5" ht="13.2">
      <c r="A397" s="4" t="s">
        <v>3508</v>
      </c>
      <c r="B397" s="5" t="str">
        <f>HYPERLINK("https://constructor.brusnika.ru/object-module/principled-decisions/project-solution-groups/80b48a2e-901b-4580-8cba-704f14d9b278/3509?version=1", "Канальный бытовой вентилятор")</f>
        <v>Канальный бытовой вентилятор</v>
      </c>
      <c r="C397" s="353" t="s">
        <v>3509</v>
      </c>
      <c r="D397" s="350"/>
      <c r="E397" s="351"/>
    </row>
    <row r="398" spans="1:5" ht="13.2">
      <c r="A398" s="354" t="s">
        <v>3510</v>
      </c>
      <c r="B398" s="350"/>
      <c r="C398" s="350"/>
      <c r="D398" s="350"/>
      <c r="E398" s="351"/>
    </row>
    <row r="399" spans="1:5" ht="13.2">
      <c r="A399" s="4" t="s">
        <v>2323</v>
      </c>
      <c r="B399" s="5" t="str">
        <f>HYPERLINK("https://constructor.brusnika.ru/object-module/principled-decisions/project-solution-groups/31a3cf4c-9e42-4832-860e-92fe2bc996ef/3510?version=2", "Противодымная вентиляция МОП")</f>
        <v>Противодымная вентиляция МОП</v>
      </c>
      <c r="C399" s="353" t="s">
        <v>3511</v>
      </c>
      <c r="D399" s="350"/>
      <c r="E399" s="351"/>
    </row>
    <row r="400" spans="1:5" ht="20.399999999999999">
      <c r="A400" s="4" t="s">
        <v>2327</v>
      </c>
      <c r="B400" s="8" t="s">
        <v>3512</v>
      </c>
      <c r="C400" s="353" t="s">
        <v>3513</v>
      </c>
      <c r="D400" s="350"/>
      <c r="E400" s="351"/>
    </row>
    <row r="401" spans="1:5" ht="20.399999999999999">
      <c r="A401" s="4" t="s">
        <v>3514</v>
      </c>
      <c r="B401" s="5" t="str">
        <f>HYPERLINK("https://constructor.brusnika.ru/object-module/principled-decisions/project-solution-groups/f2adb0cf-f737-46cf-9e08-5e41e168d36e/3512?version=1", "Оборудование вентиляции (вентиляторы)")</f>
        <v>Оборудование вентиляции (вентиляторы)</v>
      </c>
      <c r="C401" s="353" t="s">
        <v>3515</v>
      </c>
      <c r="D401" s="350"/>
      <c r="E401" s="351"/>
    </row>
    <row r="402" spans="1:5" ht="30.6">
      <c r="A402" s="4" t="s">
        <v>3516</v>
      </c>
      <c r="B402" s="8" t="s">
        <v>3517</v>
      </c>
      <c r="C402" s="353" t="s">
        <v>3518</v>
      </c>
      <c r="D402" s="350"/>
      <c r="E402" s="351"/>
    </row>
    <row r="403" spans="1:5" ht="20.399999999999999">
      <c r="A403" s="4" t="s">
        <v>3519</v>
      </c>
      <c r="B403" s="5" t="str">
        <f>HYPERLINK("https://constructor.brusnika.ru/object-module/principled-decisions/project-solution-groups/1ca4dbb0-0929-4a91-878c-2e1d806f1efc/3514?version=1", "Принципиальная схема стояков противодымной вентиляции МОП")</f>
        <v>Принципиальная схема стояков противодымной вентиляции МОП</v>
      </c>
      <c r="C403" s="353" t="s">
        <v>3520</v>
      </c>
      <c r="D403" s="350"/>
      <c r="E403" s="351"/>
    </row>
    <row r="404" spans="1:5" ht="30.6">
      <c r="A404" s="4" t="s">
        <v>3521</v>
      </c>
      <c r="B404" s="8" t="s">
        <v>3522</v>
      </c>
      <c r="C404" s="353" t="s">
        <v>3523</v>
      </c>
      <c r="D404" s="350"/>
      <c r="E404" s="351"/>
    </row>
    <row r="405" spans="1:5" ht="20.399999999999999">
      <c r="A405" s="4" t="s">
        <v>3524</v>
      </c>
      <c r="B405" s="5" t="str">
        <f>HYPERLINK("https://constructor.brusnika.ru/object-module/principled-decisions/project-solution-groups/22d25835-0134-4d0c-b263-a3b350979036/3517?version=1", "Воздухораспределители (вентиляционные решетки)")</f>
        <v>Воздухораспределители (вентиляционные решетки)</v>
      </c>
      <c r="C405" s="353" t="s">
        <v>3525</v>
      </c>
      <c r="D405" s="350"/>
      <c r="E405" s="351"/>
    </row>
    <row r="406" spans="1:5" ht="30.6">
      <c r="A406" s="4" t="s">
        <v>3526</v>
      </c>
      <c r="B406" s="5" t="str">
        <f>HYPERLINK("https://constructor.brusnika.ru/object-module/principled-decisions/project-solution-groups/22d25835-0134-4d0c-b263-a3b350979036/3518?version=1", "Воздухораспределители (вентиляционные решетки) Паркинга")</f>
        <v>Воздухораспределители (вентиляционные решетки) Паркинга</v>
      </c>
      <c r="C406" s="353" t="s">
        <v>2237</v>
      </c>
      <c r="D406" s="350"/>
      <c r="E406" s="351"/>
    </row>
    <row r="407" spans="1:5" ht="20.399999999999999">
      <c r="A407" s="4" t="s">
        <v>3527</v>
      </c>
      <c r="B407" s="5" t="str">
        <f>HYPERLINK("https://constructor.brusnika.ru/object-module/principled-decisions/project-solution-groups/22d25835-0134-4d0c-b263-a3b350979036/3519?version=1", "Клапаны вентиляционные противодымной вентиляции")</f>
        <v>Клапаны вентиляционные противодымной вентиляции</v>
      </c>
      <c r="C407" s="353" t="s">
        <v>3528</v>
      </c>
      <c r="D407" s="350"/>
      <c r="E407" s="351"/>
    </row>
    <row r="408" spans="1:5" ht="13.2">
      <c r="A408" s="354" t="s">
        <v>445</v>
      </c>
      <c r="B408" s="350"/>
      <c r="C408" s="350"/>
      <c r="D408" s="350"/>
      <c r="E408" s="351"/>
    </row>
    <row r="409" spans="1:5" ht="13.2">
      <c r="A409" s="4" t="s">
        <v>446</v>
      </c>
      <c r="B409" s="5" t="str">
        <f>HYPERLINK("https://constructor.brusnika.ru/object-module/principled-decisions/project-solution-groups/ce2889d1-fa63-4bb3-906a-e7c283bb96f5/3520?version=2", "Кондиционирования Жилая часть")</f>
        <v>Кондиционирования Жилая часть</v>
      </c>
      <c r="C409" s="353" t="s">
        <v>447</v>
      </c>
      <c r="D409" s="350"/>
      <c r="E409" s="351"/>
    </row>
    <row r="410" spans="1:5" ht="20.399999999999999">
      <c r="A410" s="4" t="s">
        <v>448</v>
      </c>
      <c r="B410" s="5" t="str">
        <f>HYPERLINK("https://constructor.brusnika.ru/object-module/principled-decisions/project-solution-groups/ce2889d1-fa63-4bb3-906a-e7c283bb96f5/3521?version=3", "Кондиционирование Коммерческие помещения")</f>
        <v>Кондиционирование Коммерческие помещения</v>
      </c>
      <c r="C410" s="356" t="s">
        <v>3529</v>
      </c>
      <c r="D410" s="350"/>
      <c r="E410" s="351"/>
    </row>
    <row r="411" spans="1:5" ht="13.2">
      <c r="A411" s="354" t="s">
        <v>3530</v>
      </c>
      <c r="B411" s="350"/>
      <c r="C411" s="350"/>
      <c r="D411" s="350"/>
      <c r="E411" s="351"/>
    </row>
    <row r="412" spans="1:5" ht="13.2">
      <c r="A412" s="4" t="s">
        <v>2336</v>
      </c>
      <c r="B412" s="5" t="str">
        <f>HYPERLINK("https://constructor.brusnika.ru/object-module/principled-decisions/project-solution-groups/ceb03ad1-602b-4479-bf24-71b470dc023f/3430?version=2", "Принципиальная схема ИТП")</f>
        <v>Принципиальная схема ИТП</v>
      </c>
      <c r="C412" s="353" t="s">
        <v>3531</v>
      </c>
      <c r="D412" s="350"/>
      <c r="E412" s="351"/>
    </row>
    <row r="413" spans="1:5" ht="13.2">
      <c r="A413" s="4" t="s">
        <v>3532</v>
      </c>
      <c r="B413" s="5" t="str">
        <f>HYPERLINK("https://constructor.brusnika.ru/object-module/principled-decisions/project-solution-groups/ceb03ad1-602b-4479-bf24-71b470dc023f/3522?version=1", "Оборудование ИТП")</f>
        <v>Оборудование ИТП</v>
      </c>
      <c r="C413" s="353" t="s">
        <v>3533</v>
      </c>
      <c r="D413" s="350"/>
      <c r="E413" s="351"/>
    </row>
    <row r="414" spans="1:5" ht="20.399999999999999">
      <c r="A414" s="4" t="s">
        <v>3534</v>
      </c>
      <c r="B414" s="5" t="str">
        <f>HYPERLINK("https://constructor.brusnika.ru/object-module/principled-decisions/project-solution-groups/ceb03ad1-602b-4479-bf24-71b470dc023f/3523?version=1", "Обвязка ИТП (трубопроводы и изоляция)")</f>
        <v>Обвязка ИТП (трубопроводы и изоляция)</v>
      </c>
      <c r="C414" s="353" t="s">
        <v>3535</v>
      </c>
      <c r="D414" s="350"/>
      <c r="E414" s="351"/>
    </row>
    <row r="415" spans="1:5" ht="13.2">
      <c r="A415" s="354" t="s">
        <v>3536</v>
      </c>
      <c r="B415" s="350"/>
      <c r="C415" s="350"/>
      <c r="D415" s="350"/>
      <c r="E415" s="351"/>
    </row>
    <row r="416" spans="1:5" ht="13.2">
      <c r="A416" s="4" t="s">
        <v>2341</v>
      </c>
      <c r="B416" s="5" t="str">
        <f>HYPERLINK("https://constructor.brusnika.ru/object-module/principled-decisions/project-solution-groups/bd664aa6-f630-43de-8cdf-beafc3427450/3524?version=1", "Принципиальная схема УКУТ")</f>
        <v>Принципиальная схема УКУТ</v>
      </c>
      <c r="C416" s="353" t="s">
        <v>3537</v>
      </c>
      <c r="D416" s="350"/>
      <c r="E416" s="351"/>
    </row>
    <row r="417" spans="1:5" ht="13.2">
      <c r="A417" s="354" t="s">
        <v>3538</v>
      </c>
      <c r="B417" s="350"/>
      <c r="C417" s="350"/>
      <c r="D417" s="350"/>
      <c r="E417" s="351"/>
    </row>
    <row r="418" spans="1:5" ht="13.2">
      <c r="A418" s="354" t="s">
        <v>3539</v>
      </c>
      <c r="B418" s="350"/>
      <c r="C418" s="350"/>
      <c r="D418" s="350"/>
      <c r="E418" s="351"/>
    </row>
    <row r="419" spans="1:5" ht="20.399999999999999">
      <c r="A419" s="4" t="s">
        <v>2352</v>
      </c>
      <c r="B419" s="5" t="str">
        <f>HYPERLINK("https://constructor.brusnika.ru/object-module/principled-decisions/project-solution-groups/117be693-aa65-4853-b60c-2c2723d91cee/3525?version=2", "Общие требования. Слаботочные сети")</f>
        <v>Общие требования. Слаботочные сети</v>
      </c>
      <c r="C419" s="353" t="s">
        <v>3540</v>
      </c>
      <c r="D419" s="350"/>
      <c r="E419" s="351"/>
    </row>
    <row r="420" spans="1:5" ht="51">
      <c r="A420" s="4" t="s">
        <v>3541</v>
      </c>
      <c r="B420" s="5" t="str">
        <f>HYPERLINK("https://constructor.brusnika.ru/object-module/principled-decisions/project-solution-groups/ca360771-385f-45db-b569-956c3093faab/3527?version=2", "Пожарная сигнализация, система оповещения и управления эвакуацией. Жилая часть, МОП, технические помещения (Рубеж) до 75 м")</f>
        <v>Пожарная сигнализация, система оповещения и управления эвакуацией. Жилая часть, МОП, технические помещения (Рубеж) до 75 м</v>
      </c>
      <c r="C420" s="356" t="s">
        <v>3542</v>
      </c>
      <c r="D420" s="350"/>
      <c r="E420" s="351"/>
    </row>
    <row r="421" spans="1:5" ht="51">
      <c r="A421" s="4" t="s">
        <v>3543</v>
      </c>
      <c r="B421" s="5" t="str">
        <f>HYPERLINK("https://constructor.brusnika.ru/object-module/principled-decisions/project-solution-groups/ca360771-385f-45db-b569-956c3093faab/3528?version=2", "Пожарная сигнализация, система оповещения и управления эвакуацией. Жилая часть, МОП, технические помещения (Рубеж) от 75 м")</f>
        <v>Пожарная сигнализация, система оповещения и управления эвакуацией. Жилая часть, МОП, технические помещения (Рубеж) от 75 м</v>
      </c>
      <c r="C421" s="356" t="s">
        <v>3544</v>
      </c>
      <c r="D421" s="350"/>
      <c r="E421" s="351"/>
    </row>
    <row r="422" spans="1:5" ht="40.799999999999997">
      <c r="A422" s="4" t="s">
        <v>3545</v>
      </c>
      <c r="B422" s="5" t="str">
        <f>HYPERLINK("https://constructor.brusnika.ru/object-module/principled-decisions/project-solution-groups/ca360771-385f-45db-b569-956c3093faab/3530?version=2", "Пожарная сигнализация, система оповещения и управления эвакуацией. Коммерческие помещения (Рубеж)")</f>
        <v>Пожарная сигнализация, система оповещения и управления эвакуацией. Коммерческие помещения (Рубеж)</v>
      </c>
      <c r="C422" s="356" t="s">
        <v>3546</v>
      </c>
      <c r="D422" s="350"/>
      <c r="E422" s="351"/>
    </row>
    <row r="423" spans="1:5" ht="30.6">
      <c r="A423" s="4" t="s">
        <v>3547</v>
      </c>
      <c r="B423" s="8" t="s">
        <v>3548</v>
      </c>
      <c r="C423" s="353" t="s">
        <v>3549</v>
      </c>
      <c r="D423" s="350"/>
      <c r="E423" s="351"/>
    </row>
    <row r="424" spans="1:5" ht="40.799999999999997">
      <c r="A424" s="4" t="s">
        <v>3550</v>
      </c>
      <c r="B424" s="5" t="str">
        <f>HYPERLINK("https://constructor.brusnika.ru/object-module/principled-decisions/project-solution-groups/df151d60-daaa-4c0a-899c-cca0a05b4903/3534?version=1", "Головное оборудование системы противопожарной защиты. Жилая часть, МОП, технические помещения (Рубеж)")</f>
        <v>Головное оборудование системы противопожарной защиты. Жилая часть, МОП, технические помещения (Рубеж)</v>
      </c>
      <c r="C424" s="353" t="s">
        <v>3551</v>
      </c>
      <c r="D424" s="350"/>
      <c r="E424" s="351"/>
    </row>
    <row r="425" spans="1:5" ht="30.6">
      <c r="A425" s="4" t="s">
        <v>3552</v>
      </c>
      <c r="B425" s="5" t="str">
        <f>HYPERLINK("https://constructor.brusnika.ru/object-module/principled-decisions/project-solution-groups/df151d60-daaa-4c0a-899c-cca0a05b4903/3536?version=1", "Головное оборудование системы противопожарной защиты. Коммерческие помещения (Рубеж)")</f>
        <v>Головное оборудование системы противопожарной защиты. Коммерческие помещения (Рубеж)</v>
      </c>
      <c r="C425" s="353" t="s">
        <v>3553</v>
      </c>
      <c r="D425" s="350"/>
      <c r="E425" s="351"/>
    </row>
    <row r="426" spans="1:5" ht="30.6">
      <c r="A426" s="4" t="s">
        <v>3554</v>
      </c>
      <c r="B426" s="5" t="str">
        <f>HYPERLINK("https://constructor.brusnika.ru/object-module/principled-decisions/project-solution-groups/df151d60-daaa-4c0a-899c-cca0a05b4903/3535?version=1", "Головное оборудование системы противопожарной защиты. Паркинг (Рубеж)")</f>
        <v>Головное оборудование системы противопожарной защиты. Паркинг (Рубеж)</v>
      </c>
      <c r="C426" s="353" t="s">
        <v>3555</v>
      </c>
      <c r="D426" s="350"/>
      <c r="E426" s="351"/>
    </row>
    <row r="427" spans="1:5" ht="51">
      <c r="A427" s="4" t="s">
        <v>3556</v>
      </c>
      <c r="B427" s="5" t="str">
        <f>HYPERLINK("https://constructor.brusnika.ru/object-module/principled-decisions/project-solution-groups/2f4f0cc1-622f-4d79-8b81-8b50e4431bc1/3541?version=2", "Магистраль пожарной сигнализации, системы оповещения и управления эвакуацией. Жилая часть, МОП, технические помещения (Рубеж)")</f>
        <v>Магистраль пожарной сигнализации, системы оповещения и управления эвакуацией. Жилая часть, МОП, технические помещения (Рубеж)</v>
      </c>
      <c r="C427" s="353" t="s">
        <v>3557</v>
      </c>
      <c r="D427" s="350"/>
      <c r="E427" s="351"/>
    </row>
    <row r="428" spans="1:5" ht="51">
      <c r="A428" s="4" t="s">
        <v>3558</v>
      </c>
      <c r="B428" s="5" t="str">
        <f>HYPERLINK("https://constructor.brusnika.ru/object-module/principled-decisions/project-solution-groups/b658bd03-5ee9-4026-918f-b1d3439997e1/3543?version=1", "Секционное оборудование пожарной сигнализации, системы оповещения и управления эвакуацией. Жилая часть, МОП, технические помещения (Рубеж)")</f>
        <v>Секционное оборудование пожарной сигнализации, системы оповещения и управления эвакуацией. Жилая часть, МОП, технические помещения (Рубеж)</v>
      </c>
      <c r="C428" s="353" t="s">
        <v>3559</v>
      </c>
      <c r="D428" s="350"/>
      <c r="E428" s="351"/>
    </row>
    <row r="429" spans="1:5" ht="40.799999999999997">
      <c r="A429" s="4" t="s">
        <v>3560</v>
      </c>
      <c r="B429" s="5" t="str">
        <f>HYPERLINK("https://constructor.brusnika.ru/object-module/principled-decisions/project-solution-groups/2b355253-eecd-4823-8e2f-9c72d62ed217/3545?version=2", "Стояки пожарной сигнализации, системы оповещения и управления эвакуацией. Жилая часть, МОП, технические помещения (Рубеж)")</f>
        <v>Стояки пожарной сигнализации, системы оповещения и управления эвакуацией. Жилая часть, МОП, технические помещения (Рубеж)</v>
      </c>
      <c r="C429" s="353" t="s">
        <v>3561</v>
      </c>
      <c r="D429" s="350"/>
      <c r="E429" s="351"/>
    </row>
    <row r="430" spans="1:5" ht="20.399999999999999">
      <c r="A430" s="4" t="s">
        <v>3562</v>
      </c>
      <c r="B430" s="217" t="s">
        <v>3563</v>
      </c>
      <c r="C430" s="355" t="s">
        <v>3564</v>
      </c>
      <c r="D430" s="350"/>
      <c r="E430" s="351"/>
    </row>
    <row r="431" spans="1:5" ht="51">
      <c r="A431" s="4" t="s">
        <v>3565</v>
      </c>
      <c r="B431" s="5" t="str">
        <f>HYPERLINK("https://constructor.brusnika.ru/object-module/principled-decisions/project-solution-groups/2a655bd2-c4d1-4025-bb4b-4f3d7b0cc48c/3547?version=1", "Этажное оборудование пожарной сигнализации, системы оповещения и управления эвакуацией. Жилая часть, МОП, технические помещения (Рубеж)")</f>
        <v>Этажное оборудование пожарной сигнализации, системы оповещения и управления эвакуацией. Жилая часть, МОП, технические помещения (Рубеж)</v>
      </c>
      <c r="C431" s="353" t="s">
        <v>3566</v>
      </c>
      <c r="D431" s="350"/>
      <c r="E431" s="351"/>
    </row>
    <row r="432" spans="1:5" ht="40.799999999999997">
      <c r="A432" s="4" t="s">
        <v>3567</v>
      </c>
      <c r="B432" s="5" t="str">
        <f>HYPERLINK("https://constructor.brusnika.ru/object-module/principled-decisions/project-solution-groups/b691aba6-8f57-49a0-bbd4-7e6f5bab7f3d/3549?version=2", "Разводка пожарной сигнализации, системы оповещения и управления эвакуацией. Жилая часть, МОП, технические помещения (Рубеж)")</f>
        <v>Разводка пожарной сигнализации, системы оповещения и управления эвакуацией. Жилая часть, МОП, технические помещения (Рубеж)</v>
      </c>
      <c r="C432" s="353" t="s">
        <v>3568</v>
      </c>
      <c r="D432" s="350"/>
      <c r="E432" s="351"/>
    </row>
    <row r="433" spans="1:5" ht="40.799999999999997">
      <c r="A433" s="4" t="s">
        <v>3569</v>
      </c>
      <c r="B433" s="5" t="str">
        <f>HYPERLINK("https://constructor.brusnika.ru/object-module/principled-decisions/project-solution-groups/b691aba6-8f57-49a0-bbd4-7e6f5bab7f3d/3551?version=2", "Разводка пожарной сигнализации, системы оповещения и управления эвакуацией. Коммерческие помещения (Рубеж)")</f>
        <v>Разводка пожарной сигнализации, системы оповещения и управления эвакуацией. Коммерческие помещения (Рубеж)</v>
      </c>
      <c r="C433" s="353" t="s">
        <v>3570</v>
      </c>
      <c r="D433" s="350"/>
      <c r="E433" s="351"/>
    </row>
    <row r="434" spans="1:5" ht="30.6">
      <c r="A434" s="4" t="s">
        <v>3571</v>
      </c>
      <c r="B434" s="5" t="str">
        <f>HYPERLINK("https://constructor.brusnika.ru/object-module/principled-decisions/project-solution-groups/b691aba6-8f57-49a0-bbd4-7e6f5bab7f3d/3550?version=2", "Разводка пожарной сигнализации, системы оповещения и управления эвакуацией. Паркинг (Рубеж)")</f>
        <v>Разводка пожарной сигнализации, системы оповещения и управления эвакуацией. Паркинг (Рубеж)</v>
      </c>
      <c r="C434" s="353" t="s">
        <v>3572</v>
      </c>
      <c r="D434" s="350"/>
      <c r="E434" s="351"/>
    </row>
    <row r="435" spans="1:5" ht="51">
      <c r="A435" s="4" t="s">
        <v>3573</v>
      </c>
      <c r="B435" s="5" t="str">
        <f>HYPERLINK("https://constructor.brusnika.ru/object-module/principled-decisions/project-solution-groups/43ec7f94-de0e-4520-a9ac-318ed1648bcf/3537?version=1", "Оконечное оборудование пожарной сигнализации, системы оповещения и управления эвакуацией. Жилая часть, МОП, технические помещения (Рубеж)")</f>
        <v>Оконечное оборудование пожарной сигнализации, системы оповещения и управления эвакуацией. Жилая часть, МОП, технические помещения (Рубеж)</v>
      </c>
      <c r="C435" s="353" t="s">
        <v>3574</v>
      </c>
      <c r="D435" s="350"/>
      <c r="E435" s="351"/>
    </row>
    <row r="436" spans="1:5" ht="51">
      <c r="A436" s="4" t="s">
        <v>3575</v>
      </c>
      <c r="B436" s="5" t="str">
        <f>HYPERLINK("https://constructor.brusnika.ru/object-module/principled-decisions/project-solution-groups/43ec7f94-de0e-4520-a9ac-318ed1648bcf/3556?version=1", "Оконечное оборудование пожарной сигнализации, системы оповещения и управления эвакуацией. Коммерческие помещения (Рубеж)")</f>
        <v>Оконечное оборудование пожарной сигнализации, системы оповещения и управления эвакуацией. Коммерческие помещения (Рубеж)</v>
      </c>
      <c r="C436" s="353" t="s">
        <v>3576</v>
      </c>
      <c r="D436" s="350"/>
      <c r="E436" s="351"/>
    </row>
    <row r="437" spans="1:5" ht="40.799999999999997">
      <c r="A437" s="4" t="s">
        <v>3577</v>
      </c>
      <c r="B437" s="5" t="str">
        <f>HYPERLINK("https://constructor.brusnika.ru/object-module/principled-decisions/project-solution-groups/43ec7f94-de0e-4520-a9ac-318ed1648bcf/3516?version=1", "Оконечное оборудование пожарной сигнализации, системы оповещения и управления эвакуацией. Паркинг (Рубеж)")</f>
        <v>Оконечное оборудование пожарной сигнализации, системы оповещения и управления эвакуацией. Паркинг (Рубеж)</v>
      </c>
      <c r="C437" s="353" t="s">
        <v>3578</v>
      </c>
      <c r="D437" s="350"/>
      <c r="E437" s="351"/>
    </row>
    <row r="438" spans="1:5" ht="13.2">
      <c r="A438" s="354" t="s">
        <v>3579</v>
      </c>
      <c r="B438" s="350"/>
      <c r="C438" s="350"/>
      <c r="D438" s="350"/>
      <c r="E438" s="351"/>
    </row>
    <row r="439" spans="1:5" ht="20.399999999999999">
      <c r="A439" s="4" t="s">
        <v>3580</v>
      </c>
      <c r="B439" s="5" t="str">
        <f>HYPERLINK("https://constructor.brusnika.ru/object-module/principled-decisions/project-solution-groups/bfc97f33-5c43-4b92-a9d1-238ee5adefd0/3560?version=2", "Структурированная кабельная система")</f>
        <v>Структурированная кабельная система</v>
      </c>
      <c r="C439" s="356" t="s">
        <v>3581</v>
      </c>
      <c r="D439" s="350"/>
      <c r="E439" s="351"/>
    </row>
    <row r="440" spans="1:5" ht="30.6">
      <c r="A440" s="4" t="s">
        <v>3582</v>
      </c>
      <c r="B440" s="5" t="str">
        <f>HYPERLINK("https://constructor.brusnika.ru/object-module/principled-decisions/project-solution-groups/2f574c6c-1818-4f6a-8768-3e5cc7ab582e/3561?version=1", "Головное устройство структурированной кабельной системы")</f>
        <v>Головное устройство структурированной кабельной системы</v>
      </c>
      <c r="C440" s="353" t="s">
        <v>3583</v>
      </c>
      <c r="D440" s="350"/>
      <c r="E440" s="351"/>
    </row>
    <row r="441" spans="1:5" ht="20.399999999999999">
      <c r="A441" s="4" t="s">
        <v>3584</v>
      </c>
      <c r="B441" s="5" t="str">
        <f>HYPERLINK("https://constructor.brusnika.ru/object-module/principled-decisions/project-solution-groups/917381cc-d63d-4cc5-999a-8e865398f20f/3562?version=2", "Магистраль структурированной кабельной системы")</f>
        <v>Магистраль структурированной кабельной системы</v>
      </c>
      <c r="C441" s="353" t="s">
        <v>3585</v>
      </c>
      <c r="D441" s="350"/>
      <c r="E441" s="351"/>
    </row>
    <row r="442" spans="1:5" ht="20.399999999999999">
      <c r="A442" s="4" t="s">
        <v>3586</v>
      </c>
      <c r="B442" s="5" t="str">
        <f t="shared" ref="B442:B443" si="0">HYPERLINK("https://constructor.brusnika.ru/object-module/principled-decisions/project-solution-groups/3f3e8ce8-1b79-40a8-a765-73ccc730934f/3563?version=2", "Стояки структурированной кабельной системы")</f>
        <v>Стояки структурированной кабельной системы</v>
      </c>
      <c r="C442" s="353" t="s">
        <v>3587</v>
      </c>
      <c r="D442" s="350"/>
      <c r="E442" s="351"/>
    </row>
    <row r="443" spans="1:5" ht="20.399999999999999">
      <c r="A443" s="4" t="s">
        <v>3586</v>
      </c>
      <c r="B443" s="5" t="str">
        <f t="shared" si="0"/>
        <v>Стояки структурированной кабельной системы</v>
      </c>
      <c r="C443" s="353" t="s">
        <v>3587</v>
      </c>
      <c r="D443" s="350"/>
      <c r="E443" s="351"/>
    </row>
    <row r="444" spans="1:5" ht="30.6">
      <c r="A444" s="4" t="s">
        <v>3588</v>
      </c>
      <c r="B444" s="5" t="str">
        <f>HYPERLINK("https://constructor.brusnika.ru/object-module/principled-decisions/project-solution-groups/c0a03688-e730-4400-b39c-7636905687de/3564?version=1", "Этажное оборудование структурированной кабельной системы")</f>
        <v>Этажное оборудование структурированной кабельной системы</v>
      </c>
      <c r="C444" s="353" t="s">
        <v>3589</v>
      </c>
      <c r="D444" s="350"/>
      <c r="E444" s="351"/>
    </row>
    <row r="445" spans="1:5" ht="30.6">
      <c r="A445" s="4" t="s">
        <v>3590</v>
      </c>
      <c r="B445" s="5" t="str">
        <f>HYPERLINK("https://constructor.brusnika.ru/object-module/principled-decisions/project-solution-groups/67d5bd20-102c-4310-950a-1fd081a5fd03/3565?version=2", "Разводка кабелей структурированной кабельной системы")</f>
        <v>Разводка кабелей структурированной кабельной системы</v>
      </c>
      <c r="C445" s="353" t="s">
        <v>3591</v>
      </c>
      <c r="D445" s="350"/>
      <c r="E445" s="351"/>
    </row>
    <row r="446" spans="1:5" ht="30.6">
      <c r="A446" s="4" t="s">
        <v>3592</v>
      </c>
      <c r="B446" s="5" t="str">
        <f>HYPERLINK("https://constructor.brusnika.ru/object-module/principled-decisions/project-solution-groups/b8031fbb-f279-41ea-b5be-bab1584c7e06/3566?version=1", "Оконечное оборудование структурированной кабельной системы")</f>
        <v>Оконечное оборудование структурированной кабельной системы</v>
      </c>
      <c r="C446" s="353" t="s">
        <v>3593</v>
      </c>
      <c r="D446" s="350"/>
      <c r="E446" s="351"/>
    </row>
    <row r="447" spans="1:5" ht="13.2">
      <c r="A447" s="354" t="s">
        <v>3594</v>
      </c>
      <c r="B447" s="350"/>
      <c r="C447" s="350"/>
      <c r="D447" s="350"/>
      <c r="E447" s="351"/>
    </row>
    <row r="448" spans="1:5" ht="20.399999999999999">
      <c r="A448" s="4" t="s">
        <v>3595</v>
      </c>
      <c r="B448" s="5" t="str">
        <f>HYPERLINK("https://constructor.brusnika.ru/object-module/principled-decisions/project-solution-groups/c87d8006-138e-4341-98af-4a27b61235e0/3555?version=2", "Система контроля и управления доступом")</f>
        <v>Система контроля и управления доступом</v>
      </c>
      <c r="C448" s="356" t="s">
        <v>3596</v>
      </c>
      <c r="D448" s="350"/>
      <c r="E448" s="351"/>
    </row>
    <row r="449" spans="1:5" ht="20.399999999999999">
      <c r="A449" s="4" t="s">
        <v>3597</v>
      </c>
      <c r="B449" s="5" t="str">
        <f>HYPERLINK("https://constructor.brusnika.ru/object-module/principled-decisions/project-solution-groups/8a1ef2f1-400a-4eb3-af77-ae36d174d969/3567?version=2", "Стояки системы контроля и управления доступом")</f>
        <v>Стояки системы контроля и управления доступом</v>
      </c>
      <c r="C449" s="353" t="s">
        <v>3598</v>
      </c>
      <c r="D449" s="350"/>
      <c r="E449" s="351"/>
    </row>
    <row r="450" spans="1:5" ht="20.399999999999999">
      <c r="A450" s="4" t="s">
        <v>3599</v>
      </c>
      <c r="B450" s="5" t="str">
        <f>HYPERLINK("https://constructor.brusnika.ru/object-module/principled-decisions/project-solution-groups/23c3b31a-1d41-4c5c-9651-07bd816e5350/3568?version=1", "Этажное оборудование системы контроля и управления доступом")</f>
        <v>Этажное оборудование системы контроля и управления доступом</v>
      </c>
      <c r="C450" s="353" t="s">
        <v>3600</v>
      </c>
      <c r="D450" s="350"/>
      <c r="E450" s="351"/>
    </row>
    <row r="451" spans="1:5" ht="20.399999999999999">
      <c r="A451" s="4" t="s">
        <v>3601</v>
      </c>
      <c r="B451" s="5" t="str">
        <f>HYPERLINK("https://constructor.brusnika.ru/object-module/principled-decisions/project-solution-groups/019bbdaa-7fc1-40e8-a7d0-27d2a9389cc3/3569?version=2", "Разводка кабелей системы контроля и управления доступом")</f>
        <v>Разводка кабелей системы контроля и управления доступом</v>
      </c>
      <c r="C451" s="353" t="s">
        <v>3602</v>
      </c>
      <c r="D451" s="350"/>
      <c r="E451" s="351"/>
    </row>
    <row r="452" spans="1:5" ht="20.399999999999999">
      <c r="A452" s="4" t="s">
        <v>3603</v>
      </c>
      <c r="B452" s="5" t="str">
        <f>HYPERLINK("https://constructor.brusnika.ru/object-module/principled-decisions/project-solution-groups/55219763-a323-42fd-a05e-2d4164c686b1/3570?version=2", "Оконечное оборудование системы контроля и управления доступом")</f>
        <v>Оконечное оборудование системы контроля и управления доступом</v>
      </c>
      <c r="C452" s="353" t="s">
        <v>3604</v>
      </c>
      <c r="D452" s="350"/>
      <c r="E452" s="351"/>
    </row>
    <row r="453" spans="1:5" ht="13.2">
      <c r="A453" s="354" t="s">
        <v>3605</v>
      </c>
      <c r="B453" s="350"/>
      <c r="C453" s="350"/>
      <c r="D453" s="350"/>
      <c r="E453" s="351"/>
    </row>
    <row r="454" spans="1:5" ht="13.2">
      <c r="A454" s="4" t="s">
        <v>3606</v>
      </c>
      <c r="B454" s="5" t="str">
        <f>HYPERLINK("https://constructor.brusnika.ru/object-module/principled-decisions/project-solution-groups/e7ba5d08-822a-4b76-aea4-6420fb49843a/3571?version=2", "Система видеонаблюдения")</f>
        <v>Система видеонаблюдения</v>
      </c>
      <c r="C454" s="356" t="s">
        <v>3607</v>
      </c>
      <c r="D454" s="350"/>
      <c r="E454" s="351"/>
    </row>
    <row r="455" spans="1:5" ht="20.399999999999999">
      <c r="A455" s="4" t="s">
        <v>3606</v>
      </c>
      <c r="B455" s="5" t="str">
        <f>HYPERLINK("https://constructor.brusnika.ru/object-module/principled-decisions/project-solution-groups/d9808ba3-5836-4ac7-aecf-ba97d264916f/3572?version=1", "Головное устройство системы системы видеонаблюдения")</f>
        <v>Головное устройство системы системы видеонаблюдения</v>
      </c>
      <c r="C455" s="353" t="s">
        <v>3608</v>
      </c>
      <c r="D455" s="350"/>
      <c r="E455" s="351"/>
    </row>
    <row r="456" spans="1:5" ht="20.399999999999999">
      <c r="A456" s="4" t="s">
        <v>3606</v>
      </c>
      <c r="B456" s="5" t="str">
        <f>HYPERLINK("https://constructor.brusnika.ru/object-module/principled-decisions/project-solution-groups/1de0d692-9088-4a47-8134-1da3a7af45dd/3573?version=2", "Разводка системы видеонаблюдения")</f>
        <v>Разводка системы видеонаблюдения</v>
      </c>
      <c r="C456" s="353" t="s">
        <v>3609</v>
      </c>
      <c r="D456" s="350"/>
      <c r="E456" s="351"/>
    </row>
    <row r="457" spans="1:5" ht="20.399999999999999">
      <c r="A457" s="4" t="s">
        <v>3606</v>
      </c>
      <c r="B457" s="5" t="str">
        <f>HYPERLINK("https://constructor.brusnika.ru/object-module/principled-decisions/project-solution-groups/45701354-5a23-49e7-90da-def669f8ffa5/3574?version=2", "Оконечное оборудование системы видеонаблюдения")</f>
        <v>Оконечное оборудование системы видеонаблюдения</v>
      </c>
      <c r="C457" s="353" t="s">
        <v>3610</v>
      </c>
      <c r="D457" s="350"/>
      <c r="E457" s="351"/>
    </row>
    <row r="458" spans="1:5" ht="13.2">
      <c r="A458" s="354" t="s">
        <v>3611</v>
      </c>
      <c r="B458" s="350"/>
      <c r="C458" s="350"/>
      <c r="D458" s="350"/>
      <c r="E458" s="351"/>
    </row>
    <row r="459" spans="1:5" ht="20.399999999999999">
      <c r="A459" s="4" t="s">
        <v>3612</v>
      </c>
      <c r="B459" s="5" t="str">
        <f>HYPERLINK("https://constructor.brusnika.ru/object-module/principled-decisions/project-solution-groups/219fa282-29fd-4123-bb1c-d16c047f785d/3575?version=1", "Система охранно-тревожной сигнализации")</f>
        <v>Система охранно-тревожной сигнализации</v>
      </c>
      <c r="C459" s="353" t="s">
        <v>3613</v>
      </c>
      <c r="D459" s="350"/>
      <c r="E459" s="351"/>
    </row>
    <row r="460" spans="1:5" ht="30.6">
      <c r="A460" s="4" t="s">
        <v>3614</v>
      </c>
      <c r="B460" s="5" t="str">
        <f>HYPERLINK("https://constructor.brusnika.ru/object-module/principled-decisions/project-solution-groups/b4890bc2-1536-4fac-b89f-c47d5e439d84/3576?version=1", "Головное устройство системы системы охранно-тревожной сигнализации")</f>
        <v>Головное устройство системы системы охранно-тревожной сигнализации</v>
      </c>
      <c r="C460" s="353" t="s">
        <v>3615</v>
      </c>
      <c r="D460" s="350"/>
      <c r="E460" s="351"/>
    </row>
    <row r="461" spans="1:5" ht="20.399999999999999">
      <c r="A461" s="4" t="s">
        <v>3616</v>
      </c>
      <c r="B461" s="5" t="str">
        <f>HYPERLINK("https://constructor.brusnika.ru/object-module/principled-decisions/project-solution-groups/a9bb3f69-3c23-4010-81d8-924d47dfb59f/3577?version=1", "Разводка системы охранно-тревожной сигнализации")</f>
        <v>Разводка системы охранно-тревожной сигнализации</v>
      </c>
      <c r="C461" s="353" t="s">
        <v>3617</v>
      </c>
      <c r="D461" s="350"/>
      <c r="E461" s="351"/>
    </row>
    <row r="462" spans="1:5" ht="20.399999999999999">
      <c r="A462" s="4" t="s">
        <v>3618</v>
      </c>
      <c r="B462" s="5" t="str">
        <f>HYPERLINK("https://constructor.brusnika.ru/object-module/principled-decisions/project-solution-groups/ef7518dd-6bfd-4643-9b3d-8de5efb65936/3578?version=1", "Оконечное оборудование системы охранно-тревожной сигнализации")</f>
        <v>Оконечное оборудование системы охранно-тревожной сигнализации</v>
      </c>
      <c r="C462" s="353" t="s">
        <v>3619</v>
      </c>
      <c r="D462" s="350"/>
      <c r="E462" s="351"/>
    </row>
    <row r="463" spans="1:5" ht="13.2">
      <c r="A463" s="354" t="s">
        <v>3620</v>
      </c>
      <c r="B463" s="350"/>
      <c r="C463" s="350"/>
      <c r="D463" s="350"/>
      <c r="E463" s="351"/>
    </row>
    <row r="464" spans="1:5" ht="30.6">
      <c r="A464" s="4" t="s">
        <v>3621</v>
      </c>
      <c r="B464" s="5" t="str">
        <f>HYPERLINK("https://constructor.brusnika.ru/object-module/principled-decisions/project-solution-groups/9c3231ce-cd23-49ff-b5a5-6a3e01e639db/3579?version=3", "Автоматизированная система коммерческого учета энергоресурсов (телеметрия)")</f>
        <v>Автоматизированная система коммерческого учета энергоресурсов (телеметрия)</v>
      </c>
      <c r="C464" s="356" t="s">
        <v>3622</v>
      </c>
      <c r="D464" s="350"/>
      <c r="E464" s="351"/>
    </row>
    <row r="465" spans="1:5" ht="40.799999999999997">
      <c r="A465" s="4" t="s">
        <v>3623</v>
      </c>
      <c r="B465" s="5" t="str">
        <f>HYPERLINK("https://constructor.brusnika.ru/object-module/principled-decisions/project-solution-groups/709b84c4-e9e6-46ea-869c-1cc1237ffda1/3580?version=1", "Распределитель секционный системы автоматизированная система коммерческого учета энергоресурсов (телеметрия)")</f>
        <v>Распределитель секционный системы автоматизированная система коммерческого учета энергоресурсов (телеметрия)</v>
      </c>
      <c r="C465" s="353" t="s">
        <v>3624</v>
      </c>
      <c r="D465" s="350"/>
      <c r="E465" s="351"/>
    </row>
    <row r="466" spans="1:5" ht="30.6">
      <c r="A466" s="4" t="s">
        <v>3625</v>
      </c>
      <c r="B466" s="5" t="str">
        <f>HYPERLINK("https://constructor.brusnika.ru/object-module/principled-decisions/project-solution-groups/5913a07e-9882-40d6-b7d7-72fb9d47a373/3582?version=2", "Стояки автоматизированной системы коммерческого учета энергоресурсов (телеметрия)")</f>
        <v>Стояки автоматизированной системы коммерческого учета энергоресурсов (телеметрия)</v>
      </c>
      <c r="C466" s="353" t="s">
        <v>3626</v>
      </c>
      <c r="D466" s="350"/>
      <c r="E466" s="351"/>
    </row>
    <row r="467" spans="1:5" ht="40.799999999999997">
      <c r="A467" s="4" t="s">
        <v>3627</v>
      </c>
      <c r="B467" s="5" t="str">
        <f>HYPERLINK("https://constructor.brusnika.ru/object-module/principled-decisions/project-solution-groups/e6fc274b-ff74-4ce4-a32b-78482e98251b/3583?version=1", "Распределитель этажный автоматизированной системы коммерческого учета энергоресурсов (телеметрия)")</f>
        <v>Распределитель этажный автоматизированной системы коммерческого учета энергоресурсов (телеметрия)</v>
      </c>
      <c r="C467" s="353" t="s">
        <v>3628</v>
      </c>
      <c r="D467" s="350"/>
      <c r="E467" s="351"/>
    </row>
    <row r="468" spans="1:5" ht="13.2">
      <c r="A468" s="354" t="s">
        <v>3629</v>
      </c>
      <c r="B468" s="350"/>
      <c r="C468" s="350"/>
      <c r="D468" s="350"/>
      <c r="E468" s="351"/>
    </row>
    <row r="469" spans="1:5" ht="20.399999999999999">
      <c r="A469" s="4" t="s">
        <v>3630</v>
      </c>
      <c r="B469" s="5" t="str">
        <f>HYPERLINK("https://constructor.brusnika.ru/object-module/principled-decisions/project-solution-groups/765c5cbb-93d6-4933-8f0b-106fc2e59a38/3584?version=2", "Объединенная диспетчерская служба")</f>
        <v>Объединенная диспетчерская служба</v>
      </c>
      <c r="C469" s="356" t="s">
        <v>3631</v>
      </c>
      <c r="D469" s="350"/>
      <c r="E469" s="351"/>
    </row>
    <row r="470" spans="1:5" ht="30.6">
      <c r="A470" s="4" t="s">
        <v>3632</v>
      </c>
      <c r="B470" s="5" t="str">
        <f>HYPERLINK("https://constructor.brusnika.ru/object-module/principled-decisions/project-solution-groups/7f854998-2ba0-4bbf-b52b-d8f54bd2540b/3585?version=1", "Головное устройство системы объединенной диспетчерской службы")</f>
        <v>Головное устройство системы объединенной диспетчерской службы</v>
      </c>
      <c r="C470" s="353" t="s">
        <v>3633</v>
      </c>
      <c r="D470" s="350"/>
      <c r="E470" s="351"/>
    </row>
    <row r="471" spans="1:5" ht="20.399999999999999">
      <c r="A471" s="4" t="s">
        <v>3634</v>
      </c>
      <c r="B471" s="5" t="str">
        <f>HYPERLINK("https://constructor.brusnika.ru/object-module/principled-decisions/project-solution-groups/6c57b068-1685-4c2c-8df8-b73833bd24d2/3587?version=2", "Магистраль объединенной диспетчерской службы")</f>
        <v>Магистраль объединенной диспетчерской службы</v>
      </c>
      <c r="C471" s="353" t="s">
        <v>3635</v>
      </c>
      <c r="D471" s="350"/>
      <c r="E471" s="351"/>
    </row>
    <row r="472" spans="1:5" ht="30.6">
      <c r="A472" s="4" t="s">
        <v>3636</v>
      </c>
      <c r="B472" s="5" t="str">
        <f>HYPERLINK("https://constructor.brusnika.ru/object-module/principled-decisions/project-solution-groups/b0e44ca1-c354-4cf8-b01c-d22e684bc50d/3588?version=2", "Распределитель секционный объединенной диспетчерской службы")</f>
        <v>Распределитель секционный объединенной диспетчерской службы</v>
      </c>
      <c r="C472" s="353" t="s">
        <v>3637</v>
      </c>
      <c r="D472" s="350"/>
      <c r="E472" s="351"/>
    </row>
    <row r="473" spans="1:5" ht="30.6">
      <c r="A473" s="4" t="s">
        <v>3638</v>
      </c>
      <c r="B473" s="5" t="str">
        <f>HYPERLINK("https://constructor.brusnika.ru/object-module/principled-decisions/project-solution-groups/812baeb1-203c-4432-8f0a-e016bdbf4197/3589?version=1", "Распределитель этажный объединенной диспетчерской службы")</f>
        <v>Распределитель этажный объединенной диспетчерской службы</v>
      </c>
      <c r="C473" s="353" t="s">
        <v>3639</v>
      </c>
      <c r="D473" s="350"/>
      <c r="E473" s="351"/>
    </row>
    <row r="474" spans="1:5" ht="30.6">
      <c r="A474" s="4" t="s">
        <v>3640</v>
      </c>
      <c r="B474" s="5" t="str">
        <f>HYPERLINK("https://constructor.brusnika.ru/object-module/principled-decisions/project-solution-groups/aae71c70-606e-4766-a36e-c87b6d7921fe/3590?version=1", "Оконечное оборудование объединенной диспетчерской службы")</f>
        <v>Оконечное оборудование объединенной диспетчерской службы</v>
      </c>
      <c r="C474" s="353" t="s">
        <v>3641</v>
      </c>
      <c r="D474" s="350"/>
      <c r="E474" s="351"/>
    </row>
    <row r="475" spans="1:5" ht="13.2">
      <c r="A475" s="354" t="s">
        <v>3642</v>
      </c>
      <c r="B475" s="350"/>
      <c r="C475" s="350"/>
      <c r="D475" s="350"/>
      <c r="E475" s="351"/>
    </row>
    <row r="476" spans="1:5" ht="20.399999999999999">
      <c r="A476" s="4" t="s">
        <v>3643</v>
      </c>
      <c r="B476" s="5" t="str">
        <f>HYPERLINK("https://constructor.brusnika.ru/object-module/principled-decisions/project-solution-groups/625e3282-c5e5-4d8a-89d6-cff3c7e42c6e/3592?version=2", "Кабельные конструкции слаботочные")</f>
        <v>Кабельные конструкции слаботочные</v>
      </c>
      <c r="C476" s="356" t="s">
        <v>3644</v>
      </c>
      <c r="D476" s="350"/>
      <c r="E476" s="351"/>
    </row>
    <row r="477" spans="1:5" ht="20.399999999999999">
      <c r="A477" s="4" t="s">
        <v>3645</v>
      </c>
      <c r="B477" s="5" t="str">
        <f>HYPERLINK("https://constructor.brusnika.ru/object-module/principled-decisions/project-solution-groups/aacf9c42-646a-4850-a0ac-50951e8618e5/3593?version=2", "Магистраль конструкций слаботочных сетей")</f>
        <v>Магистраль конструкций слаботочных сетей</v>
      </c>
      <c r="C477" s="353" t="s">
        <v>3646</v>
      </c>
      <c r="D477" s="350"/>
      <c r="E477" s="351"/>
    </row>
    <row r="478" spans="1:5" ht="13.2">
      <c r="A478" s="354" t="s">
        <v>450</v>
      </c>
      <c r="B478" s="350"/>
      <c r="C478" s="350"/>
      <c r="D478" s="350"/>
      <c r="E478" s="351"/>
    </row>
    <row r="479" spans="1:5" ht="13.2">
      <c r="A479" s="354" t="s">
        <v>451</v>
      </c>
      <c r="B479" s="350"/>
      <c r="C479" s="350"/>
      <c r="D479" s="350"/>
      <c r="E479" s="351"/>
    </row>
    <row r="480" spans="1:5" ht="20.399999999999999">
      <c r="A480" s="4" t="s">
        <v>452</v>
      </c>
      <c r="B480" s="5" t="str">
        <f>HYPERLINK("https://constructor.brusnika.ru/object-module/principled-decisions/project-solution-groups/30d35f5a-1535-4e83-b0db-82d7eb2016ae/3591?version=2", "Общее подъемно-транспортное оборудование")</f>
        <v>Общее подъемно-транспортное оборудование</v>
      </c>
      <c r="C480" s="353" t="s">
        <v>453</v>
      </c>
      <c r="D480" s="350"/>
      <c r="E480" s="351"/>
    </row>
    <row r="481" spans="1:5" ht="13.2">
      <c r="A481" s="354" t="s">
        <v>454</v>
      </c>
      <c r="B481" s="350"/>
      <c r="C481" s="350"/>
      <c r="D481" s="350"/>
      <c r="E481" s="351"/>
    </row>
    <row r="482" spans="1:5" ht="20.399999999999999">
      <c r="A482" s="4" t="s">
        <v>455</v>
      </c>
      <c r="B482" s="5" t="str">
        <f>HYPERLINK("https://constructor.brusnika.ru/object-module/principled-decisions/project-solution-groups/82abec89-81e2-425b-80af-c32c2d2ffb5f/3597?version=3", "Строй задание на лифты в зданиях до 50 м 2,4х2,5")</f>
        <v>Строй задание на лифты в зданиях до 50 м 2,4х2,5</v>
      </c>
      <c r="C482" s="353" t="s">
        <v>456</v>
      </c>
      <c r="D482" s="350"/>
      <c r="E482" s="351"/>
    </row>
    <row r="483" spans="1:5" ht="20.399999999999999">
      <c r="A483" s="4" t="s">
        <v>3053</v>
      </c>
      <c r="B483" s="5" t="str">
        <f>HYPERLINK("https://constructor.brusnika.ru/object-module/principled-decisions/project-solution-groups/82abec89-81e2-425b-80af-c32c2d2ffb5f/3729?version=1", "Строй задание на лифты в зданиях до 100 м 2,4х2,5")</f>
        <v>Строй задание на лифты в зданиях до 100 м 2,4х2,5</v>
      </c>
      <c r="C483" s="353" t="s">
        <v>3647</v>
      </c>
      <c r="D483" s="350"/>
      <c r="E483" s="351"/>
    </row>
    <row r="484" spans="1:5" ht="13.2">
      <c r="A484" s="354" t="s">
        <v>3648</v>
      </c>
      <c r="B484" s="350"/>
      <c r="C484" s="350"/>
      <c r="D484" s="350"/>
      <c r="E484" s="351"/>
    </row>
    <row r="485" spans="1:5" ht="13.2">
      <c r="A485" s="354" t="s">
        <v>3649</v>
      </c>
      <c r="B485" s="350"/>
      <c r="C485" s="350"/>
      <c r="D485" s="350"/>
      <c r="E485" s="351"/>
    </row>
    <row r="486" spans="1:5" ht="30.6">
      <c r="A486" s="4" t="s">
        <v>2365</v>
      </c>
      <c r="B486" s="5" t="s">
        <v>3650</v>
      </c>
      <c r="C486" s="353" t="s">
        <v>3651</v>
      </c>
      <c r="D486" s="350"/>
      <c r="E486" s="351"/>
    </row>
    <row r="487" spans="1:5" ht="13.2">
      <c r="A487" s="4" t="s">
        <v>3652</v>
      </c>
      <c r="B487" s="5" t="str">
        <f>HYPERLINK("https://constructor.brusnika.ru/object-module/principled-decisions/project-solution-groups/f44b864a-dfe5-4a31-a317-3402e9dd770a/3600?version=1", "Строительные генеральные планы")</f>
        <v>Строительные генеральные планы</v>
      </c>
      <c r="C487" s="353" t="s">
        <v>3653</v>
      </c>
      <c r="D487" s="350"/>
      <c r="E487" s="351"/>
    </row>
    <row r="488" spans="1:5" ht="20.399999999999999">
      <c r="A488" s="4" t="s">
        <v>3654</v>
      </c>
      <c r="B488" s="5" t="str">
        <f>HYPERLINK("https://constructor.brusnika.ru/object-module/principled-decisions/project-solution-groups/f44b864a-dfe5-4a31-a317-3402e9dd770a/3602?version=2", "Ограждение стройплощадки, въездные группы")</f>
        <v>Ограждение стройплощадки, въездные группы</v>
      </c>
      <c r="C488" s="353" t="s">
        <v>3655</v>
      </c>
      <c r="D488" s="350"/>
      <c r="E488" s="351"/>
    </row>
    <row r="489" spans="1:5" ht="13.2">
      <c r="A489" s="4" t="s">
        <v>3656</v>
      </c>
      <c r="B489" s="5" t="str">
        <f>HYPERLINK("https://constructor.brusnika.ru/object-module/principled-decisions/project-solution-groups/f44b864a-dfe5-4a31-a317-3402e9dd770a/3603?version=2", "Временные дороги")</f>
        <v>Временные дороги</v>
      </c>
      <c r="C489" s="353" t="s">
        <v>3657</v>
      </c>
      <c r="D489" s="350"/>
      <c r="E489" s="351"/>
    </row>
    <row r="490" spans="1:5" ht="13.2">
      <c r="A490" s="4" t="s">
        <v>3658</v>
      </c>
      <c r="B490" s="5" t="str">
        <f>HYPERLINK("https://constructor.brusnika.ru/object-module/principled-decisions/project-solution-groups/f44b864a-dfe5-4a31-a317-3402e9dd770a/3604?version=2", "Оснащение бытового городка")</f>
        <v>Оснащение бытового городка</v>
      </c>
      <c r="C490" s="353" t="s">
        <v>3659</v>
      </c>
      <c r="D490" s="350"/>
      <c r="E490" s="351"/>
    </row>
    <row r="491" spans="1:5" ht="13.2">
      <c r="A491" s="4" t="s">
        <v>3660</v>
      </c>
      <c r="B491" s="5" t="str">
        <f>HYPERLINK("https://constructor.brusnika.ru/object-module/principled-decisions/project-solution-groups/f44b864a-dfe5-4a31-a317-3402e9dd770a/3605?version=2", "Оснащение стройплощадки")</f>
        <v>Оснащение стройплощадки</v>
      </c>
      <c r="C491" s="353" t="s">
        <v>3661</v>
      </c>
      <c r="D491" s="350"/>
      <c r="E491" s="351"/>
    </row>
    <row r="492" spans="1:5" ht="13.2">
      <c r="A492" s="4" t="s">
        <v>3662</v>
      </c>
      <c r="B492" s="5" t="str">
        <f>HYPERLINK("https://constructor.brusnika.ru/object-module/principled-decisions/project-solution-groups/f44b864a-dfe5-4a31-a317-3402e9dd770a/3606?version=2", "Расстановка башенных кранов")</f>
        <v>Расстановка башенных кранов</v>
      </c>
      <c r="C492" s="353" t="s">
        <v>3663</v>
      </c>
      <c r="D492" s="350"/>
      <c r="E492" s="351"/>
    </row>
    <row r="493" spans="1:5" ht="20.399999999999999">
      <c r="A493" s="4" t="s">
        <v>3664</v>
      </c>
      <c r="B493" s="5" t="str">
        <f>HYPERLINK("https://constructor.brusnika.ru/object-module/principled-decisions/project-solution-groups/f44b864a-dfe5-4a31-a317-3402e9dd770a/3596?version=1", "Временные сети электро-, водоснабжения и канализации")</f>
        <v>Временные сети электро-, водоснабжения и канализации</v>
      </c>
      <c r="C493" s="353" t="s">
        <v>3665</v>
      </c>
      <c r="D493" s="350"/>
      <c r="E493" s="351"/>
    </row>
    <row r="494" spans="1:5" ht="20.399999999999999">
      <c r="A494" s="4" t="s">
        <v>3666</v>
      </c>
      <c r="B494" s="5" t="str">
        <f>HYPERLINK("https://constructor.brusnika.ru/object-module/principled-decisions/project-solution-groups/f44b864a-dfe5-4a31-a317-3402e9dd770a/3601?version=1", "Расстановка камер видеонаблюдения")</f>
        <v>Расстановка камер видеонаблюдения</v>
      </c>
      <c r="C494" s="353" t="s">
        <v>3667</v>
      </c>
      <c r="D494" s="350"/>
      <c r="E494" s="351"/>
    </row>
    <row r="495" spans="1:5" ht="13.2">
      <c r="A495" s="4" t="s">
        <v>3668</v>
      </c>
      <c r="B495" s="5" t="str">
        <f>HYPERLINK("https://constructor.brusnika.ru/object-module/principled-decisions/project-solution-groups/f44b864a-dfe5-4a31-a317-3402e9dd770a/3581?version=1", "Расстановка светильников")</f>
        <v>Расстановка светильников</v>
      </c>
      <c r="C495" s="353" t="s">
        <v>3669</v>
      </c>
      <c r="D495" s="350"/>
      <c r="E495" s="351"/>
    </row>
    <row r="496" spans="1:5" ht="51">
      <c r="A496" s="4" t="s">
        <v>3670</v>
      </c>
      <c r="B496" s="219" t="s">
        <v>3671</v>
      </c>
      <c r="C496" s="353" t="s">
        <v>3672</v>
      </c>
      <c r="D496" s="350"/>
      <c r="E496" s="351"/>
    </row>
    <row r="497" spans="1:5" ht="13.2">
      <c r="A497" s="4" t="s">
        <v>3673</v>
      </c>
      <c r="B497" s="5" t="str">
        <f>HYPERLINK("https://constructor.brusnika.ru/object-module/principled-decisions/project-solution-groups/f44b864a-dfe5-4a31-a317-3402e9dd770a/3608?version=2", "Календарный план строительства")</f>
        <v>Календарный план строительства</v>
      </c>
      <c r="C497" s="353" t="s">
        <v>3674</v>
      </c>
      <c r="D497" s="350"/>
      <c r="E497" s="351"/>
    </row>
    <row r="498" spans="1:5" ht="13.2">
      <c r="A498" s="4" t="s">
        <v>3675</v>
      </c>
      <c r="B498" s="5" t="str">
        <f>HYPERLINK("https://constructor.brusnika.ru/object-module/principled-decisions/project-solution-groups/f44b864a-dfe5-4a31-a317-3402e9dd770a/3609?version=2", "Площадки складирования")</f>
        <v>Площадки складирования</v>
      </c>
      <c r="C498" s="353" t="s">
        <v>3676</v>
      </c>
      <c r="D498" s="350"/>
      <c r="E498" s="351"/>
    </row>
    <row r="499" spans="1:5" ht="13.2">
      <c r="A499" s="358"/>
      <c r="B499" s="345"/>
      <c r="C499" s="345"/>
      <c r="D499" s="345"/>
      <c r="E499" s="345"/>
    </row>
    <row r="500" spans="1:5" ht="13.2">
      <c r="A500" s="361" t="s">
        <v>457</v>
      </c>
      <c r="B500" s="345"/>
      <c r="C500" s="345"/>
      <c r="D500" s="345"/>
      <c r="E500" s="345"/>
    </row>
    <row r="501" spans="1:5" ht="13.2">
      <c r="A501" s="358"/>
      <c r="B501" s="345"/>
      <c r="C501" s="345"/>
      <c r="D501" s="345"/>
      <c r="E501" s="345"/>
    </row>
    <row r="502" spans="1:5" ht="13.2">
      <c r="A502" s="358" t="s">
        <v>458</v>
      </c>
      <c r="B502" s="345"/>
      <c r="C502" s="345"/>
      <c r="D502" s="345"/>
      <c r="E502" s="345"/>
    </row>
    <row r="503" spans="1:5" ht="13.2">
      <c r="A503" s="358"/>
      <c r="B503" s="345"/>
      <c r="C503" s="345"/>
      <c r="D503" s="345"/>
      <c r="E503" s="345"/>
    </row>
    <row r="504" spans="1:5" ht="13.2">
      <c r="A504" s="361" t="s">
        <v>459</v>
      </c>
      <c r="B504" s="345"/>
      <c r="C504" s="345"/>
      <c r="D504" s="345"/>
      <c r="E504" s="345"/>
    </row>
    <row r="505" spans="1:5" ht="13.2">
      <c r="A505" s="358"/>
      <c r="B505" s="345"/>
      <c r="C505" s="345"/>
      <c r="D505" s="345"/>
      <c r="E505" s="345"/>
    </row>
    <row r="506" spans="1:5" ht="13.2">
      <c r="A506" s="358" t="s">
        <v>460</v>
      </c>
      <c r="B506" s="345"/>
      <c r="C506" s="345"/>
      <c r="D506" s="345"/>
      <c r="E506" s="345"/>
    </row>
    <row r="507" spans="1:5" ht="13.2">
      <c r="A507" s="358" t="s">
        <v>461</v>
      </c>
      <c r="B507" s="345"/>
      <c r="C507" s="358" t="s">
        <v>462</v>
      </c>
      <c r="D507" s="345"/>
      <c r="E507" s="345"/>
    </row>
    <row r="508" spans="1:5" ht="13.2">
      <c r="A508" s="358" t="s">
        <v>463</v>
      </c>
      <c r="B508" s="345"/>
      <c r="C508" s="345"/>
      <c r="D508" s="345"/>
      <c r="E508" s="345"/>
    </row>
    <row r="509" spans="1:5" ht="13.2">
      <c r="A509" s="358" t="s">
        <v>464</v>
      </c>
      <c r="B509" s="345"/>
      <c r="C509" s="345"/>
      <c r="D509" s="345"/>
      <c r="E509" s="345"/>
    </row>
    <row r="510" spans="1:5" ht="13.2">
      <c r="A510" s="358" t="s">
        <v>465</v>
      </c>
      <c r="B510" s="345"/>
      <c r="C510" s="345"/>
      <c r="D510" s="345"/>
      <c r="E510" s="345"/>
    </row>
    <row r="511" spans="1:5" ht="13.2">
      <c r="A511" s="348"/>
      <c r="B511" s="345"/>
      <c r="C511" s="345"/>
      <c r="D511" s="348"/>
      <c r="E511" s="345"/>
    </row>
    <row r="512" spans="1:5" ht="13.2">
      <c r="A512" s="348" t="s">
        <v>466</v>
      </c>
      <c r="B512" s="345"/>
      <c r="C512" s="345"/>
      <c r="D512" s="348" t="s">
        <v>467</v>
      </c>
      <c r="E512" s="345"/>
    </row>
    <row r="513" spans="1:5" ht="13.2">
      <c r="A513" s="409" t="s">
        <v>481</v>
      </c>
      <c r="B513" s="398"/>
      <c r="C513" s="399"/>
      <c r="D513" s="459" t="s">
        <v>481</v>
      </c>
      <c r="E513" s="345"/>
    </row>
    <row r="514" spans="1:5" ht="13.2">
      <c r="A514" s="441"/>
      <c r="B514" s="398"/>
      <c r="C514" s="399"/>
      <c r="D514" s="359"/>
      <c r="E514" s="345"/>
    </row>
    <row r="515" spans="1:5" ht="13.2">
      <c r="A515" s="442" t="s">
        <v>470</v>
      </c>
      <c r="B515" s="398"/>
      <c r="C515" s="399"/>
      <c r="D515" s="459" t="s">
        <v>470</v>
      </c>
      <c r="E515" s="345"/>
    </row>
    <row r="516" spans="1:5" ht="13.2">
      <c r="A516" s="442" t="s">
        <v>556</v>
      </c>
      <c r="B516" s="398"/>
      <c r="C516" s="399"/>
      <c r="D516" s="459" t="s">
        <v>556</v>
      </c>
      <c r="E516" s="345"/>
    </row>
    <row r="517" spans="1:5" ht="13.2">
      <c r="A517" s="359" t="s">
        <v>471</v>
      </c>
      <c r="B517" s="345"/>
      <c r="C517" s="345"/>
      <c r="D517" s="359" t="s">
        <v>471</v>
      </c>
      <c r="E517" s="345"/>
    </row>
    <row r="518" spans="1:5" ht="13.2">
      <c r="A518" s="359"/>
      <c r="B518" s="345"/>
      <c r="C518" s="345"/>
      <c r="D518" s="359"/>
      <c r="E518" s="345"/>
    </row>
    <row r="519" spans="1:5" ht="13.2" hidden="1">
      <c r="A519" s="359"/>
      <c r="B519" s="345"/>
      <c r="C519" s="345"/>
      <c r="D519" s="359"/>
      <c r="E519" s="345"/>
    </row>
    <row r="520" spans="1:5" ht="13.2" hidden="1"/>
    <row r="521" spans="1:5" ht="13.2" hidden="1"/>
    <row r="522" spans="1:5" ht="13.2" hidden="1"/>
    <row r="523" spans="1:5" ht="13.2" hidden="1"/>
    <row r="524" spans="1:5" ht="13.2" hidden="1"/>
    <row r="525" spans="1:5" ht="13.2" hidden="1"/>
    <row r="526" spans="1:5" ht="13.2" hidden="1"/>
    <row r="527" spans="1:5" ht="13.2" hidden="1"/>
    <row r="528" spans="1:5" ht="13.2" hidden="1"/>
    <row r="529" ht="13.2" hidden="1"/>
  </sheetData>
  <mergeCells count="551">
    <mergeCell ref="C334:E334"/>
    <mergeCell ref="C335:E335"/>
    <mergeCell ref="C336:E336"/>
    <mergeCell ref="C337:E337"/>
    <mergeCell ref="C338:E338"/>
    <mergeCell ref="C339:E339"/>
    <mergeCell ref="C340:E340"/>
    <mergeCell ref="C341:E341"/>
    <mergeCell ref="C325:E325"/>
    <mergeCell ref="C326:E326"/>
    <mergeCell ref="C327:E327"/>
    <mergeCell ref="C328:E328"/>
    <mergeCell ref="C329:E329"/>
    <mergeCell ref="C330:E330"/>
    <mergeCell ref="C331:E331"/>
    <mergeCell ref="C332:E332"/>
    <mergeCell ref="C333:E333"/>
    <mergeCell ref="C316:E316"/>
    <mergeCell ref="C317:E317"/>
    <mergeCell ref="C318:E318"/>
    <mergeCell ref="C319:E319"/>
    <mergeCell ref="C320:E320"/>
    <mergeCell ref="A321:E321"/>
    <mergeCell ref="C322:E322"/>
    <mergeCell ref="C323:E323"/>
    <mergeCell ref="C324:E324"/>
    <mergeCell ref="C307:E307"/>
    <mergeCell ref="C308:E308"/>
    <mergeCell ref="A309:E309"/>
    <mergeCell ref="C310:E310"/>
    <mergeCell ref="C311:E311"/>
    <mergeCell ref="C312:E312"/>
    <mergeCell ref="C313:E313"/>
    <mergeCell ref="C314:E314"/>
    <mergeCell ref="C315:E315"/>
    <mergeCell ref="C298:E298"/>
    <mergeCell ref="C299:E299"/>
    <mergeCell ref="C300:E300"/>
    <mergeCell ref="C301:E301"/>
    <mergeCell ref="C302:E302"/>
    <mergeCell ref="C303:E303"/>
    <mergeCell ref="C304:E304"/>
    <mergeCell ref="C305:E305"/>
    <mergeCell ref="C306:E306"/>
    <mergeCell ref="C191:E191"/>
    <mergeCell ref="A192:E192"/>
    <mergeCell ref="C193:E193"/>
    <mergeCell ref="C194:E194"/>
    <mergeCell ref="C293:E293"/>
    <mergeCell ref="C294:E294"/>
    <mergeCell ref="C295:E295"/>
    <mergeCell ref="C296:E296"/>
    <mergeCell ref="C297:E297"/>
    <mergeCell ref="C182:E182"/>
    <mergeCell ref="C183:E183"/>
    <mergeCell ref="C184:E184"/>
    <mergeCell ref="C185:E185"/>
    <mergeCell ref="C186:E186"/>
    <mergeCell ref="C187:E187"/>
    <mergeCell ref="C188:E188"/>
    <mergeCell ref="C189:E189"/>
    <mergeCell ref="C190:E190"/>
    <mergeCell ref="C173:E173"/>
    <mergeCell ref="C174:E174"/>
    <mergeCell ref="C175:E175"/>
    <mergeCell ref="C176:E176"/>
    <mergeCell ref="C177:E177"/>
    <mergeCell ref="C178:E178"/>
    <mergeCell ref="C179:E179"/>
    <mergeCell ref="C180:E180"/>
    <mergeCell ref="C181:E181"/>
    <mergeCell ref="C164:E164"/>
    <mergeCell ref="C165:E165"/>
    <mergeCell ref="C166:E166"/>
    <mergeCell ref="C167:E167"/>
    <mergeCell ref="C168:E168"/>
    <mergeCell ref="C169:E169"/>
    <mergeCell ref="C170:E170"/>
    <mergeCell ref="C171:E171"/>
    <mergeCell ref="C172:E172"/>
    <mergeCell ref="C155:E155"/>
    <mergeCell ref="C156:E156"/>
    <mergeCell ref="A157:E157"/>
    <mergeCell ref="A158:E158"/>
    <mergeCell ref="A159:E159"/>
    <mergeCell ref="C160:E160"/>
    <mergeCell ref="C161:E161"/>
    <mergeCell ref="C162:E162"/>
    <mergeCell ref="C163:E163"/>
    <mergeCell ref="C146:E146"/>
    <mergeCell ref="C147:E147"/>
    <mergeCell ref="C148:E148"/>
    <mergeCell ref="C149:E149"/>
    <mergeCell ref="C150:E150"/>
    <mergeCell ref="C151:E151"/>
    <mergeCell ref="C152:E152"/>
    <mergeCell ref="C153:E153"/>
    <mergeCell ref="C154:E154"/>
    <mergeCell ref="C137:E137"/>
    <mergeCell ref="C138:E138"/>
    <mergeCell ref="C139:E139"/>
    <mergeCell ref="C140:E140"/>
    <mergeCell ref="C141:E141"/>
    <mergeCell ref="C142:E142"/>
    <mergeCell ref="C143:E143"/>
    <mergeCell ref="C144:E144"/>
    <mergeCell ref="C145:E145"/>
    <mergeCell ref="C128:E128"/>
    <mergeCell ref="C129:E129"/>
    <mergeCell ref="C130:E130"/>
    <mergeCell ref="C131:E131"/>
    <mergeCell ref="C132:E132"/>
    <mergeCell ref="C133:E133"/>
    <mergeCell ref="C134:E134"/>
    <mergeCell ref="C135:E135"/>
    <mergeCell ref="C136:E136"/>
    <mergeCell ref="C119:E119"/>
    <mergeCell ref="C120:E120"/>
    <mergeCell ref="C121:E121"/>
    <mergeCell ref="C122:E122"/>
    <mergeCell ref="C123:E123"/>
    <mergeCell ref="C124:E124"/>
    <mergeCell ref="C125:E125"/>
    <mergeCell ref="C126:E126"/>
    <mergeCell ref="C127:E127"/>
    <mergeCell ref="C110:E110"/>
    <mergeCell ref="C111:E111"/>
    <mergeCell ref="C112:E112"/>
    <mergeCell ref="C113:E113"/>
    <mergeCell ref="C114:E114"/>
    <mergeCell ref="C115:E115"/>
    <mergeCell ref="C116:E116"/>
    <mergeCell ref="C117:E117"/>
    <mergeCell ref="C118:E118"/>
    <mergeCell ref="C101:E101"/>
    <mergeCell ref="C102:E102"/>
    <mergeCell ref="C103:E103"/>
    <mergeCell ref="C104:E104"/>
    <mergeCell ref="C105:E105"/>
    <mergeCell ref="C106:E106"/>
    <mergeCell ref="C107:E107"/>
    <mergeCell ref="C108:E108"/>
    <mergeCell ref="C109:E109"/>
    <mergeCell ref="C92:E92"/>
    <mergeCell ref="C93:E93"/>
    <mergeCell ref="C94:E94"/>
    <mergeCell ref="C95:E95"/>
    <mergeCell ref="C96:E96"/>
    <mergeCell ref="C97:E97"/>
    <mergeCell ref="C98:E98"/>
    <mergeCell ref="C99:E99"/>
    <mergeCell ref="C100:E100"/>
    <mergeCell ref="C69:E69"/>
    <mergeCell ref="C70:E70"/>
    <mergeCell ref="C71:E71"/>
    <mergeCell ref="C72:E72"/>
    <mergeCell ref="A73:E73"/>
    <mergeCell ref="C74:E74"/>
    <mergeCell ref="C75:E75"/>
    <mergeCell ref="C90:E90"/>
    <mergeCell ref="A91:E91"/>
    <mergeCell ref="A60:E60"/>
    <mergeCell ref="C61:E61"/>
    <mergeCell ref="A62:E62"/>
    <mergeCell ref="A63:E63"/>
    <mergeCell ref="A64:E64"/>
    <mergeCell ref="C65:E65"/>
    <mergeCell ref="C66:E66"/>
    <mergeCell ref="C67:E67"/>
    <mergeCell ref="C68:E68"/>
    <mergeCell ref="C51:E51"/>
    <mergeCell ref="C52:E52"/>
    <mergeCell ref="C53:E53"/>
    <mergeCell ref="C54:E54"/>
    <mergeCell ref="C55:E55"/>
    <mergeCell ref="A56:E56"/>
    <mergeCell ref="C57:E57"/>
    <mergeCell ref="C58:E58"/>
    <mergeCell ref="A59:E59"/>
    <mergeCell ref="C83:E83"/>
    <mergeCell ref="C84:E84"/>
    <mergeCell ref="C85:E85"/>
    <mergeCell ref="C86:E86"/>
    <mergeCell ref="C87:E87"/>
    <mergeCell ref="C88:E88"/>
    <mergeCell ref="C89:E89"/>
    <mergeCell ref="A34:E34"/>
    <mergeCell ref="C35:E35"/>
    <mergeCell ref="A36:E36"/>
    <mergeCell ref="A37:E37"/>
    <mergeCell ref="C38:E38"/>
    <mergeCell ref="C39:E39"/>
    <mergeCell ref="C40:E40"/>
    <mergeCell ref="C41:E41"/>
    <mergeCell ref="A42:E42"/>
    <mergeCell ref="C43:E43"/>
    <mergeCell ref="C44:E44"/>
    <mergeCell ref="C45:E45"/>
    <mergeCell ref="C46:E46"/>
    <mergeCell ref="C47:E47"/>
    <mergeCell ref="A48:E48"/>
    <mergeCell ref="C49:E49"/>
    <mergeCell ref="A50:E50"/>
    <mergeCell ref="A14:B14"/>
    <mergeCell ref="A15:B15"/>
    <mergeCell ref="A16:B16"/>
    <mergeCell ref="A17:B17"/>
    <mergeCell ref="A18:B18"/>
    <mergeCell ref="A19:B19"/>
    <mergeCell ref="A20:B20"/>
    <mergeCell ref="C25:D25"/>
    <mergeCell ref="C26:D26"/>
    <mergeCell ref="C18:E18"/>
    <mergeCell ref="C19:E19"/>
    <mergeCell ref="C20:E20"/>
    <mergeCell ref="C21:E21"/>
    <mergeCell ref="C22:E22"/>
    <mergeCell ref="C8:E8"/>
    <mergeCell ref="C9:E9"/>
    <mergeCell ref="C10:E10"/>
    <mergeCell ref="C11:E11"/>
    <mergeCell ref="C12:E12"/>
    <mergeCell ref="C13:E13"/>
    <mergeCell ref="C14:E14"/>
    <mergeCell ref="A21:B21"/>
    <mergeCell ref="A22:B22"/>
    <mergeCell ref="A23:E23"/>
    <mergeCell ref="A24:B24"/>
    <mergeCell ref="C24:D24"/>
    <mergeCell ref="A25:B25"/>
    <mergeCell ref="A26:B28"/>
    <mergeCell ref="A1:E1"/>
    <mergeCell ref="A2:E2"/>
    <mergeCell ref="A3:D3"/>
    <mergeCell ref="A4:E4"/>
    <mergeCell ref="A5:E5"/>
    <mergeCell ref="A6:E6"/>
    <mergeCell ref="C7:E7"/>
    <mergeCell ref="A7:B7"/>
    <mergeCell ref="A8:B8"/>
    <mergeCell ref="A9:B9"/>
    <mergeCell ref="A10:B10"/>
    <mergeCell ref="A11:B11"/>
    <mergeCell ref="A12:B12"/>
    <mergeCell ref="A13:B13"/>
    <mergeCell ref="C15:E15"/>
    <mergeCell ref="C16:E16"/>
    <mergeCell ref="C17:E17"/>
    <mergeCell ref="A508:E508"/>
    <mergeCell ref="A517:C517"/>
    <mergeCell ref="D517:E517"/>
    <mergeCell ref="A518:C518"/>
    <mergeCell ref="D518:E518"/>
    <mergeCell ref="A519:C519"/>
    <mergeCell ref="D519:E519"/>
    <mergeCell ref="E26:E28"/>
    <mergeCell ref="C27:D27"/>
    <mergeCell ref="C28:D28"/>
    <mergeCell ref="A29:B29"/>
    <mergeCell ref="C29:D29"/>
    <mergeCell ref="A30:B30"/>
    <mergeCell ref="C30:E30"/>
    <mergeCell ref="A31:E31"/>
    <mergeCell ref="A32:E32"/>
    <mergeCell ref="A33:E33"/>
    <mergeCell ref="C76:E76"/>
    <mergeCell ref="C77:E77"/>
    <mergeCell ref="C78:E78"/>
    <mergeCell ref="C79:E79"/>
    <mergeCell ref="C80:E80"/>
    <mergeCell ref="C81:E81"/>
    <mergeCell ref="C82:E82"/>
    <mergeCell ref="A500:E500"/>
    <mergeCell ref="A501:E501"/>
    <mergeCell ref="A502:E502"/>
    <mergeCell ref="A503:E503"/>
    <mergeCell ref="A504:E504"/>
    <mergeCell ref="A505:E505"/>
    <mergeCell ref="A506:E506"/>
    <mergeCell ref="A507:B507"/>
    <mergeCell ref="C507:E507"/>
    <mergeCell ref="A514:C514"/>
    <mergeCell ref="D514:E514"/>
    <mergeCell ref="A515:C515"/>
    <mergeCell ref="D515:E515"/>
    <mergeCell ref="A516:C516"/>
    <mergeCell ref="D516:E516"/>
    <mergeCell ref="A468:E468"/>
    <mergeCell ref="C469:E469"/>
    <mergeCell ref="C470:E470"/>
    <mergeCell ref="C471:E471"/>
    <mergeCell ref="C472:E472"/>
    <mergeCell ref="C473:E473"/>
    <mergeCell ref="C474:E474"/>
    <mergeCell ref="A475:E475"/>
    <mergeCell ref="C476:E476"/>
    <mergeCell ref="C477:E477"/>
    <mergeCell ref="A478:E478"/>
    <mergeCell ref="A479:E479"/>
    <mergeCell ref="C480:E480"/>
    <mergeCell ref="A481:E481"/>
    <mergeCell ref="C482:E482"/>
    <mergeCell ref="C483:E483"/>
    <mergeCell ref="A484:E484"/>
    <mergeCell ref="A485:E485"/>
    <mergeCell ref="C466:E466"/>
    <mergeCell ref="C467:E467"/>
    <mergeCell ref="A509:E509"/>
    <mergeCell ref="A510:E510"/>
    <mergeCell ref="A511:C511"/>
    <mergeCell ref="D511:E511"/>
    <mergeCell ref="A512:C512"/>
    <mergeCell ref="D512:E512"/>
    <mergeCell ref="D513:E513"/>
    <mergeCell ref="A513:C513"/>
    <mergeCell ref="C486:E486"/>
    <mergeCell ref="C487:E487"/>
    <mergeCell ref="C488:E488"/>
    <mergeCell ref="C489:E489"/>
    <mergeCell ref="C490:E490"/>
    <mergeCell ref="C491:E491"/>
    <mergeCell ref="C492:E492"/>
    <mergeCell ref="C493:E493"/>
    <mergeCell ref="C494:E494"/>
    <mergeCell ref="C495:E495"/>
    <mergeCell ref="C496:E496"/>
    <mergeCell ref="C497:E497"/>
    <mergeCell ref="C498:E498"/>
    <mergeCell ref="A499:E499"/>
    <mergeCell ref="C457:E457"/>
    <mergeCell ref="A458:E458"/>
    <mergeCell ref="C459:E459"/>
    <mergeCell ref="C460:E460"/>
    <mergeCell ref="C461:E461"/>
    <mergeCell ref="C462:E462"/>
    <mergeCell ref="A463:E463"/>
    <mergeCell ref="C464:E464"/>
    <mergeCell ref="C465:E465"/>
    <mergeCell ref="C448:E448"/>
    <mergeCell ref="C449:E449"/>
    <mergeCell ref="C450:E450"/>
    <mergeCell ref="C451:E451"/>
    <mergeCell ref="C452:E452"/>
    <mergeCell ref="A453:E453"/>
    <mergeCell ref="C454:E454"/>
    <mergeCell ref="C455:E455"/>
    <mergeCell ref="C456:E456"/>
    <mergeCell ref="C439:E439"/>
    <mergeCell ref="C440:E440"/>
    <mergeCell ref="C441:E441"/>
    <mergeCell ref="C442:E442"/>
    <mergeCell ref="C443:E443"/>
    <mergeCell ref="C444:E444"/>
    <mergeCell ref="C445:E445"/>
    <mergeCell ref="C446:E446"/>
    <mergeCell ref="A447:E447"/>
    <mergeCell ref="C430:E430"/>
    <mergeCell ref="C431:E431"/>
    <mergeCell ref="C432:E432"/>
    <mergeCell ref="C433:E433"/>
    <mergeCell ref="C434:E434"/>
    <mergeCell ref="C435:E435"/>
    <mergeCell ref="C436:E436"/>
    <mergeCell ref="C437:E437"/>
    <mergeCell ref="A438:E438"/>
    <mergeCell ref="C421:E421"/>
    <mergeCell ref="C422:E422"/>
    <mergeCell ref="C423:E423"/>
    <mergeCell ref="C424:E424"/>
    <mergeCell ref="C425:E425"/>
    <mergeCell ref="C426:E426"/>
    <mergeCell ref="C427:E427"/>
    <mergeCell ref="C428:E428"/>
    <mergeCell ref="C429:E429"/>
    <mergeCell ref="C412:E412"/>
    <mergeCell ref="C413:E413"/>
    <mergeCell ref="C414:E414"/>
    <mergeCell ref="A415:E415"/>
    <mergeCell ref="C416:E416"/>
    <mergeCell ref="A417:E417"/>
    <mergeCell ref="A418:E418"/>
    <mergeCell ref="C419:E419"/>
    <mergeCell ref="C420:E420"/>
    <mergeCell ref="C375:E375"/>
    <mergeCell ref="C376:E376"/>
    <mergeCell ref="C377:E377"/>
    <mergeCell ref="C378:E378"/>
    <mergeCell ref="C379:E379"/>
    <mergeCell ref="C380:E380"/>
    <mergeCell ref="C381:E381"/>
    <mergeCell ref="C382:E382"/>
    <mergeCell ref="C383:E383"/>
    <mergeCell ref="C366:E366"/>
    <mergeCell ref="C367:E367"/>
    <mergeCell ref="C368:E368"/>
    <mergeCell ref="C369:E369"/>
    <mergeCell ref="C370:E370"/>
    <mergeCell ref="C371:E371"/>
    <mergeCell ref="C372:E372"/>
    <mergeCell ref="C373:E373"/>
    <mergeCell ref="A374:E374"/>
    <mergeCell ref="C357:E357"/>
    <mergeCell ref="C358:E358"/>
    <mergeCell ref="C359:E359"/>
    <mergeCell ref="C360:E360"/>
    <mergeCell ref="C361:E361"/>
    <mergeCell ref="C362:E362"/>
    <mergeCell ref="C363:E363"/>
    <mergeCell ref="C364:E364"/>
    <mergeCell ref="C365:E365"/>
    <mergeCell ref="C403:E403"/>
    <mergeCell ref="C404:E404"/>
    <mergeCell ref="C405:E405"/>
    <mergeCell ref="C406:E406"/>
    <mergeCell ref="C407:E407"/>
    <mergeCell ref="A408:E408"/>
    <mergeCell ref="C409:E409"/>
    <mergeCell ref="C410:E410"/>
    <mergeCell ref="A411:E411"/>
    <mergeCell ref="C394:E394"/>
    <mergeCell ref="C395:E395"/>
    <mergeCell ref="C396:E396"/>
    <mergeCell ref="C397:E397"/>
    <mergeCell ref="A398:E398"/>
    <mergeCell ref="C399:E399"/>
    <mergeCell ref="C400:E400"/>
    <mergeCell ref="C401:E401"/>
    <mergeCell ref="C402:E402"/>
    <mergeCell ref="C385:E385"/>
    <mergeCell ref="C386:E386"/>
    <mergeCell ref="C387:E387"/>
    <mergeCell ref="C388:E388"/>
    <mergeCell ref="C389:E389"/>
    <mergeCell ref="C390:E390"/>
    <mergeCell ref="C391:E391"/>
    <mergeCell ref="C392:E392"/>
    <mergeCell ref="C393:E393"/>
    <mergeCell ref="C285:E285"/>
    <mergeCell ref="C286:E286"/>
    <mergeCell ref="A287:E287"/>
    <mergeCell ref="A288:E288"/>
    <mergeCell ref="C289:E289"/>
    <mergeCell ref="C290:E290"/>
    <mergeCell ref="A291:E291"/>
    <mergeCell ref="C292:E292"/>
    <mergeCell ref="C384:E384"/>
    <mergeCell ref="C342:E342"/>
    <mergeCell ref="C343:E343"/>
    <mergeCell ref="C344:E344"/>
    <mergeCell ref="A345:E345"/>
    <mergeCell ref="A346:E346"/>
    <mergeCell ref="C347:E347"/>
    <mergeCell ref="C348:E348"/>
    <mergeCell ref="A349:E349"/>
    <mergeCell ref="C350:E350"/>
    <mergeCell ref="C351:E351"/>
    <mergeCell ref="C352:E352"/>
    <mergeCell ref="C353:E353"/>
    <mergeCell ref="C354:E354"/>
    <mergeCell ref="C355:E355"/>
    <mergeCell ref="C356:E356"/>
    <mergeCell ref="C276:E276"/>
    <mergeCell ref="C277:E277"/>
    <mergeCell ref="C278:E278"/>
    <mergeCell ref="C279:E279"/>
    <mergeCell ref="C280:E280"/>
    <mergeCell ref="A281:E281"/>
    <mergeCell ref="C282:E282"/>
    <mergeCell ref="C283:E283"/>
    <mergeCell ref="C284:E284"/>
    <mergeCell ref="C267:E267"/>
    <mergeCell ref="C268:E268"/>
    <mergeCell ref="C269:E269"/>
    <mergeCell ref="C270:E270"/>
    <mergeCell ref="C271:E271"/>
    <mergeCell ref="C272:E272"/>
    <mergeCell ref="C273:E273"/>
    <mergeCell ref="C274:E274"/>
    <mergeCell ref="C275:E275"/>
    <mergeCell ref="C258:E258"/>
    <mergeCell ref="C259:E259"/>
    <mergeCell ref="C260:E260"/>
    <mergeCell ref="C261:E261"/>
    <mergeCell ref="C262:E262"/>
    <mergeCell ref="C263:E263"/>
    <mergeCell ref="C264:E264"/>
    <mergeCell ref="C265:E265"/>
    <mergeCell ref="C266:E266"/>
    <mergeCell ref="C249:E249"/>
    <mergeCell ref="C250:E250"/>
    <mergeCell ref="C251:E251"/>
    <mergeCell ref="C252:E252"/>
    <mergeCell ref="A253:E253"/>
    <mergeCell ref="C254:E254"/>
    <mergeCell ref="A255:E255"/>
    <mergeCell ref="C256:E256"/>
    <mergeCell ref="C257:E257"/>
    <mergeCell ref="C240:E240"/>
    <mergeCell ref="C241:E241"/>
    <mergeCell ref="C242:E242"/>
    <mergeCell ref="C243:E243"/>
    <mergeCell ref="C244:E244"/>
    <mergeCell ref="A245:E245"/>
    <mergeCell ref="A246:E246"/>
    <mergeCell ref="C247:E247"/>
    <mergeCell ref="C248:E248"/>
    <mergeCell ref="A231:E231"/>
    <mergeCell ref="C232:E232"/>
    <mergeCell ref="C233:E233"/>
    <mergeCell ref="C234:E234"/>
    <mergeCell ref="C235:E235"/>
    <mergeCell ref="C236:E236"/>
    <mergeCell ref="C237:E237"/>
    <mergeCell ref="C238:E238"/>
    <mergeCell ref="C239:E239"/>
    <mergeCell ref="C222:E222"/>
    <mergeCell ref="C223:E223"/>
    <mergeCell ref="C224:E224"/>
    <mergeCell ref="C225:E225"/>
    <mergeCell ref="C226:E226"/>
    <mergeCell ref="C227:E227"/>
    <mergeCell ref="C228:E228"/>
    <mergeCell ref="C229:E229"/>
    <mergeCell ref="C230:E230"/>
    <mergeCell ref="C213:E213"/>
    <mergeCell ref="C214:E214"/>
    <mergeCell ref="C215:E215"/>
    <mergeCell ref="C216:E216"/>
    <mergeCell ref="C217:E217"/>
    <mergeCell ref="C218:E218"/>
    <mergeCell ref="C219:E219"/>
    <mergeCell ref="C220:E220"/>
    <mergeCell ref="C221:E221"/>
    <mergeCell ref="C204:E204"/>
    <mergeCell ref="C205:E205"/>
    <mergeCell ref="C206:E206"/>
    <mergeCell ref="C207:E207"/>
    <mergeCell ref="C208:E208"/>
    <mergeCell ref="C209:E209"/>
    <mergeCell ref="C210:E210"/>
    <mergeCell ref="C211:E211"/>
    <mergeCell ref="C212:E212"/>
    <mergeCell ref="C195:E195"/>
    <mergeCell ref="C196:E196"/>
    <mergeCell ref="C197:E197"/>
    <mergeCell ref="C198:E198"/>
    <mergeCell ref="C199:E199"/>
    <mergeCell ref="C200:E200"/>
    <mergeCell ref="C201:E201"/>
    <mergeCell ref="C202:E202"/>
    <mergeCell ref="C203:E203"/>
  </mergeCells>
  <hyperlinks>
    <hyperlink ref="B44" r:id="rId1" xr:uid="{00000000-0004-0000-0400-000000000000}"/>
    <hyperlink ref="B49" r:id="rId2" xr:uid="{00000000-0004-0000-0400-000001000000}"/>
    <hyperlink ref="C57" r:id="rId3" xr:uid="{00000000-0004-0000-0400-000002000000}"/>
    <hyperlink ref="B66" r:id="rId4" xr:uid="{00000000-0004-0000-0400-000003000000}"/>
    <hyperlink ref="B67" r:id="rId5" xr:uid="{00000000-0004-0000-0400-000004000000}"/>
    <hyperlink ref="B68" r:id="rId6" xr:uid="{00000000-0004-0000-0400-000005000000}"/>
    <hyperlink ref="C70" r:id="rId7" xr:uid="{00000000-0004-0000-0400-000006000000}"/>
    <hyperlink ref="C78" r:id="rId8" xr:uid="{00000000-0004-0000-0400-000007000000}"/>
    <hyperlink ref="C82" r:id="rId9" xr:uid="{00000000-0004-0000-0400-000008000000}"/>
    <hyperlink ref="C84" r:id="rId10" xr:uid="{00000000-0004-0000-0400-000009000000}"/>
    <hyperlink ref="C85" r:id="rId11" xr:uid="{00000000-0004-0000-0400-00000A000000}"/>
    <hyperlink ref="C87" r:id="rId12" xr:uid="{00000000-0004-0000-0400-00000B000000}"/>
    <hyperlink ref="C88" r:id="rId13" xr:uid="{00000000-0004-0000-0400-00000C000000}"/>
    <hyperlink ref="C93" r:id="rId14" xr:uid="{00000000-0004-0000-0400-00000D000000}"/>
    <hyperlink ref="C95" r:id="rId15" xr:uid="{00000000-0004-0000-0400-00000E000000}"/>
    <hyperlink ref="C96" r:id="rId16" xr:uid="{00000000-0004-0000-0400-00000F000000}"/>
    <hyperlink ref="C97" r:id="rId17" xr:uid="{00000000-0004-0000-0400-000010000000}"/>
    <hyperlink ref="C107" r:id="rId18" xr:uid="{00000000-0004-0000-0400-000011000000}"/>
    <hyperlink ref="B120" r:id="rId19" xr:uid="{00000000-0004-0000-0400-000012000000}"/>
    <hyperlink ref="B121" r:id="rId20" xr:uid="{00000000-0004-0000-0400-000013000000}"/>
    <hyperlink ref="B129" r:id="rId21" xr:uid="{00000000-0004-0000-0400-000014000000}"/>
    <hyperlink ref="C131" r:id="rId22" xr:uid="{00000000-0004-0000-0400-000015000000}"/>
    <hyperlink ref="C132" r:id="rId23" xr:uid="{00000000-0004-0000-0400-000016000000}"/>
    <hyperlink ref="C161" r:id="rId24" xr:uid="{00000000-0004-0000-0400-000017000000}"/>
    <hyperlink ref="B168" r:id="rId25" xr:uid="{00000000-0004-0000-0400-000018000000}"/>
    <hyperlink ref="C172" r:id="rId26" xr:uid="{00000000-0004-0000-0400-000019000000}"/>
    <hyperlink ref="C177" r:id="rId27" xr:uid="{00000000-0004-0000-0400-00001A000000}"/>
    <hyperlink ref="C178" r:id="rId28" xr:uid="{00000000-0004-0000-0400-00001B000000}"/>
    <hyperlink ref="C180" r:id="rId29" xr:uid="{00000000-0004-0000-0400-00001C000000}"/>
    <hyperlink ref="C186" r:id="rId30" xr:uid="{00000000-0004-0000-0400-00001D000000}"/>
    <hyperlink ref="C187" r:id="rId31" xr:uid="{00000000-0004-0000-0400-00001E000000}"/>
    <hyperlink ref="C191" r:id="rId32" xr:uid="{00000000-0004-0000-0400-00001F000000}"/>
    <hyperlink ref="C203" r:id="rId33" xr:uid="{00000000-0004-0000-0400-000020000000}"/>
    <hyperlink ref="C204" r:id="rId34" xr:uid="{00000000-0004-0000-0400-000021000000}"/>
    <hyperlink ref="C211" r:id="rId35" xr:uid="{00000000-0004-0000-0400-000022000000}"/>
    <hyperlink ref="B214" r:id="rId36" xr:uid="{00000000-0004-0000-0400-000023000000}"/>
    <hyperlink ref="B215" r:id="rId37" xr:uid="{00000000-0004-0000-0400-000024000000}"/>
    <hyperlink ref="B260" r:id="rId38" xr:uid="{00000000-0004-0000-0400-000025000000}"/>
    <hyperlink ref="B267" r:id="rId39" xr:uid="{00000000-0004-0000-0400-000026000000}"/>
    <hyperlink ref="B279" r:id="rId40" xr:uid="{00000000-0004-0000-0400-000027000000}"/>
    <hyperlink ref="C293" r:id="rId41" xr:uid="{00000000-0004-0000-0400-000028000000}"/>
    <hyperlink ref="C294" r:id="rId42" xr:uid="{00000000-0004-0000-0400-000029000000}"/>
    <hyperlink ref="B304" r:id="rId43" xr:uid="{00000000-0004-0000-0400-00002A000000}"/>
    <hyperlink ref="B312" r:id="rId44" xr:uid="{00000000-0004-0000-0400-00002B000000}"/>
    <hyperlink ref="B316" r:id="rId45" xr:uid="{00000000-0004-0000-0400-00002C000000}"/>
    <hyperlink ref="B320" r:id="rId46" xr:uid="{00000000-0004-0000-0400-00002D000000}"/>
    <hyperlink ref="B325" r:id="rId47" xr:uid="{00000000-0004-0000-0400-00002E000000}"/>
    <hyperlink ref="B328" r:id="rId48" xr:uid="{00000000-0004-0000-0400-00002F000000}"/>
    <hyperlink ref="B332" r:id="rId49" xr:uid="{00000000-0004-0000-0400-000030000000}"/>
    <hyperlink ref="B335" r:id="rId50" xr:uid="{00000000-0004-0000-0400-000031000000}"/>
    <hyperlink ref="C352" r:id="rId51" xr:uid="{00000000-0004-0000-0400-000032000000}"/>
    <hyperlink ref="C353" r:id="rId52" xr:uid="{00000000-0004-0000-0400-000033000000}"/>
    <hyperlink ref="C354" r:id="rId53" xr:uid="{00000000-0004-0000-0400-000034000000}"/>
    <hyperlink ref="C355" r:id="rId54" xr:uid="{00000000-0004-0000-0400-000035000000}"/>
    <hyperlink ref="B357" r:id="rId55" xr:uid="{00000000-0004-0000-0400-000036000000}"/>
    <hyperlink ref="B364" r:id="rId56" xr:uid="{00000000-0004-0000-0400-000037000000}"/>
    <hyperlink ref="B382" r:id="rId57" xr:uid="{00000000-0004-0000-0400-000038000000}"/>
    <hyperlink ref="B384" r:id="rId58" xr:uid="{00000000-0004-0000-0400-000039000000}"/>
    <hyperlink ref="B388" r:id="rId59" xr:uid="{00000000-0004-0000-0400-00003A000000}"/>
    <hyperlink ref="B392" r:id="rId60" xr:uid="{00000000-0004-0000-0400-00003B000000}"/>
    <hyperlink ref="B394" r:id="rId61" xr:uid="{00000000-0004-0000-0400-00003C000000}"/>
    <hyperlink ref="B400" r:id="rId62" xr:uid="{00000000-0004-0000-0400-00003D000000}"/>
    <hyperlink ref="B402" r:id="rId63" xr:uid="{00000000-0004-0000-0400-00003E000000}"/>
    <hyperlink ref="B404" r:id="rId64" xr:uid="{00000000-0004-0000-0400-00003F000000}"/>
    <hyperlink ref="C410" r:id="rId65" xr:uid="{00000000-0004-0000-0400-000040000000}"/>
    <hyperlink ref="C420" r:id="rId66" xr:uid="{00000000-0004-0000-0400-000041000000}"/>
    <hyperlink ref="C421" r:id="rId67" xr:uid="{00000000-0004-0000-0400-000042000000}"/>
    <hyperlink ref="C422" r:id="rId68" xr:uid="{00000000-0004-0000-0400-000043000000}"/>
    <hyperlink ref="B423" r:id="rId69" xr:uid="{00000000-0004-0000-0400-000044000000}"/>
    <hyperlink ref="B430" r:id="rId70" xr:uid="{00000000-0004-0000-0400-000045000000}"/>
    <hyperlink ref="C439" r:id="rId71" xr:uid="{00000000-0004-0000-0400-000046000000}"/>
    <hyperlink ref="C448" r:id="rId72" xr:uid="{00000000-0004-0000-0400-000047000000}"/>
    <hyperlink ref="C454" r:id="rId73" xr:uid="{00000000-0004-0000-0400-000048000000}"/>
    <hyperlink ref="C464" r:id="rId74" xr:uid="{00000000-0004-0000-0400-000049000000}"/>
    <hyperlink ref="C469" r:id="rId75" xr:uid="{00000000-0004-0000-0400-00004A000000}"/>
    <hyperlink ref="C476" r:id="rId76" xr:uid="{00000000-0004-0000-0400-00004B000000}"/>
    <hyperlink ref="B486" r:id="rId77" xr:uid="{00000000-0004-0000-0400-00004C000000}"/>
  </hyperlink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outlinePr summaryBelow="0" summaryRight="0"/>
  </sheetPr>
  <dimension ref="A1:F301"/>
  <sheetViews>
    <sheetView tabSelected="1" workbookViewId="0">
      <selection activeCell="B10" sqref="B10"/>
    </sheetView>
  </sheetViews>
  <sheetFormatPr defaultColWidth="12.6640625" defaultRowHeight="15.75" customHeight="1" outlineLevelRow="1"/>
  <cols>
    <col min="1" max="1" width="7" customWidth="1"/>
    <col min="2" max="2" width="62.6640625" customWidth="1"/>
    <col min="3" max="4" width="35.109375" customWidth="1"/>
    <col min="5" max="6" width="17.6640625" customWidth="1"/>
  </cols>
  <sheetData>
    <row r="1" spans="1:6">
      <c r="A1" s="476" t="s">
        <v>3677</v>
      </c>
      <c r="B1" s="477"/>
      <c r="C1" s="477"/>
      <c r="D1" s="474"/>
      <c r="E1" s="220"/>
      <c r="F1" s="221"/>
    </row>
    <row r="2" spans="1:6">
      <c r="A2" s="222"/>
      <c r="B2" s="223"/>
      <c r="C2" s="223"/>
      <c r="D2" s="224"/>
      <c r="E2" s="225"/>
      <c r="F2" s="223"/>
    </row>
    <row r="3" spans="1:6">
      <c r="A3" s="478" t="s">
        <v>3678</v>
      </c>
      <c r="B3" s="477"/>
      <c r="C3" s="477"/>
      <c r="D3" s="474"/>
      <c r="E3" s="226"/>
      <c r="F3" s="222"/>
    </row>
    <row r="4" spans="1:6">
      <c r="A4" s="227"/>
      <c r="B4" s="228"/>
      <c r="C4" s="228"/>
      <c r="D4" s="229"/>
      <c r="E4" s="230"/>
      <c r="F4" s="228"/>
    </row>
    <row r="5" spans="1:6">
      <c r="A5" s="466" t="s">
        <v>3679</v>
      </c>
      <c r="B5" s="350"/>
      <c r="C5" s="350"/>
      <c r="D5" s="351"/>
      <c r="E5" s="231"/>
      <c r="F5" s="232"/>
    </row>
    <row r="6" spans="1:6" outlineLevel="1">
      <c r="A6" s="463" t="s">
        <v>3680</v>
      </c>
      <c r="B6" s="464" t="s">
        <v>3681</v>
      </c>
      <c r="C6" s="467" t="s">
        <v>3682</v>
      </c>
      <c r="D6" s="351"/>
      <c r="E6" s="233"/>
      <c r="F6" s="234"/>
    </row>
    <row r="7" spans="1:6" outlineLevel="1">
      <c r="A7" s="372"/>
      <c r="B7" s="372"/>
      <c r="C7" s="235" t="s">
        <v>3683</v>
      </c>
      <c r="D7" s="235" t="s">
        <v>3684</v>
      </c>
      <c r="E7" s="236" t="s">
        <v>3685</v>
      </c>
      <c r="F7" s="235" t="s">
        <v>3686</v>
      </c>
    </row>
    <row r="8" spans="1:6" outlineLevel="1">
      <c r="A8" s="237" t="s">
        <v>3687</v>
      </c>
      <c r="B8" s="238" t="s">
        <v>3688</v>
      </c>
      <c r="C8" s="239" t="s">
        <v>3689</v>
      </c>
      <c r="D8" s="240" t="s">
        <v>2417</v>
      </c>
      <c r="E8" s="241"/>
      <c r="F8" s="241"/>
    </row>
    <row r="9" spans="1:6" outlineLevel="1">
      <c r="A9" s="237" t="s">
        <v>3690</v>
      </c>
      <c r="B9" s="465" t="s">
        <v>3691</v>
      </c>
      <c r="C9" s="350"/>
      <c r="D9" s="351"/>
      <c r="E9" s="242"/>
      <c r="F9" s="242"/>
    </row>
    <row r="10" spans="1:6" ht="30" outlineLevel="1">
      <c r="A10" s="243" t="s">
        <v>3692</v>
      </c>
      <c r="B10" s="244" t="s">
        <v>3693</v>
      </c>
      <c r="C10" s="239" t="s">
        <v>3694</v>
      </c>
      <c r="D10" s="239" t="s">
        <v>3695</v>
      </c>
      <c r="E10" s="245"/>
      <c r="F10" s="245"/>
    </row>
    <row r="11" spans="1:6" outlineLevel="1">
      <c r="A11" s="243" t="s">
        <v>3696</v>
      </c>
      <c r="B11" s="246" t="s">
        <v>3697</v>
      </c>
      <c r="C11" s="239" t="s">
        <v>3698</v>
      </c>
      <c r="D11" s="239" t="s">
        <v>3699</v>
      </c>
      <c r="E11" s="245"/>
      <c r="F11" s="245"/>
    </row>
    <row r="12" spans="1:6" outlineLevel="1">
      <c r="A12" s="243" t="s">
        <v>3700</v>
      </c>
      <c r="B12" s="246" t="s">
        <v>3701</v>
      </c>
      <c r="C12" s="240" t="s">
        <v>3702</v>
      </c>
      <c r="D12" s="240" t="s">
        <v>3703</v>
      </c>
      <c r="E12" s="247"/>
      <c r="F12" s="247"/>
    </row>
    <row r="13" spans="1:6" outlineLevel="1">
      <c r="A13" s="243" t="s">
        <v>3704</v>
      </c>
      <c r="B13" s="246" t="s">
        <v>3705</v>
      </c>
      <c r="C13" s="240" t="s">
        <v>3702</v>
      </c>
      <c r="D13" s="239" t="s">
        <v>3706</v>
      </c>
      <c r="E13" s="245"/>
      <c r="F13" s="245"/>
    </row>
    <row r="14" spans="1:6" outlineLevel="1">
      <c r="A14" s="243" t="s">
        <v>3707</v>
      </c>
      <c r="B14" s="246" t="s">
        <v>3708</v>
      </c>
      <c r="C14" s="240" t="s">
        <v>3709</v>
      </c>
      <c r="D14" s="240" t="s">
        <v>2417</v>
      </c>
      <c r="E14" s="247"/>
      <c r="F14" s="247"/>
    </row>
    <row r="15" spans="1:6" outlineLevel="1">
      <c r="A15" s="237" t="s">
        <v>3710</v>
      </c>
      <c r="B15" s="465" t="s">
        <v>3711</v>
      </c>
      <c r="C15" s="350"/>
      <c r="D15" s="351"/>
      <c r="E15" s="248"/>
      <c r="F15" s="248"/>
    </row>
    <row r="16" spans="1:6" outlineLevel="1">
      <c r="A16" s="243" t="s">
        <v>3712</v>
      </c>
      <c r="B16" s="246" t="s">
        <v>3713</v>
      </c>
      <c r="C16" s="240" t="s">
        <v>3714</v>
      </c>
      <c r="D16" s="239" t="s">
        <v>2417</v>
      </c>
      <c r="E16" s="245"/>
      <c r="F16" s="245"/>
    </row>
    <row r="17" spans="1:6" outlineLevel="1">
      <c r="A17" s="243" t="s">
        <v>3715</v>
      </c>
      <c r="B17" s="246" t="s">
        <v>3716</v>
      </c>
      <c r="C17" s="240" t="s">
        <v>3714</v>
      </c>
      <c r="D17" s="239" t="s">
        <v>2417</v>
      </c>
      <c r="E17" s="245"/>
      <c r="F17" s="245"/>
    </row>
    <row r="18" spans="1:6" outlineLevel="1">
      <c r="A18" s="243" t="s">
        <v>3717</v>
      </c>
      <c r="B18" s="246" t="s">
        <v>3718</v>
      </c>
      <c r="C18" s="240" t="s">
        <v>3714</v>
      </c>
      <c r="D18" s="239" t="s">
        <v>2417</v>
      </c>
      <c r="E18" s="245"/>
      <c r="F18" s="245"/>
    </row>
    <row r="19" spans="1:6" outlineLevel="1">
      <c r="A19" s="243" t="s">
        <v>3719</v>
      </c>
      <c r="B19" s="249" t="s">
        <v>3720</v>
      </c>
      <c r="C19" s="240" t="s">
        <v>3721</v>
      </c>
      <c r="D19" s="239" t="s">
        <v>2417</v>
      </c>
      <c r="E19" s="245"/>
      <c r="F19" s="245"/>
    </row>
    <row r="20" spans="1:6" outlineLevel="1">
      <c r="A20" s="237" t="s">
        <v>3722</v>
      </c>
      <c r="B20" s="465" t="s">
        <v>3723</v>
      </c>
      <c r="C20" s="350"/>
      <c r="D20" s="351"/>
      <c r="E20" s="248"/>
      <c r="F20" s="248"/>
    </row>
    <row r="21" spans="1:6" outlineLevel="1">
      <c r="A21" s="243" t="s">
        <v>3724</v>
      </c>
      <c r="B21" s="246" t="s">
        <v>3725</v>
      </c>
      <c r="C21" s="250" t="s">
        <v>3726</v>
      </c>
      <c r="D21" s="239" t="s">
        <v>2417</v>
      </c>
      <c r="E21" s="245"/>
      <c r="F21" s="245"/>
    </row>
    <row r="22" spans="1:6" outlineLevel="1">
      <c r="A22" s="243" t="s">
        <v>3727</v>
      </c>
      <c r="B22" s="246" t="s">
        <v>3728</v>
      </c>
      <c r="C22" s="240" t="s">
        <v>3729</v>
      </c>
      <c r="D22" s="240" t="s">
        <v>3730</v>
      </c>
      <c r="E22" s="247"/>
      <c r="F22" s="247"/>
    </row>
    <row r="23" spans="1:6" outlineLevel="1">
      <c r="A23" s="243" t="s">
        <v>3731</v>
      </c>
      <c r="B23" s="246" t="s">
        <v>3732</v>
      </c>
      <c r="C23" s="240" t="s">
        <v>3714</v>
      </c>
      <c r="D23" s="240" t="s">
        <v>3733</v>
      </c>
      <c r="E23" s="247"/>
      <c r="F23" s="247"/>
    </row>
    <row r="24" spans="1:6" outlineLevel="1">
      <c r="A24" s="243" t="s">
        <v>3734</v>
      </c>
      <c r="B24" s="246" t="s">
        <v>3735</v>
      </c>
      <c r="C24" s="240" t="s">
        <v>3729</v>
      </c>
      <c r="D24" s="240" t="s">
        <v>3730</v>
      </c>
      <c r="E24" s="247"/>
      <c r="F24" s="247"/>
    </row>
    <row r="25" spans="1:6" outlineLevel="1">
      <c r="A25" s="237" t="s">
        <v>3736</v>
      </c>
      <c r="B25" s="251" t="s">
        <v>3737</v>
      </c>
      <c r="C25" s="240" t="s">
        <v>3738</v>
      </c>
      <c r="D25" s="239" t="s">
        <v>2417</v>
      </c>
      <c r="E25" s="245"/>
      <c r="F25" s="245"/>
    </row>
    <row r="26" spans="1:6" outlineLevel="1">
      <c r="A26" s="237" t="s">
        <v>3739</v>
      </c>
      <c r="B26" s="238" t="s">
        <v>3740</v>
      </c>
      <c r="C26" s="240" t="s">
        <v>3741</v>
      </c>
      <c r="D26" s="239" t="s">
        <v>2417</v>
      </c>
      <c r="E26" s="245"/>
      <c r="F26" s="245"/>
    </row>
    <row r="27" spans="1:6" outlineLevel="1">
      <c r="A27" s="237" t="s">
        <v>3742</v>
      </c>
      <c r="B27" s="238" t="s">
        <v>3743</v>
      </c>
      <c r="C27" s="239" t="s">
        <v>3744</v>
      </c>
      <c r="D27" s="239" t="s">
        <v>2417</v>
      </c>
      <c r="E27" s="245"/>
      <c r="F27" s="245"/>
    </row>
    <row r="28" spans="1:6" outlineLevel="1">
      <c r="A28" s="252"/>
      <c r="B28" s="253"/>
      <c r="C28" s="254"/>
      <c r="D28" s="254"/>
      <c r="E28" s="255"/>
      <c r="F28" s="255"/>
    </row>
    <row r="29" spans="1:6">
      <c r="A29" s="466" t="s">
        <v>3745</v>
      </c>
      <c r="B29" s="350"/>
      <c r="C29" s="350"/>
      <c r="D29" s="351"/>
      <c r="E29" s="256"/>
      <c r="F29" s="256"/>
    </row>
    <row r="30" spans="1:6" outlineLevel="1">
      <c r="A30" s="463" t="s">
        <v>3680</v>
      </c>
      <c r="B30" s="464" t="s">
        <v>3681</v>
      </c>
      <c r="C30" s="467" t="s">
        <v>3682</v>
      </c>
      <c r="D30" s="351"/>
      <c r="E30" s="257"/>
      <c r="F30" s="257"/>
    </row>
    <row r="31" spans="1:6" outlineLevel="1">
      <c r="A31" s="372"/>
      <c r="B31" s="372"/>
      <c r="C31" s="235" t="s">
        <v>3683</v>
      </c>
      <c r="D31" s="235" t="s">
        <v>3684</v>
      </c>
      <c r="E31" s="258"/>
      <c r="F31" s="258"/>
    </row>
    <row r="32" spans="1:6" outlineLevel="1">
      <c r="A32" s="237" t="s">
        <v>3687</v>
      </c>
      <c r="B32" s="465" t="s">
        <v>3746</v>
      </c>
      <c r="C32" s="350"/>
      <c r="D32" s="351"/>
      <c r="E32" s="248"/>
      <c r="F32" s="248"/>
    </row>
    <row r="33" spans="1:6" outlineLevel="1">
      <c r="A33" s="243" t="s">
        <v>3747</v>
      </c>
      <c r="B33" s="246" t="s">
        <v>2025</v>
      </c>
      <c r="C33" s="239" t="s">
        <v>3748</v>
      </c>
      <c r="D33" s="239" t="s">
        <v>2417</v>
      </c>
      <c r="E33" s="245"/>
      <c r="F33" s="245"/>
    </row>
    <row r="34" spans="1:6" outlineLevel="1">
      <c r="A34" s="237" t="s">
        <v>3690</v>
      </c>
      <c r="B34" s="465" t="s">
        <v>3711</v>
      </c>
      <c r="C34" s="350"/>
      <c r="D34" s="351"/>
      <c r="E34" s="248"/>
      <c r="F34" s="248"/>
    </row>
    <row r="35" spans="1:6" outlineLevel="1">
      <c r="A35" s="243" t="s">
        <v>3692</v>
      </c>
      <c r="B35" s="246" t="s">
        <v>3749</v>
      </c>
      <c r="C35" s="240" t="s">
        <v>3714</v>
      </c>
      <c r="D35" s="239" t="s">
        <v>2417</v>
      </c>
      <c r="E35" s="245"/>
      <c r="F35" s="245"/>
    </row>
    <row r="36" spans="1:6" outlineLevel="1">
      <c r="A36" s="243" t="s">
        <v>3696</v>
      </c>
      <c r="B36" s="246" t="s">
        <v>3750</v>
      </c>
      <c r="C36" s="240" t="s">
        <v>3751</v>
      </c>
      <c r="D36" s="239" t="s">
        <v>2417</v>
      </c>
      <c r="E36" s="245"/>
      <c r="F36" s="245"/>
    </row>
    <row r="37" spans="1:6" outlineLevel="1">
      <c r="A37" s="243" t="s">
        <v>3700</v>
      </c>
      <c r="B37" s="246" t="s">
        <v>3752</v>
      </c>
      <c r="C37" s="240" t="s">
        <v>3753</v>
      </c>
      <c r="D37" s="239" t="s">
        <v>2417</v>
      </c>
      <c r="E37" s="245"/>
      <c r="F37" s="245"/>
    </row>
    <row r="38" spans="1:6" outlineLevel="1">
      <c r="A38" s="243" t="s">
        <v>3704</v>
      </c>
      <c r="B38" s="249" t="s">
        <v>3754</v>
      </c>
      <c r="C38" s="240" t="s">
        <v>3714</v>
      </c>
      <c r="D38" s="239" t="s">
        <v>2417</v>
      </c>
      <c r="E38" s="245"/>
      <c r="F38" s="245"/>
    </row>
    <row r="39" spans="1:6" outlineLevel="1">
      <c r="A39" s="243" t="s">
        <v>3707</v>
      </c>
      <c r="B39" s="246" t="s">
        <v>3755</v>
      </c>
      <c r="C39" s="259" t="s">
        <v>3756</v>
      </c>
      <c r="D39" s="239" t="s">
        <v>2417</v>
      </c>
      <c r="E39" s="245"/>
      <c r="F39" s="245"/>
    </row>
    <row r="40" spans="1:6" outlineLevel="1">
      <c r="A40" s="243" t="s">
        <v>3757</v>
      </c>
      <c r="B40" s="246" t="s">
        <v>3758</v>
      </c>
      <c r="C40" s="240" t="s">
        <v>3759</v>
      </c>
      <c r="D40" s="239" t="s">
        <v>2417</v>
      </c>
      <c r="E40" s="245"/>
      <c r="F40" s="245"/>
    </row>
    <row r="41" spans="1:6" outlineLevel="1">
      <c r="A41" s="243" t="s">
        <v>3760</v>
      </c>
      <c r="B41" s="246" t="s">
        <v>3761</v>
      </c>
      <c r="C41" s="240" t="s">
        <v>3762</v>
      </c>
      <c r="D41" s="239" t="s">
        <v>2417</v>
      </c>
      <c r="E41" s="245"/>
      <c r="F41" s="245"/>
    </row>
    <row r="42" spans="1:6" outlineLevel="1">
      <c r="A42" s="237" t="s">
        <v>3710</v>
      </c>
      <c r="B42" s="465" t="s">
        <v>3723</v>
      </c>
      <c r="C42" s="350"/>
      <c r="D42" s="351"/>
      <c r="E42" s="248"/>
      <c r="F42" s="248"/>
    </row>
    <row r="43" spans="1:6" outlineLevel="1">
      <c r="A43" s="243" t="s">
        <v>3712</v>
      </c>
      <c r="B43" s="246" t="s">
        <v>3728</v>
      </c>
      <c r="C43" s="240" t="s">
        <v>3729</v>
      </c>
      <c r="D43" s="240" t="s">
        <v>3730</v>
      </c>
      <c r="E43" s="247"/>
      <c r="F43" s="247"/>
    </row>
    <row r="44" spans="1:6" outlineLevel="1">
      <c r="A44" s="237" t="s">
        <v>3722</v>
      </c>
      <c r="B44" s="465" t="s">
        <v>3763</v>
      </c>
      <c r="C44" s="350"/>
      <c r="D44" s="351"/>
      <c r="E44" s="248"/>
      <c r="F44" s="248"/>
    </row>
    <row r="45" spans="1:6" outlineLevel="1">
      <c r="A45" s="243" t="s">
        <v>3724</v>
      </c>
      <c r="B45" s="246" t="s">
        <v>3764</v>
      </c>
      <c r="C45" s="240" t="s">
        <v>2133</v>
      </c>
      <c r="D45" s="239" t="s">
        <v>2417</v>
      </c>
      <c r="E45" s="245"/>
      <c r="F45" s="245"/>
    </row>
    <row r="46" spans="1:6" outlineLevel="1">
      <c r="A46" s="243" t="s">
        <v>3727</v>
      </c>
      <c r="B46" s="246" t="s">
        <v>3765</v>
      </c>
      <c r="C46" s="240" t="s">
        <v>2133</v>
      </c>
      <c r="D46" s="239" t="s">
        <v>2417</v>
      </c>
      <c r="E46" s="245"/>
      <c r="F46" s="245"/>
    </row>
    <row r="47" spans="1:6" outlineLevel="1">
      <c r="A47" s="243" t="s">
        <v>3731</v>
      </c>
      <c r="B47" s="246" t="s">
        <v>3766</v>
      </c>
      <c r="C47" s="240" t="s">
        <v>3767</v>
      </c>
      <c r="D47" s="239" t="s">
        <v>2417</v>
      </c>
      <c r="E47" s="245"/>
      <c r="F47" s="245"/>
    </row>
    <row r="48" spans="1:6" outlineLevel="1">
      <c r="A48" s="237" t="s">
        <v>3736</v>
      </c>
      <c r="B48" s="465" t="s">
        <v>3768</v>
      </c>
      <c r="C48" s="350"/>
      <c r="D48" s="351"/>
      <c r="E48" s="248"/>
      <c r="F48" s="248"/>
    </row>
    <row r="49" spans="1:6" outlineLevel="1">
      <c r="A49" s="243" t="s">
        <v>3769</v>
      </c>
      <c r="B49" s="246" t="s">
        <v>3770</v>
      </c>
      <c r="C49" s="240" t="s">
        <v>3771</v>
      </c>
      <c r="D49" s="240" t="s">
        <v>3772</v>
      </c>
      <c r="E49" s="247"/>
      <c r="F49" s="247"/>
    </row>
    <row r="50" spans="1:6" outlineLevel="1">
      <c r="A50" s="243" t="s">
        <v>3773</v>
      </c>
      <c r="B50" s="246" t="s">
        <v>3774</v>
      </c>
      <c r="C50" s="240" t="s">
        <v>3775</v>
      </c>
      <c r="D50" s="239" t="s">
        <v>2417</v>
      </c>
      <c r="E50" s="245"/>
      <c r="F50" s="245"/>
    </row>
    <row r="51" spans="1:6" outlineLevel="1">
      <c r="A51" s="243" t="s">
        <v>3776</v>
      </c>
      <c r="B51" s="246" t="s">
        <v>3777</v>
      </c>
      <c r="C51" s="240" t="s">
        <v>3778</v>
      </c>
      <c r="D51" s="239" t="s">
        <v>2417</v>
      </c>
      <c r="E51" s="245"/>
      <c r="F51" s="245"/>
    </row>
    <row r="52" spans="1:6" outlineLevel="1">
      <c r="A52" s="243" t="s">
        <v>3779</v>
      </c>
      <c r="B52" s="246" t="s">
        <v>3780</v>
      </c>
      <c r="C52" s="240" t="s">
        <v>3775</v>
      </c>
      <c r="D52" s="239" t="s">
        <v>2417</v>
      </c>
      <c r="E52" s="245"/>
      <c r="F52" s="245"/>
    </row>
    <row r="53" spans="1:6" outlineLevel="1">
      <c r="A53" s="260" t="s">
        <v>3739</v>
      </c>
      <c r="B53" s="261" t="s">
        <v>3781</v>
      </c>
      <c r="C53" s="239" t="s">
        <v>2417</v>
      </c>
      <c r="D53" s="239" t="s">
        <v>2417</v>
      </c>
      <c r="E53" s="245"/>
      <c r="F53" s="245"/>
    </row>
    <row r="54" spans="1:6" outlineLevel="1">
      <c r="A54" s="252"/>
      <c r="B54" s="253"/>
      <c r="C54" s="254"/>
      <c r="D54" s="254"/>
      <c r="E54" s="255"/>
      <c r="F54" s="255"/>
    </row>
    <row r="55" spans="1:6">
      <c r="A55" s="466" t="s">
        <v>3782</v>
      </c>
      <c r="B55" s="350"/>
      <c r="C55" s="350"/>
      <c r="D55" s="351"/>
      <c r="E55" s="256"/>
      <c r="F55" s="256"/>
    </row>
    <row r="56" spans="1:6" outlineLevel="1">
      <c r="A56" s="237" t="s">
        <v>3687</v>
      </c>
      <c r="B56" s="238" t="s">
        <v>3688</v>
      </c>
      <c r="C56" s="239" t="s">
        <v>3783</v>
      </c>
      <c r="D56" s="239" t="s">
        <v>2417</v>
      </c>
      <c r="E56" s="245"/>
      <c r="F56" s="245"/>
    </row>
    <row r="57" spans="1:6" outlineLevel="1">
      <c r="A57" s="237" t="s">
        <v>3690</v>
      </c>
      <c r="B57" s="465" t="s">
        <v>3691</v>
      </c>
      <c r="C57" s="350"/>
      <c r="D57" s="351"/>
      <c r="E57" s="242"/>
      <c r="F57" s="242"/>
    </row>
    <row r="58" spans="1:6" outlineLevel="1">
      <c r="A58" s="243" t="s">
        <v>3692</v>
      </c>
      <c r="B58" s="262" t="s">
        <v>3784</v>
      </c>
      <c r="C58" s="239" t="s">
        <v>3694</v>
      </c>
      <c r="D58" s="239" t="s">
        <v>3785</v>
      </c>
      <c r="E58" s="245"/>
      <c r="F58" s="245"/>
    </row>
    <row r="59" spans="1:6" outlineLevel="1">
      <c r="A59" s="243" t="s">
        <v>3696</v>
      </c>
      <c r="B59" s="262" t="s">
        <v>3786</v>
      </c>
      <c r="C59" s="240" t="s">
        <v>3698</v>
      </c>
      <c r="D59" s="240" t="s">
        <v>3787</v>
      </c>
      <c r="E59" s="247"/>
      <c r="F59" s="247"/>
    </row>
    <row r="60" spans="1:6" outlineLevel="1">
      <c r="A60" s="243" t="s">
        <v>3700</v>
      </c>
      <c r="B60" s="262" t="s">
        <v>3705</v>
      </c>
      <c r="C60" s="240" t="s">
        <v>3702</v>
      </c>
      <c r="D60" s="240" t="s">
        <v>3703</v>
      </c>
      <c r="E60" s="247"/>
      <c r="F60" s="247"/>
    </row>
    <row r="61" spans="1:6" outlineLevel="1">
      <c r="A61" s="237" t="s">
        <v>3710</v>
      </c>
      <c r="B61" s="479" t="s">
        <v>3711</v>
      </c>
      <c r="C61" s="350"/>
      <c r="D61" s="351"/>
      <c r="E61" s="263"/>
      <c r="F61" s="263"/>
    </row>
    <row r="62" spans="1:6" outlineLevel="1">
      <c r="A62" s="243" t="s">
        <v>3712</v>
      </c>
      <c r="B62" s="262" t="s">
        <v>3758</v>
      </c>
      <c r="C62" s="240" t="s">
        <v>3759</v>
      </c>
      <c r="D62" s="239" t="s">
        <v>2417</v>
      </c>
      <c r="E62" s="245"/>
      <c r="F62" s="245"/>
    </row>
    <row r="63" spans="1:6" outlineLevel="1">
      <c r="A63" s="243" t="s">
        <v>3715</v>
      </c>
      <c r="B63" s="262" t="s">
        <v>3761</v>
      </c>
      <c r="C63" s="240" t="s">
        <v>3762</v>
      </c>
      <c r="D63" s="239" t="s">
        <v>2417</v>
      </c>
      <c r="E63" s="245"/>
      <c r="F63" s="245"/>
    </row>
    <row r="64" spans="1:6" outlineLevel="1">
      <c r="A64" s="237" t="s">
        <v>3722</v>
      </c>
      <c r="B64" s="264" t="s">
        <v>3788</v>
      </c>
      <c r="C64" s="240" t="s">
        <v>3789</v>
      </c>
      <c r="D64" s="239" t="s">
        <v>2417</v>
      </c>
      <c r="E64" s="245"/>
      <c r="F64" s="245"/>
    </row>
    <row r="65" spans="1:6" outlineLevel="1">
      <c r="A65" s="237" t="s">
        <v>3736</v>
      </c>
      <c r="B65" s="479" t="s">
        <v>3790</v>
      </c>
      <c r="C65" s="350"/>
      <c r="D65" s="351"/>
      <c r="E65" s="263"/>
      <c r="F65" s="263"/>
    </row>
    <row r="66" spans="1:6" outlineLevel="1">
      <c r="A66" s="243" t="s">
        <v>3769</v>
      </c>
      <c r="B66" s="262" t="s">
        <v>3791</v>
      </c>
      <c r="C66" s="240" t="s">
        <v>3792</v>
      </c>
      <c r="D66" s="239" t="s">
        <v>2417</v>
      </c>
      <c r="E66" s="245"/>
      <c r="F66" s="245"/>
    </row>
    <row r="67" spans="1:6" outlineLevel="1">
      <c r="A67" s="243" t="s">
        <v>3773</v>
      </c>
      <c r="B67" s="262" t="s">
        <v>3793</v>
      </c>
      <c r="C67" s="240" t="s">
        <v>3792</v>
      </c>
      <c r="D67" s="239" t="s">
        <v>2417</v>
      </c>
      <c r="E67" s="245"/>
      <c r="F67" s="245"/>
    </row>
    <row r="68" spans="1:6" outlineLevel="1">
      <c r="A68" s="260"/>
      <c r="B68" s="251"/>
      <c r="C68" s="251"/>
      <c r="D68" s="251"/>
      <c r="E68" s="248"/>
      <c r="F68" s="248"/>
    </row>
    <row r="69" spans="1:6">
      <c r="A69" s="466" t="s">
        <v>3794</v>
      </c>
      <c r="B69" s="350"/>
      <c r="C69" s="350"/>
      <c r="D69" s="351"/>
      <c r="E69" s="256"/>
      <c r="F69" s="256"/>
    </row>
    <row r="70" spans="1:6" outlineLevel="1">
      <c r="A70" s="463" t="s">
        <v>3680</v>
      </c>
      <c r="B70" s="464" t="s">
        <v>3681</v>
      </c>
      <c r="C70" s="467" t="s">
        <v>3682</v>
      </c>
      <c r="D70" s="351"/>
      <c r="E70" s="257"/>
      <c r="F70" s="257"/>
    </row>
    <row r="71" spans="1:6" outlineLevel="1">
      <c r="A71" s="372"/>
      <c r="B71" s="372"/>
      <c r="C71" s="235" t="s">
        <v>3683</v>
      </c>
      <c r="D71" s="235" t="s">
        <v>3684</v>
      </c>
      <c r="E71" s="258"/>
      <c r="F71" s="258"/>
    </row>
    <row r="72" spans="1:6" outlineLevel="1">
      <c r="A72" s="237" t="s">
        <v>3687</v>
      </c>
      <c r="B72" s="465" t="s">
        <v>3691</v>
      </c>
      <c r="C72" s="350"/>
      <c r="D72" s="351"/>
      <c r="E72" s="242"/>
      <c r="F72" s="242"/>
    </row>
    <row r="73" spans="1:6" outlineLevel="1">
      <c r="A73" s="243" t="s">
        <v>3747</v>
      </c>
      <c r="B73" s="246" t="s">
        <v>3784</v>
      </c>
      <c r="C73" s="239" t="s">
        <v>3694</v>
      </c>
      <c r="D73" s="239" t="s">
        <v>3795</v>
      </c>
      <c r="E73" s="245"/>
      <c r="F73" s="245"/>
    </row>
    <row r="74" spans="1:6" outlineLevel="1">
      <c r="A74" s="243" t="s">
        <v>603</v>
      </c>
      <c r="B74" s="246" t="s">
        <v>3796</v>
      </c>
      <c r="C74" s="265" t="s">
        <v>3694</v>
      </c>
      <c r="D74" s="239" t="s">
        <v>3797</v>
      </c>
      <c r="E74" s="245"/>
      <c r="F74" s="245"/>
    </row>
    <row r="75" spans="1:6" outlineLevel="1">
      <c r="A75" s="243" t="s">
        <v>606</v>
      </c>
      <c r="B75" s="246" t="s">
        <v>3798</v>
      </c>
      <c r="C75" s="240" t="s">
        <v>3799</v>
      </c>
      <c r="D75" s="240" t="s">
        <v>3800</v>
      </c>
      <c r="E75" s="247"/>
      <c r="F75" s="247"/>
    </row>
    <row r="76" spans="1:6" outlineLevel="1">
      <c r="A76" s="243" t="s">
        <v>609</v>
      </c>
      <c r="B76" s="246" t="s">
        <v>3701</v>
      </c>
      <c r="C76" s="240" t="s">
        <v>3702</v>
      </c>
      <c r="D76" s="240" t="s">
        <v>3703</v>
      </c>
      <c r="E76" s="247"/>
      <c r="F76" s="247"/>
    </row>
    <row r="77" spans="1:6" outlineLevel="1">
      <c r="A77" s="243" t="s">
        <v>612</v>
      </c>
      <c r="B77" s="246" t="s">
        <v>3801</v>
      </c>
      <c r="C77" s="240" t="s">
        <v>3702</v>
      </c>
      <c r="D77" s="240" t="s">
        <v>3703</v>
      </c>
      <c r="E77" s="247"/>
      <c r="F77" s="247"/>
    </row>
    <row r="78" spans="1:6" outlineLevel="1">
      <c r="A78" s="243" t="s">
        <v>615</v>
      </c>
      <c r="B78" s="246" t="s">
        <v>3708</v>
      </c>
      <c r="C78" s="240" t="s">
        <v>3709</v>
      </c>
      <c r="D78" s="239" t="s">
        <v>2417</v>
      </c>
      <c r="E78" s="245"/>
      <c r="F78" s="245"/>
    </row>
    <row r="79" spans="1:6" outlineLevel="1">
      <c r="A79" s="237" t="s">
        <v>3690</v>
      </c>
      <c r="B79" s="465" t="s">
        <v>3711</v>
      </c>
      <c r="C79" s="350"/>
      <c r="D79" s="351"/>
      <c r="E79" s="248"/>
      <c r="F79" s="248"/>
    </row>
    <row r="80" spans="1:6" outlineLevel="1">
      <c r="A80" s="243" t="s">
        <v>3692</v>
      </c>
      <c r="B80" s="246" t="s">
        <v>3758</v>
      </c>
      <c r="C80" s="240" t="s">
        <v>3759</v>
      </c>
      <c r="D80" s="239" t="s">
        <v>2417</v>
      </c>
      <c r="E80" s="245"/>
      <c r="F80" s="245"/>
    </row>
    <row r="81" spans="1:6" outlineLevel="1">
      <c r="A81" s="243" t="s">
        <v>3696</v>
      </c>
      <c r="B81" s="246" t="s">
        <v>3761</v>
      </c>
      <c r="C81" s="240" t="s">
        <v>3762</v>
      </c>
      <c r="D81" s="239" t="s">
        <v>2417</v>
      </c>
      <c r="E81" s="245"/>
      <c r="F81" s="245"/>
    </row>
    <row r="82" spans="1:6" outlineLevel="1">
      <c r="A82" s="243" t="s">
        <v>3700</v>
      </c>
      <c r="B82" s="246" t="s">
        <v>3716</v>
      </c>
      <c r="C82" s="240" t="s">
        <v>3714</v>
      </c>
      <c r="D82" s="239" t="s">
        <v>2417</v>
      </c>
      <c r="E82" s="245"/>
      <c r="F82" s="245"/>
    </row>
    <row r="83" spans="1:6" outlineLevel="1">
      <c r="A83" s="243" t="s">
        <v>3704</v>
      </c>
      <c r="B83" s="246" t="s">
        <v>3718</v>
      </c>
      <c r="C83" s="240" t="s">
        <v>3714</v>
      </c>
      <c r="D83" s="239" t="s">
        <v>2417</v>
      </c>
      <c r="E83" s="245"/>
      <c r="F83" s="245"/>
    </row>
    <row r="84" spans="1:6" outlineLevel="1">
      <c r="A84" s="237" t="s">
        <v>3710</v>
      </c>
      <c r="B84" s="465" t="s">
        <v>3723</v>
      </c>
      <c r="C84" s="350"/>
      <c r="D84" s="351"/>
      <c r="E84" s="248"/>
      <c r="F84" s="248"/>
    </row>
    <row r="85" spans="1:6" outlineLevel="1">
      <c r="A85" s="243" t="s">
        <v>3712</v>
      </c>
      <c r="B85" s="246" t="s">
        <v>3725</v>
      </c>
      <c r="C85" s="250" t="s">
        <v>3726</v>
      </c>
      <c r="D85" s="239" t="s">
        <v>2417</v>
      </c>
      <c r="E85" s="245"/>
      <c r="F85" s="245"/>
    </row>
    <row r="86" spans="1:6" outlineLevel="1">
      <c r="A86" s="243" t="s">
        <v>3715</v>
      </c>
      <c r="B86" s="246" t="s">
        <v>3728</v>
      </c>
      <c r="C86" s="240" t="s">
        <v>3729</v>
      </c>
      <c r="D86" s="240" t="s">
        <v>3730</v>
      </c>
      <c r="E86" s="247"/>
      <c r="F86" s="247"/>
    </row>
    <row r="87" spans="1:6" outlineLevel="1">
      <c r="A87" s="243" t="s">
        <v>3717</v>
      </c>
      <c r="B87" s="246" t="s">
        <v>3732</v>
      </c>
      <c r="C87" s="240" t="s">
        <v>3714</v>
      </c>
      <c r="D87" s="240" t="s">
        <v>2417</v>
      </c>
      <c r="E87" s="247"/>
      <c r="F87" s="247"/>
    </row>
    <row r="88" spans="1:6" outlineLevel="1">
      <c r="A88" s="243" t="s">
        <v>3719</v>
      </c>
      <c r="B88" s="246" t="s">
        <v>3802</v>
      </c>
      <c r="C88" s="240" t="s">
        <v>3803</v>
      </c>
      <c r="D88" s="240" t="s">
        <v>3804</v>
      </c>
      <c r="E88" s="247"/>
      <c r="F88" s="247"/>
    </row>
    <row r="89" spans="1:6" outlineLevel="1">
      <c r="A89" s="243" t="s">
        <v>3805</v>
      </c>
      <c r="B89" s="246" t="s">
        <v>3735</v>
      </c>
      <c r="C89" s="240" t="s">
        <v>3729</v>
      </c>
      <c r="D89" s="240" t="s">
        <v>3730</v>
      </c>
      <c r="E89" s="247"/>
      <c r="F89" s="247"/>
    </row>
    <row r="90" spans="1:6" outlineLevel="1">
      <c r="A90" s="237" t="s">
        <v>3736</v>
      </c>
      <c r="B90" s="251" t="s">
        <v>2063</v>
      </c>
      <c r="C90" s="240" t="s">
        <v>3799</v>
      </c>
      <c r="D90" s="239" t="s">
        <v>2417</v>
      </c>
      <c r="E90" s="245"/>
      <c r="F90" s="245"/>
    </row>
    <row r="91" spans="1:6" outlineLevel="1">
      <c r="A91" s="237" t="s">
        <v>3739</v>
      </c>
      <c r="B91" s="238" t="s">
        <v>3740</v>
      </c>
      <c r="C91" s="240" t="s">
        <v>3741</v>
      </c>
      <c r="D91" s="239" t="s">
        <v>2417</v>
      </c>
      <c r="E91" s="245"/>
      <c r="F91" s="245"/>
    </row>
    <row r="92" spans="1:6" outlineLevel="1">
      <c r="A92" s="237" t="s">
        <v>3742</v>
      </c>
      <c r="B92" s="465" t="s">
        <v>3806</v>
      </c>
      <c r="C92" s="350"/>
      <c r="D92" s="351"/>
      <c r="E92" s="266"/>
      <c r="F92" s="266"/>
    </row>
    <row r="93" spans="1:6" outlineLevel="1">
      <c r="A93" s="243" t="s">
        <v>3807</v>
      </c>
      <c r="B93" s="246" t="s">
        <v>3808</v>
      </c>
      <c r="C93" s="259" t="s">
        <v>3809</v>
      </c>
      <c r="D93" s="239" t="s">
        <v>2417</v>
      </c>
      <c r="E93" s="245"/>
      <c r="F93" s="245"/>
    </row>
    <row r="94" spans="1:6" outlineLevel="1">
      <c r="A94" s="243" t="s">
        <v>3810</v>
      </c>
      <c r="B94" s="246" t="s">
        <v>3811</v>
      </c>
      <c r="C94" s="240" t="s">
        <v>3812</v>
      </c>
      <c r="D94" s="239" t="s">
        <v>2417</v>
      </c>
      <c r="E94" s="245"/>
      <c r="F94" s="245"/>
    </row>
    <row r="95" spans="1:6" outlineLevel="1">
      <c r="A95" s="243" t="s">
        <v>3813</v>
      </c>
      <c r="B95" s="246" t="s">
        <v>2132</v>
      </c>
      <c r="C95" s="240" t="s">
        <v>3814</v>
      </c>
      <c r="D95" s="239" t="s">
        <v>2417</v>
      </c>
      <c r="E95" s="245"/>
      <c r="F95" s="245"/>
    </row>
    <row r="96" spans="1:6" outlineLevel="1">
      <c r="A96" s="243" t="s">
        <v>3815</v>
      </c>
      <c r="B96" s="246" t="s">
        <v>3816</v>
      </c>
      <c r="C96" s="259" t="s">
        <v>3799</v>
      </c>
      <c r="D96" s="239" t="s">
        <v>2417</v>
      </c>
      <c r="E96" s="245"/>
      <c r="F96" s="245"/>
    </row>
    <row r="97" spans="1:6" outlineLevel="1">
      <c r="A97" s="260"/>
      <c r="B97" s="267"/>
      <c r="C97" s="259"/>
      <c r="D97" s="259"/>
      <c r="E97" s="268"/>
      <c r="F97" s="268"/>
    </row>
    <row r="98" spans="1:6">
      <c r="A98" s="466" t="s">
        <v>3817</v>
      </c>
      <c r="B98" s="350"/>
      <c r="C98" s="350"/>
      <c r="D98" s="351"/>
      <c r="E98" s="256"/>
      <c r="F98" s="256"/>
    </row>
    <row r="99" spans="1:6" outlineLevel="1">
      <c r="A99" s="463" t="s">
        <v>3680</v>
      </c>
      <c r="B99" s="464" t="s">
        <v>3681</v>
      </c>
      <c r="C99" s="467" t="s">
        <v>3682</v>
      </c>
      <c r="D99" s="351"/>
      <c r="E99" s="257"/>
      <c r="F99" s="257"/>
    </row>
    <row r="100" spans="1:6" outlineLevel="1">
      <c r="A100" s="372"/>
      <c r="B100" s="372"/>
      <c r="C100" s="235" t="s">
        <v>3683</v>
      </c>
      <c r="D100" s="235" t="s">
        <v>3684</v>
      </c>
      <c r="E100" s="258"/>
      <c r="F100" s="258"/>
    </row>
    <row r="101" spans="1:6" outlineLevel="1">
      <c r="A101" s="237" t="s">
        <v>3687</v>
      </c>
      <c r="B101" s="238" t="s">
        <v>3818</v>
      </c>
      <c r="C101" s="259"/>
      <c r="D101" s="259"/>
      <c r="E101" s="268"/>
      <c r="F101" s="268"/>
    </row>
    <row r="102" spans="1:6" outlineLevel="1">
      <c r="A102" s="243" t="s">
        <v>3747</v>
      </c>
      <c r="B102" s="246" t="s">
        <v>3819</v>
      </c>
      <c r="C102" s="240" t="s">
        <v>3820</v>
      </c>
      <c r="D102" s="240" t="s">
        <v>3821</v>
      </c>
      <c r="E102" s="247"/>
      <c r="F102" s="247"/>
    </row>
    <row r="103" spans="1:6" outlineLevel="1">
      <c r="A103" s="243" t="s">
        <v>603</v>
      </c>
      <c r="B103" s="246" t="s">
        <v>3822</v>
      </c>
      <c r="C103" s="240" t="s">
        <v>3823</v>
      </c>
      <c r="D103" s="259" t="s">
        <v>3824</v>
      </c>
      <c r="E103" s="268"/>
      <c r="F103" s="268"/>
    </row>
    <row r="104" spans="1:6" outlineLevel="1">
      <c r="A104" s="243" t="s">
        <v>606</v>
      </c>
      <c r="B104" s="246" t="s">
        <v>3825</v>
      </c>
      <c r="C104" s="240" t="s">
        <v>3823</v>
      </c>
      <c r="D104" s="240" t="s">
        <v>3826</v>
      </c>
      <c r="E104" s="247"/>
      <c r="F104" s="247"/>
    </row>
    <row r="105" spans="1:6" outlineLevel="1">
      <c r="A105" s="243" t="s">
        <v>609</v>
      </c>
      <c r="B105" s="246" t="s">
        <v>3827</v>
      </c>
      <c r="C105" s="240" t="s">
        <v>3823</v>
      </c>
      <c r="D105" s="240" t="s">
        <v>3826</v>
      </c>
      <c r="E105" s="247"/>
      <c r="F105" s="247"/>
    </row>
    <row r="106" spans="1:6" outlineLevel="1">
      <c r="A106" s="237" t="s">
        <v>3690</v>
      </c>
      <c r="B106" s="238" t="s">
        <v>3828</v>
      </c>
      <c r="C106" s="240" t="s">
        <v>3820</v>
      </c>
      <c r="D106" s="259" t="s">
        <v>3829</v>
      </c>
      <c r="E106" s="268"/>
      <c r="F106" s="268"/>
    </row>
    <row r="107" spans="1:6" outlineLevel="1">
      <c r="A107" s="237" t="s">
        <v>3710</v>
      </c>
      <c r="B107" s="238" t="s">
        <v>3830</v>
      </c>
      <c r="C107" s="259"/>
      <c r="D107" s="259"/>
      <c r="E107" s="268"/>
      <c r="F107" s="268"/>
    </row>
    <row r="108" spans="1:6" outlineLevel="1">
      <c r="A108" s="243" t="s">
        <v>3712</v>
      </c>
      <c r="B108" s="246" t="s">
        <v>3831</v>
      </c>
      <c r="C108" s="240" t="s">
        <v>3832</v>
      </c>
      <c r="D108" s="240" t="s">
        <v>3833</v>
      </c>
      <c r="E108" s="247"/>
      <c r="F108" s="247"/>
    </row>
    <row r="109" spans="1:6" outlineLevel="1">
      <c r="A109" s="243" t="s">
        <v>3715</v>
      </c>
      <c r="B109" s="246" t="s">
        <v>3834</v>
      </c>
      <c r="C109" s="259" t="s">
        <v>3835</v>
      </c>
      <c r="D109" s="259"/>
      <c r="E109" s="268"/>
      <c r="F109" s="269" t="s">
        <v>3836</v>
      </c>
    </row>
    <row r="110" spans="1:6" outlineLevel="1">
      <c r="A110" s="243" t="s">
        <v>3717</v>
      </c>
      <c r="B110" s="262" t="s">
        <v>3837</v>
      </c>
      <c r="C110" s="240" t="s">
        <v>3832</v>
      </c>
      <c r="D110" s="240" t="s">
        <v>3833</v>
      </c>
      <c r="E110" s="247"/>
      <c r="F110" s="247"/>
    </row>
    <row r="111" spans="1:6" ht="15.75" customHeight="1" outlineLevel="1">
      <c r="A111" s="270" t="s">
        <v>3719</v>
      </c>
      <c r="B111" s="271" t="s">
        <v>3838</v>
      </c>
      <c r="C111" s="272" t="s">
        <v>3839</v>
      </c>
      <c r="D111" s="259"/>
      <c r="E111" s="268"/>
      <c r="F111" s="268"/>
    </row>
    <row r="112" spans="1:6" outlineLevel="1">
      <c r="A112" s="237" t="s">
        <v>3722</v>
      </c>
      <c r="B112" s="238" t="s">
        <v>3840</v>
      </c>
      <c r="C112" s="259"/>
      <c r="D112" s="259"/>
      <c r="E112" s="268"/>
      <c r="F112" s="268"/>
    </row>
    <row r="113" spans="1:6" outlineLevel="1">
      <c r="A113" s="243" t="s">
        <v>3724</v>
      </c>
      <c r="B113" s="246" t="s">
        <v>3841</v>
      </c>
      <c r="C113" s="240" t="s">
        <v>3842</v>
      </c>
      <c r="D113" s="240" t="s">
        <v>3843</v>
      </c>
      <c r="E113" s="247"/>
      <c r="F113" s="247"/>
    </row>
    <row r="114" spans="1:6" ht="15.75" customHeight="1" outlineLevel="1">
      <c r="A114" s="270" t="s">
        <v>3727</v>
      </c>
      <c r="B114" s="271" t="s">
        <v>3844</v>
      </c>
      <c r="C114" s="272" t="s">
        <v>3845</v>
      </c>
      <c r="D114" s="240"/>
      <c r="E114" s="247"/>
      <c r="F114" s="247"/>
    </row>
    <row r="115" spans="1:6" outlineLevel="1">
      <c r="A115" s="237" t="s">
        <v>3736</v>
      </c>
      <c r="B115" s="238" t="s">
        <v>3846</v>
      </c>
      <c r="C115" s="240" t="s">
        <v>3847</v>
      </c>
      <c r="D115" s="240"/>
      <c r="E115" s="247"/>
      <c r="F115" s="247"/>
    </row>
    <row r="116" spans="1:6" outlineLevel="1">
      <c r="A116" s="237" t="s">
        <v>3739</v>
      </c>
      <c r="B116" s="238" t="s">
        <v>3848</v>
      </c>
      <c r="C116" s="240" t="s">
        <v>3849</v>
      </c>
      <c r="D116" s="240" t="s">
        <v>3804</v>
      </c>
      <c r="E116" s="247"/>
      <c r="F116" s="247"/>
    </row>
    <row r="117" spans="1:6">
      <c r="A117" s="466" t="s">
        <v>3850</v>
      </c>
      <c r="B117" s="350"/>
      <c r="C117" s="350"/>
      <c r="D117" s="351"/>
      <c r="E117" s="256"/>
      <c r="F117" s="256"/>
    </row>
    <row r="118" spans="1:6" outlineLevel="1">
      <c r="A118" s="463" t="s">
        <v>3680</v>
      </c>
      <c r="B118" s="464" t="s">
        <v>3681</v>
      </c>
      <c r="C118" s="467" t="s">
        <v>3682</v>
      </c>
      <c r="D118" s="351"/>
      <c r="E118" s="257"/>
      <c r="F118" s="257"/>
    </row>
    <row r="119" spans="1:6" outlineLevel="1">
      <c r="A119" s="372"/>
      <c r="B119" s="372"/>
      <c r="C119" s="235" t="s">
        <v>3683</v>
      </c>
      <c r="D119" s="235" t="s">
        <v>3684</v>
      </c>
      <c r="E119" s="258"/>
      <c r="F119" s="258"/>
    </row>
    <row r="120" spans="1:6" outlineLevel="1">
      <c r="A120" s="237" t="s">
        <v>3687</v>
      </c>
      <c r="B120" s="238" t="s">
        <v>3818</v>
      </c>
      <c r="C120" s="259"/>
      <c r="D120" s="259"/>
      <c r="E120" s="268"/>
      <c r="F120" s="268"/>
    </row>
    <row r="121" spans="1:6" outlineLevel="1">
      <c r="A121" s="243" t="s">
        <v>3747</v>
      </c>
      <c r="B121" s="246" t="s">
        <v>3851</v>
      </c>
      <c r="C121" s="259" t="s">
        <v>3820</v>
      </c>
      <c r="D121" s="259" t="s">
        <v>3823</v>
      </c>
      <c r="E121" s="268"/>
      <c r="F121" s="268"/>
    </row>
    <row r="122" spans="1:6" outlineLevel="1">
      <c r="A122" s="243" t="s">
        <v>603</v>
      </c>
      <c r="B122" s="246" t="s">
        <v>3827</v>
      </c>
      <c r="C122" s="259" t="s">
        <v>3820</v>
      </c>
      <c r="D122" s="259" t="s">
        <v>3823</v>
      </c>
      <c r="E122" s="268"/>
      <c r="F122" s="268"/>
    </row>
    <row r="123" spans="1:6" outlineLevel="1">
      <c r="A123" s="237" t="s">
        <v>3690</v>
      </c>
      <c r="B123" s="238" t="s">
        <v>3852</v>
      </c>
      <c r="C123" s="259" t="s">
        <v>3820</v>
      </c>
      <c r="D123" s="259" t="s">
        <v>3829</v>
      </c>
      <c r="E123" s="268"/>
      <c r="F123" s="268"/>
    </row>
    <row r="124" spans="1:6" outlineLevel="1">
      <c r="A124" s="237" t="s">
        <v>3710</v>
      </c>
      <c r="B124" s="238" t="s">
        <v>3830</v>
      </c>
      <c r="C124" s="259"/>
      <c r="D124" s="259"/>
      <c r="E124" s="268"/>
      <c r="F124" s="268"/>
    </row>
    <row r="125" spans="1:6" outlineLevel="1">
      <c r="A125" s="243" t="s">
        <v>3712</v>
      </c>
      <c r="B125" s="246" t="s">
        <v>3831</v>
      </c>
      <c r="C125" s="259" t="s">
        <v>3835</v>
      </c>
      <c r="D125" s="259" t="s">
        <v>3853</v>
      </c>
      <c r="E125" s="268"/>
      <c r="F125" s="268"/>
    </row>
    <row r="126" spans="1:6" outlineLevel="1">
      <c r="A126" s="243" t="s">
        <v>3715</v>
      </c>
      <c r="B126" s="246" t="s">
        <v>3834</v>
      </c>
      <c r="C126" s="259" t="s">
        <v>3835</v>
      </c>
      <c r="D126" s="259"/>
      <c r="E126" s="268"/>
      <c r="F126" s="269" t="s">
        <v>3836</v>
      </c>
    </row>
    <row r="127" spans="1:6" outlineLevel="1">
      <c r="A127" s="243" t="s">
        <v>3717</v>
      </c>
      <c r="B127" s="262" t="s">
        <v>3837</v>
      </c>
      <c r="C127" s="259" t="s">
        <v>2619</v>
      </c>
      <c r="D127" s="259"/>
      <c r="E127" s="268"/>
      <c r="F127" s="268"/>
    </row>
    <row r="128" spans="1:6" ht="15.75" customHeight="1" outlineLevel="1">
      <c r="A128" s="273" t="s">
        <v>3719</v>
      </c>
      <c r="B128" s="271" t="s">
        <v>3838</v>
      </c>
      <c r="C128" s="274" t="s">
        <v>3835</v>
      </c>
      <c r="D128" s="275"/>
      <c r="E128" s="275"/>
      <c r="F128" s="269" t="s">
        <v>3854</v>
      </c>
    </row>
    <row r="129" spans="1:6" outlineLevel="1">
      <c r="A129" s="237" t="s">
        <v>3722</v>
      </c>
      <c r="B129" s="238" t="s">
        <v>3846</v>
      </c>
      <c r="C129" s="259" t="s">
        <v>3847</v>
      </c>
      <c r="D129" s="259"/>
      <c r="E129" s="268"/>
      <c r="F129" s="268"/>
    </row>
    <row r="130" spans="1:6" outlineLevel="1">
      <c r="A130" s="237" t="s">
        <v>3736</v>
      </c>
      <c r="B130" s="238" t="s">
        <v>3848</v>
      </c>
      <c r="C130" s="240" t="s">
        <v>3849</v>
      </c>
      <c r="D130" s="240" t="s">
        <v>3804</v>
      </c>
      <c r="E130" s="247"/>
      <c r="F130" s="247"/>
    </row>
    <row r="131" spans="1:6">
      <c r="A131" s="466" t="s">
        <v>3855</v>
      </c>
      <c r="B131" s="350"/>
      <c r="C131" s="350"/>
      <c r="D131" s="351"/>
      <c r="E131" s="256"/>
      <c r="F131" s="256"/>
    </row>
    <row r="132" spans="1:6" outlineLevel="1">
      <c r="A132" s="463" t="s">
        <v>3680</v>
      </c>
      <c r="B132" s="464" t="s">
        <v>3681</v>
      </c>
      <c r="C132" s="467" t="s">
        <v>3682</v>
      </c>
      <c r="D132" s="351"/>
      <c r="E132" s="257"/>
      <c r="F132" s="257"/>
    </row>
    <row r="133" spans="1:6" outlineLevel="1">
      <c r="A133" s="372"/>
      <c r="B133" s="372"/>
      <c r="C133" s="235" t="s">
        <v>3683</v>
      </c>
      <c r="D133" s="235" t="s">
        <v>3684</v>
      </c>
      <c r="E133" s="258"/>
      <c r="F133" s="258"/>
    </row>
    <row r="134" spans="1:6" outlineLevel="1">
      <c r="A134" s="237" t="s">
        <v>3687</v>
      </c>
      <c r="B134" s="238" t="s">
        <v>3856</v>
      </c>
      <c r="C134" s="276" t="s">
        <v>3857</v>
      </c>
      <c r="D134" s="239" t="s">
        <v>2417</v>
      </c>
      <c r="E134" s="245"/>
      <c r="F134" s="245"/>
    </row>
    <row r="135" spans="1:6" outlineLevel="1">
      <c r="A135" s="243" t="s">
        <v>3747</v>
      </c>
      <c r="B135" s="246" t="s">
        <v>3858</v>
      </c>
      <c r="C135" s="276" t="s">
        <v>3859</v>
      </c>
      <c r="D135" s="239" t="s">
        <v>2417</v>
      </c>
      <c r="E135" s="245"/>
      <c r="F135" s="245"/>
    </row>
    <row r="136" spans="1:6" outlineLevel="1">
      <c r="A136" s="237" t="s">
        <v>3690</v>
      </c>
      <c r="B136" s="465" t="s">
        <v>3711</v>
      </c>
      <c r="C136" s="350"/>
      <c r="D136" s="351"/>
      <c r="E136" s="248"/>
      <c r="F136" s="248"/>
    </row>
    <row r="137" spans="1:6" outlineLevel="1">
      <c r="A137" s="243" t="s">
        <v>3692</v>
      </c>
      <c r="B137" s="246" t="s">
        <v>3758</v>
      </c>
      <c r="C137" s="240" t="s">
        <v>3759</v>
      </c>
      <c r="D137" s="239" t="s">
        <v>2417</v>
      </c>
      <c r="E137" s="245"/>
      <c r="F137" s="245"/>
    </row>
    <row r="138" spans="1:6" outlineLevel="1">
      <c r="A138" s="243" t="s">
        <v>3696</v>
      </c>
      <c r="B138" s="246" t="s">
        <v>3761</v>
      </c>
      <c r="C138" s="240" t="s">
        <v>3762</v>
      </c>
      <c r="D138" s="239" t="s">
        <v>2417</v>
      </c>
      <c r="E138" s="245"/>
      <c r="F138" s="245"/>
    </row>
    <row r="139" spans="1:6" outlineLevel="1">
      <c r="A139" s="243" t="s">
        <v>3700</v>
      </c>
      <c r="B139" s="246" t="s">
        <v>3860</v>
      </c>
      <c r="C139" s="240" t="s">
        <v>3721</v>
      </c>
      <c r="D139" s="239" t="s">
        <v>2417</v>
      </c>
      <c r="E139" s="245"/>
      <c r="F139" s="245"/>
    </row>
    <row r="140" spans="1:6" outlineLevel="1">
      <c r="A140" s="237" t="s">
        <v>3710</v>
      </c>
      <c r="B140" s="465" t="s">
        <v>3691</v>
      </c>
      <c r="C140" s="350"/>
      <c r="D140" s="351"/>
      <c r="E140" s="242"/>
      <c r="F140" s="242"/>
    </row>
    <row r="141" spans="1:6" outlineLevel="1">
      <c r="A141" s="243" t="s">
        <v>3712</v>
      </c>
      <c r="B141" s="246" t="s">
        <v>3784</v>
      </c>
      <c r="C141" s="239" t="s">
        <v>3694</v>
      </c>
      <c r="D141" s="239" t="s">
        <v>3861</v>
      </c>
      <c r="E141" s="245"/>
      <c r="F141" s="245"/>
    </row>
    <row r="142" spans="1:6" outlineLevel="1">
      <c r="A142" s="243" t="s">
        <v>3715</v>
      </c>
      <c r="B142" s="246" t="s">
        <v>3862</v>
      </c>
      <c r="C142" s="239" t="s">
        <v>3694</v>
      </c>
      <c r="D142" s="239" t="s">
        <v>3863</v>
      </c>
      <c r="E142" s="245"/>
      <c r="F142" s="245"/>
    </row>
    <row r="143" spans="1:6" outlineLevel="1">
      <c r="A143" s="243" t="s">
        <v>3717</v>
      </c>
      <c r="B143" s="246" t="s">
        <v>3798</v>
      </c>
      <c r="C143" s="240" t="s">
        <v>3799</v>
      </c>
      <c r="D143" s="240" t="s">
        <v>3800</v>
      </c>
      <c r="E143" s="247"/>
      <c r="F143" s="247"/>
    </row>
    <row r="144" spans="1:6" outlineLevel="1">
      <c r="A144" s="243" t="s">
        <v>3719</v>
      </c>
      <c r="B144" s="246" t="s">
        <v>3701</v>
      </c>
      <c r="C144" s="240" t="s">
        <v>3702</v>
      </c>
      <c r="D144" s="240" t="s">
        <v>3703</v>
      </c>
      <c r="E144" s="247"/>
      <c r="F144" s="247"/>
    </row>
    <row r="145" spans="1:6" outlineLevel="1">
      <c r="A145" s="243" t="s">
        <v>3805</v>
      </c>
      <c r="B145" s="246" t="s">
        <v>3801</v>
      </c>
      <c r="C145" s="240" t="s">
        <v>3702</v>
      </c>
      <c r="D145" s="240" t="s">
        <v>3703</v>
      </c>
      <c r="E145" s="247"/>
      <c r="F145" s="247"/>
    </row>
    <row r="146" spans="1:6" outlineLevel="1">
      <c r="A146" s="237" t="s">
        <v>3722</v>
      </c>
      <c r="B146" s="465" t="s">
        <v>3723</v>
      </c>
      <c r="C146" s="350"/>
      <c r="D146" s="351"/>
      <c r="E146" s="248"/>
      <c r="F146" s="248"/>
    </row>
    <row r="147" spans="1:6" outlineLevel="1">
      <c r="A147" s="243" t="s">
        <v>3724</v>
      </c>
      <c r="B147" s="246" t="s">
        <v>3728</v>
      </c>
      <c r="C147" s="240" t="s">
        <v>3729</v>
      </c>
      <c r="D147" s="240" t="s">
        <v>3730</v>
      </c>
      <c r="E147" s="247"/>
      <c r="F147" s="247"/>
    </row>
    <row r="148" spans="1:6" outlineLevel="1">
      <c r="A148" s="243" t="s">
        <v>3727</v>
      </c>
      <c r="B148" s="246" t="s">
        <v>3802</v>
      </c>
      <c r="C148" s="240" t="s">
        <v>3803</v>
      </c>
      <c r="D148" s="240" t="s">
        <v>3804</v>
      </c>
      <c r="E148" s="247"/>
      <c r="F148" s="247"/>
    </row>
    <row r="149" spans="1:6">
      <c r="A149" s="466" t="s">
        <v>3864</v>
      </c>
      <c r="B149" s="350"/>
      <c r="C149" s="350"/>
      <c r="D149" s="351"/>
      <c r="E149" s="256"/>
      <c r="F149" s="256"/>
    </row>
    <row r="150" spans="1:6" outlineLevel="1">
      <c r="A150" s="463" t="s">
        <v>3680</v>
      </c>
      <c r="B150" s="464" t="s">
        <v>3681</v>
      </c>
      <c r="C150" s="467" t="s">
        <v>3682</v>
      </c>
      <c r="D150" s="351"/>
      <c r="E150" s="257"/>
      <c r="F150" s="257"/>
    </row>
    <row r="151" spans="1:6" outlineLevel="1">
      <c r="A151" s="372"/>
      <c r="B151" s="372"/>
      <c r="C151" s="235" t="s">
        <v>3683</v>
      </c>
      <c r="D151" s="235" t="s">
        <v>3684</v>
      </c>
      <c r="E151" s="258"/>
      <c r="F151" s="258"/>
    </row>
    <row r="152" spans="1:6" outlineLevel="1">
      <c r="A152" s="237" t="s">
        <v>3687</v>
      </c>
      <c r="B152" s="465" t="s">
        <v>3865</v>
      </c>
      <c r="C152" s="350"/>
      <c r="D152" s="351"/>
      <c r="E152" s="248"/>
      <c r="F152" s="248"/>
    </row>
    <row r="153" spans="1:6" outlineLevel="1">
      <c r="A153" s="243" t="s">
        <v>3747</v>
      </c>
      <c r="B153" s="246" t="s">
        <v>2276</v>
      </c>
      <c r="C153" s="277" t="s">
        <v>3866</v>
      </c>
      <c r="D153" s="277" t="s">
        <v>3867</v>
      </c>
      <c r="E153" s="278"/>
      <c r="F153" s="278"/>
    </row>
    <row r="154" spans="1:6" outlineLevel="1">
      <c r="A154" s="243" t="s">
        <v>603</v>
      </c>
      <c r="B154" s="246" t="s">
        <v>2279</v>
      </c>
      <c r="C154" s="277" t="s">
        <v>3868</v>
      </c>
      <c r="D154" s="277" t="s">
        <v>3869</v>
      </c>
      <c r="E154" s="278"/>
      <c r="F154" s="278"/>
    </row>
    <row r="155" spans="1:6" outlineLevel="1">
      <c r="A155" s="243" t="s">
        <v>606</v>
      </c>
      <c r="B155" s="246" t="s">
        <v>2282</v>
      </c>
      <c r="C155" s="277" t="s">
        <v>3870</v>
      </c>
      <c r="D155" s="277" t="s">
        <v>3871</v>
      </c>
      <c r="E155" s="278"/>
      <c r="F155" s="278"/>
    </row>
    <row r="156" spans="1:6" outlineLevel="1">
      <c r="A156" s="243" t="s">
        <v>609</v>
      </c>
      <c r="B156" s="246" t="s">
        <v>3872</v>
      </c>
      <c r="C156" s="277" t="s">
        <v>3873</v>
      </c>
      <c r="D156" s="239" t="s">
        <v>2417</v>
      </c>
      <c r="E156" s="245"/>
      <c r="F156" s="245"/>
    </row>
    <row r="157" spans="1:6">
      <c r="A157" s="466" t="s">
        <v>3874</v>
      </c>
      <c r="B157" s="350"/>
      <c r="C157" s="350"/>
      <c r="D157" s="351"/>
      <c r="E157" s="256"/>
      <c r="F157" s="256"/>
    </row>
    <row r="158" spans="1:6" outlineLevel="1">
      <c r="A158" s="463" t="s">
        <v>3680</v>
      </c>
      <c r="B158" s="464" t="s">
        <v>3681</v>
      </c>
      <c r="C158" s="467" t="s">
        <v>3682</v>
      </c>
      <c r="D158" s="351"/>
      <c r="E158" s="257"/>
      <c r="F158" s="257"/>
    </row>
    <row r="159" spans="1:6" outlineLevel="1">
      <c r="A159" s="372"/>
      <c r="B159" s="372"/>
      <c r="C159" s="235" t="s">
        <v>3683</v>
      </c>
      <c r="D159" s="235" t="s">
        <v>3684</v>
      </c>
      <c r="E159" s="258"/>
      <c r="F159" s="258"/>
    </row>
    <row r="160" spans="1:6" outlineLevel="1">
      <c r="A160" s="237" t="s">
        <v>3687</v>
      </c>
      <c r="B160" s="465" t="s">
        <v>3875</v>
      </c>
      <c r="C160" s="350"/>
      <c r="D160" s="351"/>
      <c r="E160" s="248"/>
      <c r="F160" s="248"/>
    </row>
    <row r="161" spans="1:6" outlineLevel="1">
      <c r="A161" s="243" t="s">
        <v>3747</v>
      </c>
      <c r="B161" s="246" t="s">
        <v>3876</v>
      </c>
      <c r="C161" s="259" t="s">
        <v>3877</v>
      </c>
      <c r="D161" s="276" t="s">
        <v>2417</v>
      </c>
      <c r="E161" s="279"/>
      <c r="F161" s="279"/>
    </row>
    <row r="162" spans="1:6" outlineLevel="1">
      <c r="A162" s="243" t="s">
        <v>603</v>
      </c>
      <c r="B162" s="246" t="s">
        <v>3878</v>
      </c>
      <c r="C162" s="259" t="s">
        <v>3879</v>
      </c>
      <c r="D162" s="276" t="s">
        <v>2417</v>
      </c>
      <c r="E162" s="248"/>
      <c r="F162" s="248"/>
    </row>
    <row r="163" spans="1:6" outlineLevel="1">
      <c r="A163" s="237" t="s">
        <v>3690</v>
      </c>
      <c r="B163" s="251" t="s">
        <v>2802</v>
      </c>
      <c r="C163" s="259" t="s">
        <v>3880</v>
      </c>
      <c r="D163" s="280" t="s">
        <v>3881</v>
      </c>
      <c r="E163" s="281"/>
      <c r="F163" s="281"/>
    </row>
    <row r="164" spans="1:6" outlineLevel="1">
      <c r="A164" s="237" t="s">
        <v>3710</v>
      </c>
      <c r="B164" s="465" t="s">
        <v>3882</v>
      </c>
      <c r="C164" s="350"/>
      <c r="D164" s="351"/>
      <c r="E164" s="282"/>
      <c r="F164" s="282"/>
    </row>
    <row r="165" spans="1:6" outlineLevel="1">
      <c r="A165" s="243" t="s">
        <v>3712</v>
      </c>
      <c r="B165" s="249" t="s">
        <v>3883</v>
      </c>
      <c r="C165" s="259" t="s">
        <v>3884</v>
      </c>
      <c r="D165" s="259" t="s">
        <v>3885</v>
      </c>
      <c r="E165" s="248"/>
      <c r="F165" s="248"/>
    </row>
    <row r="166" spans="1:6" outlineLevel="1">
      <c r="A166" s="237" t="s">
        <v>3722</v>
      </c>
      <c r="B166" s="465" t="s">
        <v>3886</v>
      </c>
      <c r="C166" s="350"/>
      <c r="D166" s="351"/>
      <c r="E166" s="248"/>
      <c r="F166" s="248"/>
    </row>
    <row r="167" spans="1:6" ht="15.75" customHeight="1" outlineLevel="1">
      <c r="A167" s="243" t="s">
        <v>3724</v>
      </c>
      <c r="B167" s="249" t="s">
        <v>3887</v>
      </c>
      <c r="C167" s="283" t="s">
        <v>3888</v>
      </c>
      <c r="D167" s="284" t="s">
        <v>3889</v>
      </c>
      <c r="E167" s="285" t="s">
        <v>3890</v>
      </c>
      <c r="F167" s="285"/>
    </row>
    <row r="168" spans="1:6" ht="15.75" customHeight="1" outlineLevel="1">
      <c r="A168" s="243" t="s">
        <v>3727</v>
      </c>
      <c r="B168" s="249" t="s">
        <v>3891</v>
      </c>
      <c r="C168" s="286" t="s">
        <v>3892</v>
      </c>
      <c r="D168" s="287" t="s">
        <v>3889</v>
      </c>
      <c r="E168" s="288"/>
      <c r="F168" s="289"/>
    </row>
    <row r="169" spans="1:6" ht="15.75" customHeight="1" outlineLevel="1">
      <c r="A169" s="243" t="s">
        <v>3731</v>
      </c>
      <c r="B169" s="249" t="s">
        <v>3893</v>
      </c>
      <c r="C169" s="286" t="s">
        <v>3892</v>
      </c>
      <c r="D169" s="287" t="s">
        <v>3889</v>
      </c>
      <c r="E169" s="288"/>
      <c r="F169" s="289"/>
    </row>
    <row r="170" spans="1:6" ht="15.75" customHeight="1" outlineLevel="1">
      <c r="A170" s="243" t="s">
        <v>3734</v>
      </c>
      <c r="B170" s="249" t="s">
        <v>3894</v>
      </c>
      <c r="C170" s="290" t="s">
        <v>3892</v>
      </c>
      <c r="D170" s="287" t="s">
        <v>3889</v>
      </c>
      <c r="E170" s="291"/>
      <c r="F170" s="292"/>
    </row>
    <row r="171" spans="1:6" ht="15.75" customHeight="1" outlineLevel="1">
      <c r="A171" s="243" t="s">
        <v>3895</v>
      </c>
      <c r="B171" s="249" t="s">
        <v>3896</v>
      </c>
      <c r="C171" s="290" t="s">
        <v>3892</v>
      </c>
      <c r="D171" s="287" t="s">
        <v>3889</v>
      </c>
      <c r="E171" s="293" t="s">
        <v>3897</v>
      </c>
      <c r="F171" s="294"/>
    </row>
    <row r="172" spans="1:6" outlineLevel="1">
      <c r="A172" s="237" t="s">
        <v>3736</v>
      </c>
      <c r="B172" s="465" t="s">
        <v>3898</v>
      </c>
      <c r="C172" s="350"/>
      <c r="D172" s="351"/>
      <c r="E172" s="279"/>
      <c r="F172" s="279"/>
    </row>
    <row r="173" spans="1:6" ht="15.75" customHeight="1" outlineLevel="1">
      <c r="A173" s="243" t="s">
        <v>3769</v>
      </c>
      <c r="B173" s="249" t="s">
        <v>3899</v>
      </c>
      <c r="C173" s="295" t="s">
        <v>3892</v>
      </c>
      <c r="D173" s="296" t="s">
        <v>3900</v>
      </c>
      <c r="E173" s="293" t="s">
        <v>3901</v>
      </c>
      <c r="F173" s="294"/>
    </row>
    <row r="174" spans="1:6" ht="15.75" customHeight="1" outlineLevel="1">
      <c r="A174" s="243" t="s">
        <v>3773</v>
      </c>
      <c r="B174" s="249" t="s">
        <v>3902</v>
      </c>
      <c r="C174" s="286" t="s">
        <v>3892</v>
      </c>
      <c r="D174" s="297" t="s">
        <v>3900</v>
      </c>
      <c r="E174" s="293" t="s">
        <v>3903</v>
      </c>
      <c r="F174" s="294"/>
    </row>
    <row r="175" spans="1:6" ht="15.75" customHeight="1" outlineLevel="1">
      <c r="A175" s="243" t="s">
        <v>3776</v>
      </c>
      <c r="B175" s="249" t="s">
        <v>3904</v>
      </c>
      <c r="C175" s="286" t="s">
        <v>3892</v>
      </c>
      <c r="D175" s="297" t="s">
        <v>3900</v>
      </c>
      <c r="E175" s="293" t="s">
        <v>3905</v>
      </c>
      <c r="F175" s="294"/>
    </row>
    <row r="176" spans="1:6" ht="15.75" customHeight="1" outlineLevel="1">
      <c r="A176" s="243" t="s">
        <v>3779</v>
      </c>
      <c r="B176" s="249" t="s">
        <v>3906</v>
      </c>
      <c r="C176" s="286" t="s">
        <v>3892</v>
      </c>
      <c r="D176" s="297" t="s">
        <v>3900</v>
      </c>
      <c r="E176" s="293" t="s">
        <v>3907</v>
      </c>
      <c r="F176" s="294"/>
    </row>
    <row r="177" spans="1:6" ht="15.75" customHeight="1" outlineLevel="1">
      <c r="A177" s="243" t="s">
        <v>3908</v>
      </c>
      <c r="B177" s="249" t="s">
        <v>3909</v>
      </c>
      <c r="C177" s="286" t="s">
        <v>3892</v>
      </c>
      <c r="D177" s="297" t="s">
        <v>3900</v>
      </c>
      <c r="E177" s="293" t="s">
        <v>3910</v>
      </c>
      <c r="F177" s="294"/>
    </row>
    <row r="178" spans="1:6" outlineLevel="1">
      <c r="A178" s="237" t="s">
        <v>3739</v>
      </c>
      <c r="B178" s="465" t="s">
        <v>3740</v>
      </c>
      <c r="C178" s="350"/>
      <c r="D178" s="351"/>
      <c r="E178" s="248"/>
      <c r="F178" s="248"/>
    </row>
    <row r="179" spans="1:6" outlineLevel="1">
      <c r="A179" s="243" t="s">
        <v>3911</v>
      </c>
      <c r="B179" s="246" t="s">
        <v>3912</v>
      </c>
      <c r="C179" s="259" t="s">
        <v>3913</v>
      </c>
      <c r="D179" s="276" t="s">
        <v>2417</v>
      </c>
      <c r="E179" s="298"/>
      <c r="F179" s="298"/>
    </row>
    <row r="180" spans="1:6" outlineLevel="1">
      <c r="A180" s="243" t="s">
        <v>3914</v>
      </c>
      <c r="B180" s="246" t="s">
        <v>3915</v>
      </c>
      <c r="C180" s="259" t="s">
        <v>3916</v>
      </c>
      <c r="D180" s="276" t="s">
        <v>2417</v>
      </c>
      <c r="E180" s="298"/>
      <c r="F180" s="298"/>
    </row>
    <row r="181" spans="1:6" outlineLevel="1">
      <c r="A181" s="237" t="s">
        <v>3742</v>
      </c>
      <c r="B181" s="465" t="s">
        <v>3917</v>
      </c>
      <c r="C181" s="350"/>
      <c r="D181" s="351"/>
      <c r="E181" s="248"/>
      <c r="F181" s="248"/>
    </row>
    <row r="182" spans="1:6" outlineLevel="1">
      <c r="A182" s="243" t="s">
        <v>3807</v>
      </c>
      <c r="B182" s="249" t="s">
        <v>3918</v>
      </c>
      <c r="C182" s="299" t="s">
        <v>3892</v>
      </c>
      <c r="D182" s="276" t="s">
        <v>2417</v>
      </c>
      <c r="E182" s="300" t="s">
        <v>3919</v>
      </c>
      <c r="F182" s="301" t="s">
        <v>3920</v>
      </c>
    </row>
    <row r="183" spans="1:6" outlineLevel="1">
      <c r="A183" s="243" t="s">
        <v>3810</v>
      </c>
      <c r="B183" s="249" t="s">
        <v>3921</v>
      </c>
      <c r="C183" s="299" t="s">
        <v>3892</v>
      </c>
      <c r="D183" s="276" t="s">
        <v>2417</v>
      </c>
      <c r="E183" s="300" t="s">
        <v>3922</v>
      </c>
      <c r="F183" s="301" t="s">
        <v>3923</v>
      </c>
    </row>
    <row r="184" spans="1:6" outlineLevel="1">
      <c r="A184" s="243" t="s">
        <v>3813</v>
      </c>
      <c r="B184" s="249" t="s">
        <v>3924</v>
      </c>
      <c r="C184" s="299" t="s">
        <v>3892</v>
      </c>
      <c r="D184" s="276" t="s">
        <v>2417</v>
      </c>
      <c r="E184" s="300" t="s">
        <v>3925</v>
      </c>
      <c r="F184" s="301" t="s">
        <v>3923</v>
      </c>
    </row>
    <row r="185" spans="1:6" outlineLevel="1">
      <c r="A185" s="243" t="s">
        <v>3815</v>
      </c>
      <c r="B185" s="249" t="s">
        <v>3926</v>
      </c>
      <c r="C185" s="299" t="s">
        <v>3892</v>
      </c>
      <c r="D185" s="276" t="s">
        <v>2417</v>
      </c>
      <c r="E185" s="300" t="s">
        <v>3927</v>
      </c>
      <c r="F185" s="301" t="s">
        <v>3923</v>
      </c>
    </row>
    <row r="186" spans="1:6" outlineLevel="1">
      <c r="A186" s="243" t="s">
        <v>3928</v>
      </c>
      <c r="B186" s="249" t="s">
        <v>3929</v>
      </c>
      <c r="C186" s="299" t="s">
        <v>3892</v>
      </c>
      <c r="D186" s="276" t="s">
        <v>2417</v>
      </c>
      <c r="E186" s="300" t="s">
        <v>3930</v>
      </c>
      <c r="F186" s="301" t="s">
        <v>3931</v>
      </c>
    </row>
    <row r="187" spans="1:6" outlineLevel="1">
      <c r="A187" s="243" t="s">
        <v>3932</v>
      </c>
      <c r="B187" s="249" t="s">
        <v>3933</v>
      </c>
      <c r="C187" s="299" t="s">
        <v>3892</v>
      </c>
      <c r="D187" s="276" t="s">
        <v>2417</v>
      </c>
      <c r="E187" s="300" t="s">
        <v>3934</v>
      </c>
      <c r="F187" s="301" t="s">
        <v>3935</v>
      </c>
    </row>
    <row r="188" spans="1:6" outlineLevel="1">
      <c r="A188" s="243" t="s">
        <v>3936</v>
      </c>
      <c r="B188" s="249" t="s">
        <v>3937</v>
      </c>
      <c r="C188" s="299" t="s">
        <v>3892</v>
      </c>
      <c r="D188" s="276" t="s">
        <v>2417</v>
      </c>
      <c r="E188" s="300" t="s">
        <v>3938</v>
      </c>
      <c r="F188" s="301" t="s">
        <v>3923</v>
      </c>
    </row>
    <row r="189" spans="1:6" outlineLevel="1">
      <c r="A189" s="243" t="s">
        <v>3939</v>
      </c>
      <c r="B189" s="249" t="s">
        <v>3940</v>
      </c>
      <c r="C189" s="299" t="s">
        <v>3892</v>
      </c>
      <c r="D189" s="276" t="s">
        <v>2417</v>
      </c>
      <c r="E189" s="300" t="s">
        <v>3941</v>
      </c>
      <c r="F189" s="301" t="s">
        <v>3923</v>
      </c>
    </row>
    <row r="190" spans="1:6" outlineLevel="1">
      <c r="A190" s="243" t="s">
        <v>3942</v>
      </c>
      <c r="B190" s="249" t="s">
        <v>3943</v>
      </c>
      <c r="C190" s="299" t="s">
        <v>3892</v>
      </c>
      <c r="D190" s="276" t="s">
        <v>2417</v>
      </c>
      <c r="E190" s="300" t="s">
        <v>3944</v>
      </c>
      <c r="F190" s="301" t="s">
        <v>3935</v>
      </c>
    </row>
    <row r="191" spans="1:6" outlineLevel="1">
      <c r="A191" s="243" t="s">
        <v>3945</v>
      </c>
      <c r="B191" s="249" t="s">
        <v>3946</v>
      </c>
      <c r="C191" s="299" t="s">
        <v>3892</v>
      </c>
      <c r="D191" s="276" t="s">
        <v>2417</v>
      </c>
      <c r="E191" s="300" t="s">
        <v>3947</v>
      </c>
      <c r="F191" s="301" t="s">
        <v>3931</v>
      </c>
    </row>
    <row r="192" spans="1:6" ht="15.75" customHeight="1" outlineLevel="1">
      <c r="A192" s="243" t="s">
        <v>3948</v>
      </c>
      <c r="B192" s="302" t="s">
        <v>3949</v>
      </c>
      <c r="C192" s="259" t="s">
        <v>3950</v>
      </c>
      <c r="D192" s="276" t="s">
        <v>2417</v>
      </c>
      <c r="E192" s="279"/>
      <c r="F192" s="301"/>
    </row>
    <row r="193" spans="1:6" outlineLevel="1">
      <c r="A193" s="243" t="s">
        <v>3951</v>
      </c>
      <c r="B193" s="249" t="s">
        <v>3952</v>
      </c>
      <c r="C193" s="299" t="s">
        <v>3892</v>
      </c>
      <c r="D193" s="276" t="s">
        <v>2417</v>
      </c>
      <c r="E193" s="300" t="s">
        <v>3953</v>
      </c>
      <c r="F193" s="301" t="s">
        <v>3923</v>
      </c>
    </row>
    <row r="194" spans="1:6" outlineLevel="1">
      <c r="A194" s="243" t="s">
        <v>3954</v>
      </c>
      <c r="B194" s="249" t="s">
        <v>3955</v>
      </c>
      <c r="C194" s="299" t="s">
        <v>3892</v>
      </c>
      <c r="D194" s="276" t="s">
        <v>2417</v>
      </c>
      <c r="E194" s="300" t="s">
        <v>3956</v>
      </c>
      <c r="F194" s="301" t="s">
        <v>3957</v>
      </c>
    </row>
    <row r="195" spans="1:6" outlineLevel="1">
      <c r="A195" s="243" t="s">
        <v>3958</v>
      </c>
      <c r="B195" s="249" t="s">
        <v>3959</v>
      </c>
      <c r="C195" s="299" t="s">
        <v>3892</v>
      </c>
      <c r="D195" s="276" t="s">
        <v>2417</v>
      </c>
      <c r="E195" s="300" t="s">
        <v>3960</v>
      </c>
      <c r="F195" s="301" t="s">
        <v>3961</v>
      </c>
    </row>
    <row r="196" spans="1:6" outlineLevel="1">
      <c r="A196" s="243" t="s">
        <v>3962</v>
      </c>
      <c r="B196" s="249" t="s">
        <v>3963</v>
      </c>
      <c r="C196" s="299" t="s">
        <v>3892</v>
      </c>
      <c r="D196" s="276" t="s">
        <v>2417</v>
      </c>
      <c r="E196" s="300" t="s">
        <v>3964</v>
      </c>
      <c r="F196" s="301" t="s">
        <v>3923</v>
      </c>
    </row>
    <row r="197" spans="1:6" outlineLevel="1">
      <c r="A197" s="237" t="s">
        <v>3965</v>
      </c>
      <c r="B197" s="465" t="s">
        <v>3966</v>
      </c>
      <c r="C197" s="350"/>
      <c r="D197" s="351"/>
      <c r="E197" s="248"/>
      <c r="F197" s="248"/>
    </row>
    <row r="198" spans="1:6" outlineLevel="1">
      <c r="A198" s="243" t="s">
        <v>3967</v>
      </c>
      <c r="B198" s="249" t="s">
        <v>3968</v>
      </c>
      <c r="C198" s="303" t="s">
        <v>3884</v>
      </c>
      <c r="D198" s="303" t="s">
        <v>3969</v>
      </c>
      <c r="E198" s="300" t="s">
        <v>3970</v>
      </c>
      <c r="F198" s="304" t="s">
        <v>3971</v>
      </c>
    </row>
    <row r="199" spans="1:6" outlineLevel="1">
      <c r="A199" s="243" t="s">
        <v>3972</v>
      </c>
      <c r="B199" s="249" t="s">
        <v>3973</v>
      </c>
      <c r="C199" s="299" t="s">
        <v>3884</v>
      </c>
      <c r="D199" s="299" t="s">
        <v>3969</v>
      </c>
      <c r="E199" s="300" t="s">
        <v>3974</v>
      </c>
      <c r="F199" s="304" t="s">
        <v>3971</v>
      </c>
    </row>
    <row r="200" spans="1:6" outlineLevel="1">
      <c r="A200" s="243" t="s">
        <v>3975</v>
      </c>
      <c r="B200" s="249" t="s">
        <v>3976</v>
      </c>
      <c r="C200" s="299" t="s">
        <v>3884</v>
      </c>
      <c r="D200" s="299" t="s">
        <v>3969</v>
      </c>
      <c r="E200" s="300" t="s">
        <v>3977</v>
      </c>
      <c r="F200" s="304" t="s">
        <v>3971</v>
      </c>
    </row>
    <row r="201" spans="1:6" outlineLevel="1">
      <c r="A201" s="243" t="s">
        <v>3978</v>
      </c>
      <c r="B201" s="249" t="s">
        <v>3979</v>
      </c>
      <c r="C201" s="299" t="s">
        <v>3884</v>
      </c>
      <c r="D201" s="299" t="s">
        <v>3969</v>
      </c>
      <c r="E201" s="300" t="s">
        <v>3980</v>
      </c>
      <c r="F201" s="304" t="s">
        <v>3971</v>
      </c>
    </row>
    <row r="202" spans="1:6" outlineLevel="1">
      <c r="A202" s="243" t="s">
        <v>3981</v>
      </c>
      <c r="B202" s="249" t="s">
        <v>3982</v>
      </c>
      <c r="C202" s="299" t="s">
        <v>3884</v>
      </c>
      <c r="D202" s="299" t="s">
        <v>3969</v>
      </c>
      <c r="E202" s="300" t="s">
        <v>3983</v>
      </c>
      <c r="F202" s="304" t="s">
        <v>3984</v>
      </c>
    </row>
    <row r="203" spans="1:6" outlineLevel="1">
      <c r="A203" s="243" t="s">
        <v>3985</v>
      </c>
      <c r="B203" s="249" t="s">
        <v>3986</v>
      </c>
      <c r="C203" s="299" t="s">
        <v>3884</v>
      </c>
      <c r="D203" s="299" t="s">
        <v>3969</v>
      </c>
      <c r="E203" s="300" t="s">
        <v>3987</v>
      </c>
      <c r="F203" s="304" t="s">
        <v>3984</v>
      </c>
    </row>
    <row r="204" spans="1:6" outlineLevel="1">
      <c r="A204" s="243" t="s">
        <v>3988</v>
      </c>
      <c r="B204" s="249" t="s">
        <v>3989</v>
      </c>
      <c r="C204" s="299" t="s">
        <v>3884</v>
      </c>
      <c r="D204" s="299" t="s">
        <v>3969</v>
      </c>
      <c r="E204" s="300" t="s">
        <v>3990</v>
      </c>
      <c r="F204" s="304" t="s">
        <v>3984</v>
      </c>
    </row>
    <row r="205" spans="1:6" outlineLevel="1">
      <c r="A205" s="243" t="s">
        <v>3991</v>
      </c>
      <c r="B205" s="249" t="s">
        <v>3992</v>
      </c>
      <c r="C205" s="299" t="s">
        <v>3884</v>
      </c>
      <c r="D205" s="299" t="s">
        <v>3969</v>
      </c>
      <c r="E205" s="300" t="s">
        <v>3993</v>
      </c>
      <c r="F205" s="304" t="s">
        <v>3984</v>
      </c>
    </row>
    <row r="206" spans="1:6" outlineLevel="1">
      <c r="A206" s="243" t="s">
        <v>3994</v>
      </c>
      <c r="B206" s="249" t="s">
        <v>3995</v>
      </c>
      <c r="C206" s="299" t="s">
        <v>3884</v>
      </c>
      <c r="D206" s="299" t="s">
        <v>3969</v>
      </c>
      <c r="E206" s="300" t="s">
        <v>3996</v>
      </c>
      <c r="F206" s="304" t="s">
        <v>3984</v>
      </c>
    </row>
    <row r="207" spans="1:6" outlineLevel="1">
      <c r="A207" s="243" t="s">
        <v>3997</v>
      </c>
      <c r="B207" s="249" t="s">
        <v>3998</v>
      </c>
      <c r="C207" s="299" t="s">
        <v>3884</v>
      </c>
      <c r="D207" s="299" t="s">
        <v>3969</v>
      </c>
      <c r="E207" s="300"/>
      <c r="F207" s="304"/>
    </row>
    <row r="208" spans="1:6" outlineLevel="1">
      <c r="A208" s="243" t="s">
        <v>3999</v>
      </c>
      <c r="B208" s="249" t="s">
        <v>4000</v>
      </c>
      <c r="C208" s="299" t="s">
        <v>3884</v>
      </c>
      <c r="D208" s="299" t="s">
        <v>3969</v>
      </c>
      <c r="E208" s="300"/>
      <c r="F208" s="304"/>
    </row>
    <row r="209" spans="1:6" outlineLevel="1">
      <c r="A209" s="243" t="s">
        <v>4001</v>
      </c>
      <c r="B209" s="249" t="s">
        <v>4002</v>
      </c>
      <c r="C209" s="305" t="s">
        <v>3762</v>
      </c>
      <c r="D209" s="276" t="s">
        <v>2417</v>
      </c>
      <c r="E209" s="300" t="s">
        <v>4003</v>
      </c>
      <c r="F209" s="304"/>
    </row>
    <row r="210" spans="1:6" outlineLevel="1">
      <c r="A210" s="243" t="s">
        <v>4004</v>
      </c>
      <c r="B210" s="249" t="s">
        <v>4005</v>
      </c>
      <c r="C210" s="305" t="s">
        <v>3762</v>
      </c>
      <c r="D210" s="276" t="s">
        <v>2417</v>
      </c>
      <c r="E210" s="300" t="s">
        <v>4006</v>
      </c>
      <c r="F210" s="304"/>
    </row>
    <row r="211" spans="1:6" outlineLevel="1">
      <c r="A211" s="243" t="s">
        <v>4007</v>
      </c>
      <c r="B211" s="249" t="s">
        <v>4008</v>
      </c>
      <c r="C211" s="305" t="s">
        <v>3762</v>
      </c>
      <c r="D211" s="276" t="s">
        <v>2417</v>
      </c>
      <c r="E211" s="300" t="s">
        <v>4009</v>
      </c>
      <c r="F211" s="304"/>
    </row>
    <row r="212" spans="1:6" outlineLevel="1">
      <c r="A212" s="243" t="s">
        <v>4010</v>
      </c>
      <c r="B212" s="249" t="s">
        <v>4011</v>
      </c>
      <c r="C212" s="305" t="s">
        <v>3762</v>
      </c>
      <c r="D212" s="276" t="s">
        <v>2417</v>
      </c>
      <c r="E212" s="300" t="s">
        <v>4012</v>
      </c>
      <c r="F212" s="304"/>
    </row>
    <row r="213" spans="1:6" outlineLevel="1">
      <c r="A213" s="243" t="s">
        <v>4013</v>
      </c>
      <c r="B213" s="249" t="s">
        <v>4014</v>
      </c>
      <c r="C213" s="299" t="s">
        <v>3892</v>
      </c>
      <c r="D213" s="276" t="s">
        <v>4015</v>
      </c>
      <c r="E213" s="300" t="s">
        <v>4016</v>
      </c>
      <c r="F213" s="279"/>
    </row>
    <row r="214" spans="1:6" outlineLevel="1">
      <c r="A214" s="243" t="s">
        <v>4017</v>
      </c>
      <c r="B214" s="249" t="s">
        <v>4018</v>
      </c>
      <c r="C214" s="299" t="s">
        <v>3892</v>
      </c>
      <c r="D214" s="276" t="s">
        <v>4019</v>
      </c>
      <c r="E214" s="300" t="s">
        <v>4020</v>
      </c>
      <c r="F214" s="279"/>
    </row>
    <row r="215" spans="1:6" outlineLevel="1">
      <c r="A215" s="243" t="s">
        <v>4021</v>
      </c>
      <c r="B215" s="249" t="s">
        <v>4022</v>
      </c>
      <c r="C215" s="299" t="s">
        <v>3892</v>
      </c>
      <c r="D215" s="276" t="s">
        <v>3900</v>
      </c>
      <c r="E215" s="300" t="s">
        <v>4023</v>
      </c>
      <c r="F215" s="279"/>
    </row>
    <row r="216" spans="1:6" outlineLevel="1">
      <c r="A216" s="243" t="s">
        <v>4024</v>
      </c>
      <c r="B216" s="249" t="s">
        <v>4025</v>
      </c>
      <c r="C216" s="299" t="s">
        <v>3892</v>
      </c>
      <c r="D216" s="276" t="s">
        <v>3900</v>
      </c>
      <c r="E216" s="300" t="s">
        <v>4026</v>
      </c>
      <c r="F216" s="279"/>
    </row>
    <row r="217" spans="1:6" outlineLevel="1">
      <c r="A217" s="243" t="s">
        <v>4027</v>
      </c>
      <c r="B217" s="249" t="s">
        <v>4028</v>
      </c>
      <c r="C217" s="299" t="s">
        <v>3892</v>
      </c>
      <c r="D217" s="276" t="s">
        <v>3900</v>
      </c>
      <c r="E217" s="300" t="s">
        <v>4029</v>
      </c>
      <c r="F217" s="279"/>
    </row>
    <row r="218" spans="1:6" outlineLevel="1">
      <c r="A218" s="243" t="s">
        <v>4030</v>
      </c>
      <c r="B218" s="249" t="s">
        <v>4031</v>
      </c>
      <c r="C218" s="299" t="s">
        <v>3892</v>
      </c>
      <c r="D218" s="276" t="s">
        <v>3900</v>
      </c>
      <c r="E218" s="300" t="s">
        <v>4032</v>
      </c>
      <c r="F218" s="279"/>
    </row>
    <row r="219" spans="1:6" outlineLevel="1">
      <c r="A219" s="243" t="s">
        <v>4033</v>
      </c>
      <c r="B219" s="249" t="s">
        <v>4034</v>
      </c>
      <c r="C219" s="299" t="s">
        <v>3892</v>
      </c>
      <c r="D219" s="276" t="s">
        <v>4015</v>
      </c>
      <c r="E219" s="300" t="s">
        <v>4035</v>
      </c>
      <c r="F219" s="279"/>
    </row>
    <row r="220" spans="1:6" outlineLevel="1">
      <c r="A220" s="243" t="s">
        <v>4036</v>
      </c>
      <c r="B220" s="249" t="s">
        <v>4037</v>
      </c>
      <c r="C220" s="299" t="s">
        <v>3892</v>
      </c>
      <c r="D220" s="276" t="s">
        <v>4015</v>
      </c>
      <c r="E220" s="300" t="s">
        <v>4038</v>
      </c>
      <c r="F220" s="279"/>
    </row>
    <row r="221" spans="1:6" outlineLevel="1">
      <c r="A221" s="243" t="s">
        <v>4039</v>
      </c>
      <c r="B221" s="249" t="s">
        <v>4040</v>
      </c>
      <c r="C221" s="299" t="s">
        <v>3892</v>
      </c>
      <c r="D221" s="276" t="s">
        <v>4015</v>
      </c>
      <c r="E221" s="300" t="s">
        <v>4041</v>
      </c>
      <c r="F221" s="279"/>
    </row>
    <row r="222" spans="1:6" outlineLevel="1">
      <c r="A222" s="243" t="s">
        <v>4042</v>
      </c>
      <c r="B222" s="249" t="s">
        <v>4043</v>
      </c>
      <c r="C222" s="299" t="s">
        <v>3892</v>
      </c>
      <c r="D222" s="276" t="s">
        <v>4015</v>
      </c>
      <c r="E222" s="300" t="s">
        <v>4044</v>
      </c>
      <c r="F222" s="279"/>
    </row>
    <row r="223" spans="1:6" outlineLevel="1">
      <c r="A223" s="237" t="s">
        <v>4045</v>
      </c>
      <c r="B223" s="465" t="s">
        <v>4046</v>
      </c>
      <c r="C223" s="350"/>
      <c r="D223" s="351"/>
      <c r="E223" s="279"/>
      <c r="F223" s="279"/>
    </row>
    <row r="224" spans="1:6" ht="15.75" customHeight="1" outlineLevel="1">
      <c r="A224" s="243" t="s">
        <v>4047</v>
      </c>
      <c r="B224" s="249" t="s">
        <v>4048</v>
      </c>
      <c r="C224" s="295" t="s">
        <v>4049</v>
      </c>
      <c r="D224" s="276" t="s">
        <v>2417</v>
      </c>
      <c r="E224" s="300" t="s">
        <v>4050</v>
      </c>
      <c r="F224" s="268"/>
    </row>
    <row r="225" spans="1:6" ht="15.75" customHeight="1" outlineLevel="1">
      <c r="A225" s="243" t="s">
        <v>4051</v>
      </c>
      <c r="B225" s="249" t="s">
        <v>4052</v>
      </c>
      <c r="C225" s="286" t="s">
        <v>4049</v>
      </c>
      <c r="D225" s="276" t="s">
        <v>2417</v>
      </c>
      <c r="E225" s="300" t="s">
        <v>4053</v>
      </c>
      <c r="F225" s="268"/>
    </row>
    <row r="226" spans="1:6" ht="15.75" customHeight="1" outlineLevel="1">
      <c r="A226" s="243" t="s">
        <v>4054</v>
      </c>
      <c r="B226" s="249" t="s">
        <v>4055</v>
      </c>
      <c r="C226" s="286" t="s">
        <v>4049</v>
      </c>
      <c r="D226" s="276" t="s">
        <v>2417</v>
      </c>
      <c r="E226" s="300" t="s">
        <v>4056</v>
      </c>
      <c r="F226" s="268"/>
    </row>
    <row r="227" spans="1:6" ht="15.75" customHeight="1" outlineLevel="1">
      <c r="A227" s="243" t="s">
        <v>4057</v>
      </c>
      <c r="B227" s="249" t="s">
        <v>4058</v>
      </c>
      <c r="C227" s="286" t="s">
        <v>4049</v>
      </c>
      <c r="D227" s="276" t="s">
        <v>2417</v>
      </c>
      <c r="E227" s="300" t="s">
        <v>4059</v>
      </c>
      <c r="F227" s="268"/>
    </row>
    <row r="228" spans="1:6" ht="15.75" customHeight="1" outlineLevel="1">
      <c r="A228" s="243" t="s">
        <v>4060</v>
      </c>
      <c r="B228" s="249" t="s">
        <v>4061</v>
      </c>
      <c r="C228" s="286" t="s">
        <v>4049</v>
      </c>
      <c r="D228" s="276" t="s">
        <v>2417</v>
      </c>
      <c r="E228" s="300" t="s">
        <v>4062</v>
      </c>
      <c r="F228" s="268"/>
    </row>
    <row r="229" spans="1:6" ht="15.75" customHeight="1" outlineLevel="1">
      <c r="A229" s="243" t="s">
        <v>4063</v>
      </c>
      <c r="B229" s="249" t="s">
        <v>4064</v>
      </c>
      <c r="C229" s="286" t="s">
        <v>4049</v>
      </c>
      <c r="D229" s="276" t="s">
        <v>2417</v>
      </c>
      <c r="E229" s="300" t="s">
        <v>4065</v>
      </c>
      <c r="F229" s="268"/>
    </row>
    <row r="230" spans="1:6" ht="15.75" customHeight="1" outlineLevel="1">
      <c r="A230" s="243" t="s">
        <v>4066</v>
      </c>
      <c r="B230" s="249" t="s">
        <v>4067</v>
      </c>
      <c r="C230" s="295" t="s">
        <v>4049</v>
      </c>
      <c r="D230" s="276" t="s">
        <v>2417</v>
      </c>
      <c r="E230" s="300" t="s">
        <v>4068</v>
      </c>
      <c r="F230" s="268"/>
    </row>
    <row r="231" spans="1:6" ht="15.75" customHeight="1" outlineLevel="1">
      <c r="A231" s="243" t="s">
        <v>4069</v>
      </c>
      <c r="B231" s="249" t="s">
        <v>4070</v>
      </c>
      <c r="C231" s="286" t="s">
        <v>4049</v>
      </c>
      <c r="D231" s="276" t="s">
        <v>2417</v>
      </c>
      <c r="E231" s="300" t="s">
        <v>4071</v>
      </c>
      <c r="F231" s="268"/>
    </row>
    <row r="232" spans="1:6" ht="15.75" customHeight="1" outlineLevel="1">
      <c r="A232" s="243" t="s">
        <v>4072</v>
      </c>
      <c r="B232" s="249" t="s">
        <v>4073</v>
      </c>
      <c r="C232" s="286" t="s">
        <v>4049</v>
      </c>
      <c r="D232" s="276" t="s">
        <v>2417</v>
      </c>
      <c r="E232" s="300" t="s">
        <v>4074</v>
      </c>
      <c r="F232" s="268"/>
    </row>
    <row r="233" spans="1:6" outlineLevel="1">
      <c r="A233" s="260"/>
      <c r="B233" s="267"/>
      <c r="C233" s="259"/>
      <c r="D233" s="259"/>
      <c r="E233" s="268"/>
      <c r="F233" s="268"/>
    </row>
    <row r="234" spans="1:6">
      <c r="A234" s="466" t="s">
        <v>4075</v>
      </c>
      <c r="B234" s="350"/>
      <c r="C234" s="350"/>
      <c r="D234" s="351"/>
      <c r="E234" s="256"/>
      <c r="F234" s="256"/>
    </row>
    <row r="235" spans="1:6" outlineLevel="1">
      <c r="A235" s="468" t="s">
        <v>3680</v>
      </c>
      <c r="B235" s="470" t="s">
        <v>3681</v>
      </c>
      <c r="C235" s="471" t="s">
        <v>3682</v>
      </c>
      <c r="D235" s="472"/>
      <c r="E235" s="257"/>
      <c r="F235" s="257"/>
    </row>
    <row r="236" spans="1:6" outlineLevel="1">
      <c r="A236" s="469"/>
      <c r="B236" s="368"/>
      <c r="C236" s="306" t="s">
        <v>3683</v>
      </c>
      <c r="D236" s="306" t="s">
        <v>3684</v>
      </c>
      <c r="E236" s="258"/>
      <c r="F236" s="258"/>
    </row>
    <row r="237" spans="1:6" ht="15.75" customHeight="1" outlineLevel="1">
      <c r="A237" s="237">
        <v>1</v>
      </c>
      <c r="B237" s="251" t="s">
        <v>4076</v>
      </c>
      <c r="C237" s="286"/>
      <c r="D237" s="276"/>
      <c r="E237" s="268"/>
      <c r="F237" s="268"/>
    </row>
    <row r="238" spans="1:6" ht="15.75" customHeight="1" outlineLevel="1">
      <c r="A238" s="243" t="s">
        <v>3747</v>
      </c>
      <c r="B238" s="246" t="s">
        <v>4077</v>
      </c>
      <c r="C238" s="286" t="s">
        <v>4078</v>
      </c>
      <c r="D238" s="276" t="s">
        <v>4079</v>
      </c>
      <c r="E238" s="247"/>
      <c r="F238" s="247"/>
    </row>
    <row r="239" spans="1:6" ht="15.75" customHeight="1" outlineLevel="1">
      <c r="A239" s="243" t="s">
        <v>603</v>
      </c>
      <c r="B239" s="246" t="s">
        <v>4080</v>
      </c>
      <c r="C239" s="286" t="s">
        <v>4078</v>
      </c>
      <c r="D239" s="276" t="s">
        <v>4079</v>
      </c>
      <c r="E239" s="247"/>
      <c r="F239" s="247"/>
    </row>
    <row r="240" spans="1:6" ht="15.75" customHeight="1" outlineLevel="1">
      <c r="A240" s="243" t="s">
        <v>606</v>
      </c>
      <c r="B240" s="246" t="s">
        <v>4081</v>
      </c>
      <c r="C240" s="286" t="s">
        <v>4078</v>
      </c>
      <c r="D240" s="276" t="s">
        <v>4079</v>
      </c>
      <c r="E240" s="247"/>
      <c r="F240" s="247"/>
    </row>
    <row r="241" spans="1:6" ht="15.75" customHeight="1" outlineLevel="1">
      <c r="A241" s="243" t="s">
        <v>609</v>
      </c>
      <c r="B241" s="246" t="s">
        <v>4082</v>
      </c>
      <c r="C241" s="286" t="s">
        <v>4078</v>
      </c>
      <c r="D241" s="276" t="s">
        <v>4079</v>
      </c>
      <c r="E241" s="247"/>
      <c r="F241" s="247"/>
    </row>
    <row r="242" spans="1:6" ht="15.75" customHeight="1" outlineLevel="1">
      <c r="A242" s="243" t="s">
        <v>612</v>
      </c>
      <c r="B242" s="246" t="s">
        <v>4083</v>
      </c>
      <c r="C242" s="286" t="s">
        <v>4078</v>
      </c>
      <c r="D242" s="276" t="s">
        <v>4079</v>
      </c>
      <c r="E242" s="247"/>
      <c r="F242" s="247"/>
    </row>
    <row r="243" spans="1:6" ht="15.75" customHeight="1" outlineLevel="1">
      <c r="A243" s="243" t="s">
        <v>615</v>
      </c>
      <c r="B243" s="246" t="s">
        <v>4084</v>
      </c>
      <c r="C243" s="286" t="s">
        <v>4085</v>
      </c>
      <c r="D243" s="276" t="s">
        <v>4086</v>
      </c>
      <c r="E243" s="247"/>
      <c r="F243" s="247"/>
    </row>
    <row r="244" spans="1:6" ht="15.75" customHeight="1" outlineLevel="1">
      <c r="A244" s="243" t="s">
        <v>617</v>
      </c>
      <c r="B244" s="246" t="s">
        <v>4087</v>
      </c>
      <c r="C244" s="286" t="s">
        <v>4088</v>
      </c>
      <c r="D244" s="276" t="s">
        <v>2417</v>
      </c>
      <c r="E244" s="247"/>
      <c r="F244" s="247"/>
    </row>
    <row r="245" spans="1:6" ht="15.75" customHeight="1" outlineLevel="1">
      <c r="A245" s="243" t="s">
        <v>620</v>
      </c>
      <c r="B245" s="246" t="s">
        <v>4089</v>
      </c>
      <c r="C245" s="286" t="s">
        <v>4090</v>
      </c>
      <c r="D245" s="276" t="s">
        <v>4091</v>
      </c>
      <c r="E245" s="247"/>
      <c r="F245" s="247"/>
    </row>
    <row r="246" spans="1:6" ht="15.75" customHeight="1" outlineLevel="1">
      <c r="A246" s="243" t="s">
        <v>623</v>
      </c>
      <c r="B246" s="246" t="s">
        <v>4092</v>
      </c>
      <c r="C246" s="286" t="s">
        <v>4093</v>
      </c>
      <c r="D246" s="276" t="s">
        <v>4094</v>
      </c>
      <c r="E246" s="247"/>
      <c r="F246" s="247"/>
    </row>
    <row r="247" spans="1:6" ht="15.75" customHeight="1" outlineLevel="1">
      <c r="A247" s="237">
        <v>2</v>
      </c>
      <c r="B247" s="251" t="s">
        <v>4095</v>
      </c>
      <c r="C247" s="286"/>
      <c r="D247" s="276"/>
      <c r="E247" s="268"/>
      <c r="F247" s="268"/>
    </row>
    <row r="248" spans="1:6" ht="15.75" customHeight="1" outlineLevel="1">
      <c r="A248" s="243" t="s">
        <v>3692</v>
      </c>
      <c r="B248" s="246" t="s">
        <v>4096</v>
      </c>
      <c r="C248" s="286" t="s">
        <v>4097</v>
      </c>
      <c r="D248" s="276" t="s">
        <v>2417</v>
      </c>
      <c r="E248" s="247"/>
      <c r="F248" s="247"/>
    </row>
    <row r="249" spans="1:6" ht="15.75" customHeight="1" outlineLevel="1">
      <c r="A249" s="243" t="s">
        <v>3696</v>
      </c>
      <c r="B249" s="246" t="s">
        <v>4098</v>
      </c>
      <c r="C249" s="286" t="s">
        <v>4097</v>
      </c>
      <c r="D249" s="276" t="s">
        <v>2417</v>
      </c>
      <c r="E249" s="247"/>
      <c r="F249" s="247"/>
    </row>
    <row r="250" spans="1:6" ht="15.75" customHeight="1" outlineLevel="1">
      <c r="A250" s="243" t="s">
        <v>3700</v>
      </c>
      <c r="B250" s="246" t="s">
        <v>4099</v>
      </c>
      <c r="C250" s="286" t="s">
        <v>4097</v>
      </c>
      <c r="D250" s="276" t="s">
        <v>2417</v>
      </c>
      <c r="E250" s="268"/>
      <c r="F250" s="268"/>
    </row>
    <row r="251" spans="1:6" ht="15.75" customHeight="1" outlineLevel="1">
      <c r="A251" s="243" t="s">
        <v>3704</v>
      </c>
      <c r="B251" s="246" t="s">
        <v>4100</v>
      </c>
      <c r="C251" s="286" t="s">
        <v>4097</v>
      </c>
      <c r="D251" s="276" t="s">
        <v>2417</v>
      </c>
      <c r="E251" s="268"/>
      <c r="F251" s="268"/>
    </row>
    <row r="252" spans="1:6" ht="15.75" customHeight="1" outlineLevel="1">
      <c r="A252" s="243" t="s">
        <v>3707</v>
      </c>
      <c r="B252" s="246" t="s">
        <v>4101</v>
      </c>
      <c r="C252" s="286" t="s">
        <v>4102</v>
      </c>
      <c r="D252" s="276" t="s">
        <v>2417</v>
      </c>
      <c r="E252" s="268"/>
      <c r="F252" s="268"/>
    </row>
    <row r="253" spans="1:6" ht="15.75" customHeight="1" outlineLevel="1">
      <c r="A253" s="243" t="s">
        <v>3757</v>
      </c>
      <c r="B253" s="246" t="s">
        <v>4103</v>
      </c>
      <c r="C253" s="286" t="s">
        <v>4104</v>
      </c>
      <c r="D253" s="276" t="s">
        <v>4105</v>
      </c>
      <c r="E253" s="268"/>
      <c r="F253" s="268"/>
    </row>
    <row r="254" spans="1:6" ht="15.75" customHeight="1" outlineLevel="1">
      <c r="A254" s="243" t="s">
        <v>3760</v>
      </c>
      <c r="B254" s="246" t="s">
        <v>4106</v>
      </c>
      <c r="C254" s="286" t="s">
        <v>4097</v>
      </c>
      <c r="D254" s="276" t="s">
        <v>4107</v>
      </c>
      <c r="E254" s="268"/>
      <c r="F254" s="268"/>
    </row>
    <row r="255" spans="1:6" ht="15.75" customHeight="1" outlineLevel="1">
      <c r="A255" s="243" t="s">
        <v>4108</v>
      </c>
      <c r="B255" s="246" t="s">
        <v>4109</v>
      </c>
      <c r="C255" s="286" t="s">
        <v>4110</v>
      </c>
      <c r="D255" s="276" t="s">
        <v>4111</v>
      </c>
      <c r="E255" s="268"/>
      <c r="F255" s="268"/>
    </row>
    <row r="256" spans="1:6" ht="15.75" customHeight="1" outlineLevel="1">
      <c r="A256" s="243" t="s">
        <v>4112</v>
      </c>
      <c r="B256" s="246" t="s">
        <v>4113</v>
      </c>
      <c r="C256" s="286" t="s">
        <v>4114</v>
      </c>
      <c r="D256" s="276" t="s">
        <v>4115</v>
      </c>
      <c r="E256" s="268"/>
      <c r="F256" s="268"/>
    </row>
    <row r="257" spans="1:6" ht="15.75" customHeight="1" outlineLevel="1">
      <c r="A257" s="237">
        <v>3</v>
      </c>
      <c r="B257" s="251" t="s">
        <v>2337</v>
      </c>
      <c r="C257" s="286"/>
      <c r="D257" s="276"/>
      <c r="E257" s="268"/>
      <c r="F257" s="268"/>
    </row>
    <row r="258" spans="1:6" ht="15.75" customHeight="1" outlineLevel="1">
      <c r="A258" s="243" t="s">
        <v>3712</v>
      </c>
      <c r="B258" s="246" t="s">
        <v>4113</v>
      </c>
      <c r="C258" s="286" t="s">
        <v>4110</v>
      </c>
      <c r="D258" s="276" t="s">
        <v>4111</v>
      </c>
      <c r="E258" s="247"/>
      <c r="F258" s="247"/>
    </row>
    <row r="259" spans="1:6" ht="15.75" customHeight="1" outlineLevel="1">
      <c r="A259" s="243" t="s">
        <v>3715</v>
      </c>
      <c r="B259" s="246" t="s">
        <v>4116</v>
      </c>
      <c r="C259" s="286" t="s">
        <v>4117</v>
      </c>
      <c r="D259" s="276" t="s">
        <v>4118</v>
      </c>
      <c r="E259" s="247"/>
      <c r="F259" s="247"/>
    </row>
    <row r="260" spans="1:6" ht="15.75" customHeight="1" outlineLevel="1">
      <c r="A260" s="243" t="s">
        <v>3717</v>
      </c>
      <c r="B260" s="246" t="s">
        <v>4119</v>
      </c>
      <c r="C260" s="286" t="s">
        <v>4120</v>
      </c>
      <c r="D260" s="276" t="s">
        <v>4121</v>
      </c>
      <c r="E260" s="247"/>
      <c r="F260" s="247"/>
    </row>
    <row r="261" spans="1:6" ht="15.75" customHeight="1" outlineLevel="1">
      <c r="A261" s="243" t="s">
        <v>3719</v>
      </c>
      <c r="B261" s="246" t="s">
        <v>4122</v>
      </c>
      <c r="C261" s="286" t="s">
        <v>4117</v>
      </c>
      <c r="D261" s="276" t="s">
        <v>4123</v>
      </c>
      <c r="E261" s="247"/>
      <c r="F261" s="247"/>
    </row>
    <row r="262" spans="1:6" ht="15.75" customHeight="1" outlineLevel="1">
      <c r="A262" s="243" t="s">
        <v>3805</v>
      </c>
      <c r="B262" s="246" t="s">
        <v>4124</v>
      </c>
      <c r="C262" s="286" t="s">
        <v>4117</v>
      </c>
      <c r="D262" s="276" t="s">
        <v>4123</v>
      </c>
      <c r="E262" s="247"/>
      <c r="F262" s="247"/>
    </row>
    <row r="263" spans="1:6" ht="15.75" customHeight="1" outlineLevel="1">
      <c r="A263" s="243" t="s">
        <v>4125</v>
      </c>
      <c r="B263" s="246" t="s">
        <v>4126</v>
      </c>
      <c r="C263" s="286" t="s">
        <v>4117</v>
      </c>
      <c r="D263" s="276" t="s">
        <v>4123</v>
      </c>
      <c r="E263" s="247"/>
      <c r="F263" s="247"/>
    </row>
    <row r="264" spans="1:6" ht="15.75" customHeight="1" outlineLevel="1">
      <c r="A264" s="237">
        <v>4</v>
      </c>
      <c r="B264" s="251" t="s">
        <v>4127</v>
      </c>
      <c r="C264" s="286"/>
      <c r="D264" s="276"/>
      <c r="E264" s="247"/>
      <c r="F264" s="247"/>
    </row>
    <row r="265" spans="1:6" ht="15.75" customHeight="1" outlineLevel="1">
      <c r="A265" s="243" t="s">
        <v>3724</v>
      </c>
      <c r="B265" s="246" t="s">
        <v>4128</v>
      </c>
      <c r="C265" s="286" t="s">
        <v>3741</v>
      </c>
      <c r="D265" s="276" t="s">
        <v>4129</v>
      </c>
      <c r="E265" s="247"/>
      <c r="F265" s="247"/>
    </row>
    <row r="266" spans="1:6" ht="15.75" customHeight="1" outlineLevel="1">
      <c r="A266" s="243" t="s">
        <v>3727</v>
      </c>
      <c r="B266" s="246" t="s">
        <v>4130</v>
      </c>
      <c r="C266" s="286" t="s">
        <v>3741</v>
      </c>
      <c r="D266" s="276" t="s">
        <v>2417</v>
      </c>
      <c r="E266" s="247"/>
      <c r="F266" s="247"/>
    </row>
    <row r="267" spans="1:6" ht="15.75" customHeight="1" outlineLevel="1">
      <c r="A267" s="243" t="s">
        <v>3731</v>
      </c>
      <c r="B267" s="246" t="s">
        <v>4131</v>
      </c>
      <c r="C267" s="286" t="s">
        <v>4110</v>
      </c>
      <c r="D267" s="276" t="s">
        <v>4111</v>
      </c>
      <c r="E267" s="247"/>
      <c r="F267" s="247"/>
    </row>
    <row r="268" spans="1:6" ht="15.75" customHeight="1" outlineLevel="1">
      <c r="A268" s="237">
        <v>5</v>
      </c>
      <c r="B268" s="251" t="s">
        <v>4132</v>
      </c>
      <c r="C268" s="286"/>
      <c r="D268" s="276"/>
      <c r="E268" s="247"/>
      <c r="F268" s="247"/>
    </row>
    <row r="269" spans="1:6" ht="15.75" customHeight="1" outlineLevel="1">
      <c r="A269" s="243" t="s">
        <v>3769</v>
      </c>
      <c r="B269" s="246" t="s">
        <v>4133</v>
      </c>
      <c r="C269" s="286" t="s">
        <v>4134</v>
      </c>
      <c r="D269" s="276" t="s">
        <v>4135</v>
      </c>
      <c r="E269" s="247"/>
      <c r="F269" s="247"/>
    </row>
    <row r="270" spans="1:6" ht="15.75" customHeight="1" outlineLevel="1">
      <c r="A270" s="243" t="s">
        <v>3773</v>
      </c>
      <c r="B270" s="246" t="s">
        <v>4136</v>
      </c>
      <c r="C270" s="286" t="s">
        <v>4134</v>
      </c>
      <c r="D270" s="276" t="s">
        <v>4135</v>
      </c>
      <c r="E270" s="247"/>
      <c r="F270" s="247"/>
    </row>
    <row r="271" spans="1:6" ht="15.75" customHeight="1" outlineLevel="1">
      <c r="A271" s="243" t="s">
        <v>3776</v>
      </c>
      <c r="B271" s="246" t="s">
        <v>4137</v>
      </c>
      <c r="C271" s="286" t="s">
        <v>4117</v>
      </c>
      <c r="D271" s="276" t="s">
        <v>4138</v>
      </c>
      <c r="E271" s="247"/>
      <c r="F271" s="247"/>
    </row>
    <row r="272" spans="1:6" ht="15.75" customHeight="1" outlineLevel="1">
      <c r="A272" s="243" t="s">
        <v>3779</v>
      </c>
      <c r="B272" s="246" t="s">
        <v>4139</v>
      </c>
      <c r="C272" s="286" t="s">
        <v>4140</v>
      </c>
      <c r="D272" s="276" t="s">
        <v>2417</v>
      </c>
      <c r="E272" s="247"/>
      <c r="F272" s="247"/>
    </row>
    <row r="273" spans="1:6" ht="15.75" customHeight="1" outlineLevel="1">
      <c r="A273" s="243" t="s">
        <v>3908</v>
      </c>
      <c r="B273" s="246" t="s">
        <v>4141</v>
      </c>
      <c r="C273" s="286" t="s">
        <v>4142</v>
      </c>
      <c r="D273" s="276" t="s">
        <v>4143</v>
      </c>
      <c r="E273" s="247"/>
      <c r="F273" s="247"/>
    </row>
    <row r="274" spans="1:6" ht="15.75" customHeight="1" outlineLevel="1">
      <c r="A274" s="243" t="s">
        <v>4144</v>
      </c>
      <c r="B274" s="246" t="s">
        <v>4145</v>
      </c>
      <c r="C274" s="286" t="s">
        <v>4142</v>
      </c>
      <c r="D274" s="276" t="s">
        <v>4146</v>
      </c>
      <c r="E274" s="247"/>
      <c r="F274" s="247"/>
    </row>
    <row r="275" spans="1:6" ht="15.75" customHeight="1" outlineLevel="1">
      <c r="A275" s="243" t="s">
        <v>4147</v>
      </c>
      <c r="B275" s="246" t="s">
        <v>4148</v>
      </c>
      <c r="C275" s="286" t="s">
        <v>4142</v>
      </c>
      <c r="D275" s="276" t="s">
        <v>4146</v>
      </c>
      <c r="E275" s="247"/>
      <c r="F275" s="247"/>
    </row>
    <row r="276" spans="1:6" ht="15.75" customHeight="1" outlineLevel="1">
      <c r="A276" s="243" t="s">
        <v>4149</v>
      </c>
      <c r="B276" s="246" t="s">
        <v>4150</v>
      </c>
      <c r="C276" s="286" t="s">
        <v>4142</v>
      </c>
      <c r="D276" s="276" t="s">
        <v>4151</v>
      </c>
      <c r="E276" s="247"/>
      <c r="F276" s="247"/>
    </row>
    <row r="277" spans="1:6" ht="15.75" customHeight="1" outlineLevel="1">
      <c r="A277" s="243" t="s">
        <v>4152</v>
      </c>
      <c r="B277" s="246" t="s">
        <v>4153</v>
      </c>
      <c r="C277" s="286" t="s">
        <v>4142</v>
      </c>
      <c r="D277" s="276" t="s">
        <v>4146</v>
      </c>
      <c r="E277" s="247"/>
      <c r="F277" s="247"/>
    </row>
    <row r="278" spans="1:6" ht="15.75" customHeight="1" outlineLevel="1">
      <c r="A278" s="243" t="s">
        <v>4154</v>
      </c>
      <c r="B278" s="246" t="s">
        <v>4155</v>
      </c>
      <c r="C278" s="286" t="s">
        <v>4142</v>
      </c>
      <c r="D278" s="276" t="s">
        <v>4146</v>
      </c>
      <c r="E278" s="247"/>
      <c r="F278" s="247"/>
    </row>
    <row r="279" spans="1:6" ht="15.75" customHeight="1" outlineLevel="1">
      <c r="A279" s="243" t="s">
        <v>4156</v>
      </c>
      <c r="B279" s="246" t="s">
        <v>4157</v>
      </c>
      <c r="C279" s="286" t="s">
        <v>4142</v>
      </c>
      <c r="D279" s="276" t="s">
        <v>4146</v>
      </c>
      <c r="E279" s="247"/>
      <c r="F279" s="247"/>
    </row>
    <row r="280" spans="1:6" ht="15.75" customHeight="1" outlineLevel="1">
      <c r="A280" s="243" t="s">
        <v>4158</v>
      </c>
      <c r="B280" s="246" t="s">
        <v>4159</v>
      </c>
      <c r="C280" s="286" t="s">
        <v>4142</v>
      </c>
      <c r="D280" s="276" t="s">
        <v>4146</v>
      </c>
      <c r="E280" s="247"/>
      <c r="F280" s="247"/>
    </row>
    <row r="281" spans="1:6" ht="15.75" customHeight="1" outlineLevel="1">
      <c r="A281" s="243" t="s">
        <v>4160</v>
      </c>
      <c r="B281" s="246" t="s">
        <v>4161</v>
      </c>
      <c r="C281" s="286" t="s">
        <v>4162</v>
      </c>
      <c r="D281" s="276" t="s">
        <v>4163</v>
      </c>
      <c r="E281" s="247"/>
      <c r="F281" s="247"/>
    </row>
    <row r="282" spans="1:6" ht="15.75" customHeight="1" outlineLevel="1">
      <c r="A282" s="237">
        <v>6</v>
      </c>
      <c r="B282" s="251" t="s">
        <v>2319</v>
      </c>
      <c r="C282" s="286"/>
      <c r="D282" s="276"/>
      <c r="E282" s="247"/>
      <c r="F282" s="247"/>
    </row>
    <row r="283" spans="1:6" ht="15.75" customHeight="1" outlineLevel="1">
      <c r="A283" s="243" t="s">
        <v>3911</v>
      </c>
      <c r="B283" s="246" t="s">
        <v>4155</v>
      </c>
      <c r="C283" s="286" t="s">
        <v>4142</v>
      </c>
      <c r="D283" s="276" t="s">
        <v>4146</v>
      </c>
      <c r="E283" s="268"/>
      <c r="F283" s="268"/>
    </row>
    <row r="284" spans="1:6" ht="15.75" customHeight="1" outlineLevel="1">
      <c r="A284" s="243" t="s">
        <v>3914</v>
      </c>
      <c r="B284" s="246" t="s">
        <v>4157</v>
      </c>
      <c r="C284" s="286" t="s">
        <v>4142</v>
      </c>
      <c r="D284" s="276" t="s">
        <v>4146</v>
      </c>
      <c r="E284" s="247"/>
      <c r="F284" s="247"/>
    </row>
    <row r="285" spans="1:6" ht="15.75" customHeight="1" outlineLevel="1">
      <c r="A285" s="243" t="s">
        <v>4164</v>
      </c>
      <c r="B285" s="246" t="s">
        <v>4159</v>
      </c>
      <c r="C285" s="286" t="s">
        <v>4142</v>
      </c>
      <c r="D285" s="276" t="s">
        <v>4146</v>
      </c>
      <c r="E285" s="247"/>
      <c r="F285" s="247"/>
    </row>
    <row r="286" spans="1:6" ht="15.75" customHeight="1" outlineLevel="1">
      <c r="A286" s="243" t="s">
        <v>4165</v>
      </c>
      <c r="B286" s="246" t="s">
        <v>4161</v>
      </c>
      <c r="C286" s="286" t="s">
        <v>4162</v>
      </c>
      <c r="D286" s="276" t="s">
        <v>4163</v>
      </c>
      <c r="E286" s="247"/>
      <c r="F286" s="247"/>
    </row>
    <row r="287" spans="1:6" ht="15.75" customHeight="1" outlineLevel="1">
      <c r="A287" s="243" t="s">
        <v>4166</v>
      </c>
      <c r="B287" s="246" t="s">
        <v>4167</v>
      </c>
      <c r="C287" s="286" t="s">
        <v>4162</v>
      </c>
      <c r="D287" s="276"/>
      <c r="E287" s="247"/>
      <c r="F287" s="247"/>
    </row>
    <row r="288" spans="1:6" ht="15.75" customHeight="1" outlineLevel="1">
      <c r="A288" s="243" t="s">
        <v>4168</v>
      </c>
      <c r="B288" s="246" t="s">
        <v>4169</v>
      </c>
      <c r="C288" s="286" t="s">
        <v>4162</v>
      </c>
      <c r="D288" s="276"/>
      <c r="E288" s="247"/>
      <c r="F288" s="247"/>
    </row>
    <row r="289" spans="1:6" ht="15.75" customHeight="1" outlineLevel="1">
      <c r="A289" s="237">
        <v>7</v>
      </c>
      <c r="B289" s="251" t="s">
        <v>4170</v>
      </c>
      <c r="C289" s="286"/>
      <c r="D289" s="276"/>
      <c r="E289" s="268"/>
      <c r="F289" s="268"/>
    </row>
    <row r="290" spans="1:6" ht="15.75" customHeight="1" outlineLevel="1">
      <c r="A290" s="243" t="s">
        <v>3807</v>
      </c>
      <c r="B290" s="246" t="s">
        <v>4171</v>
      </c>
      <c r="C290" s="286" t="s">
        <v>4078</v>
      </c>
      <c r="D290" s="276" t="s">
        <v>4079</v>
      </c>
      <c r="E290" s="268"/>
      <c r="F290" s="268"/>
    </row>
    <row r="291" spans="1:6" ht="15.75" customHeight="1" outlineLevel="1">
      <c r="A291" s="243" t="s">
        <v>3810</v>
      </c>
      <c r="B291" s="246" t="s">
        <v>4131</v>
      </c>
      <c r="C291" s="286" t="s">
        <v>4110</v>
      </c>
      <c r="D291" s="276" t="s">
        <v>4111</v>
      </c>
      <c r="E291" s="268"/>
      <c r="F291" s="268"/>
    </row>
    <row r="292" spans="1:6" ht="15.75" customHeight="1" outlineLevel="1">
      <c r="A292" s="243" t="s">
        <v>3813</v>
      </c>
      <c r="B292" s="246" t="s">
        <v>4113</v>
      </c>
      <c r="C292" s="286" t="s">
        <v>4114</v>
      </c>
      <c r="D292" s="276" t="s">
        <v>4115</v>
      </c>
      <c r="E292" s="268"/>
      <c r="F292" s="268"/>
    </row>
    <row r="293" spans="1:6">
      <c r="A293" s="307"/>
      <c r="B293" s="308"/>
      <c r="C293" s="309"/>
      <c r="D293" s="310"/>
      <c r="E293" s="311"/>
      <c r="F293" s="312"/>
    </row>
    <row r="294" spans="1:6">
      <c r="A294" s="313"/>
      <c r="B294" s="314" t="s">
        <v>4172</v>
      </c>
      <c r="C294" s="315"/>
      <c r="D294" s="316"/>
      <c r="E294" s="317"/>
      <c r="F294" s="318"/>
    </row>
    <row r="295" spans="1:6">
      <c r="A295" s="319"/>
      <c r="B295" s="320"/>
      <c r="C295" s="321"/>
      <c r="D295" s="322"/>
      <c r="E295" s="323"/>
      <c r="F295" s="321"/>
    </row>
    <row r="296" spans="1:6">
      <c r="A296" s="324"/>
      <c r="B296" s="325" t="s">
        <v>466</v>
      </c>
      <c r="C296" s="473" t="s">
        <v>467</v>
      </c>
      <c r="D296" s="474"/>
      <c r="E296" s="326"/>
      <c r="F296" s="325"/>
    </row>
    <row r="297" spans="1:6">
      <c r="A297" s="327"/>
      <c r="B297" s="328" t="s">
        <v>481</v>
      </c>
      <c r="C297" s="475" t="s">
        <v>481</v>
      </c>
      <c r="D297" s="474"/>
      <c r="E297" s="329"/>
      <c r="F297" s="328"/>
    </row>
    <row r="298" spans="1:6">
      <c r="A298" s="330"/>
      <c r="B298" s="331"/>
      <c r="C298" s="331"/>
      <c r="D298" s="332"/>
      <c r="E298" s="333"/>
      <c r="F298" s="331"/>
    </row>
    <row r="299" spans="1:6">
      <c r="A299" s="334"/>
      <c r="B299" s="335" t="s">
        <v>470</v>
      </c>
      <c r="C299" s="336"/>
      <c r="D299" s="337" t="s">
        <v>470</v>
      </c>
      <c r="E299" s="338"/>
      <c r="F299" s="335"/>
    </row>
    <row r="300" spans="1:6">
      <c r="A300" s="339"/>
      <c r="B300" s="340" t="s">
        <v>556</v>
      </c>
      <c r="C300" s="335"/>
      <c r="D300" s="341" t="s">
        <v>556</v>
      </c>
      <c r="E300" s="342"/>
      <c r="F300" s="340"/>
    </row>
    <row r="301" spans="1:6">
      <c r="A301" s="343"/>
      <c r="B301" s="335" t="s">
        <v>471</v>
      </c>
      <c r="C301" s="336"/>
      <c r="D301" s="337" t="s">
        <v>471</v>
      </c>
      <c r="E301" s="338"/>
      <c r="F301" s="335"/>
    </row>
  </sheetData>
  <mergeCells count="68">
    <mergeCell ref="B140:D140"/>
    <mergeCell ref="A131:D131"/>
    <mergeCell ref="A132:A133"/>
    <mergeCell ref="B132:B133"/>
    <mergeCell ref="C132:D132"/>
    <mergeCell ref="B136:D136"/>
    <mergeCell ref="A118:A119"/>
    <mergeCell ref="B118:B119"/>
    <mergeCell ref="B84:D84"/>
    <mergeCell ref="B92:D92"/>
    <mergeCell ref="A98:D98"/>
    <mergeCell ref="A99:A100"/>
    <mergeCell ref="B99:B100"/>
    <mergeCell ref="C99:D99"/>
    <mergeCell ref="A117:D117"/>
    <mergeCell ref="C118:D118"/>
    <mergeCell ref="A70:A71"/>
    <mergeCell ref="B70:B71"/>
    <mergeCell ref="C70:D70"/>
    <mergeCell ref="B72:D72"/>
    <mergeCell ref="B79:D79"/>
    <mergeCell ref="A55:D55"/>
    <mergeCell ref="B57:D57"/>
    <mergeCell ref="B61:D61"/>
    <mergeCell ref="B65:D65"/>
    <mergeCell ref="A69:D69"/>
    <mergeCell ref="B32:D32"/>
    <mergeCell ref="B34:D34"/>
    <mergeCell ref="B42:D42"/>
    <mergeCell ref="B44:D44"/>
    <mergeCell ref="B48:D48"/>
    <mergeCell ref="B9:D9"/>
    <mergeCell ref="B15:D15"/>
    <mergeCell ref="B20:D20"/>
    <mergeCell ref="A29:D29"/>
    <mergeCell ref="A30:A31"/>
    <mergeCell ref="B30:B31"/>
    <mergeCell ref="C30:D30"/>
    <mergeCell ref="A1:D1"/>
    <mergeCell ref="A3:D3"/>
    <mergeCell ref="A5:D5"/>
    <mergeCell ref="A6:A7"/>
    <mergeCell ref="B6:B7"/>
    <mergeCell ref="C6:D6"/>
    <mergeCell ref="C296:D296"/>
    <mergeCell ref="C297:D297"/>
    <mergeCell ref="C158:D158"/>
    <mergeCell ref="B160:D160"/>
    <mergeCell ref="B164:D164"/>
    <mergeCell ref="B166:D166"/>
    <mergeCell ref="B172:D172"/>
    <mergeCell ref="B178:D178"/>
    <mergeCell ref="B181:D181"/>
    <mergeCell ref="B197:D197"/>
    <mergeCell ref="B223:D223"/>
    <mergeCell ref="A234:D234"/>
    <mergeCell ref="A235:A236"/>
    <mergeCell ref="B235:B236"/>
    <mergeCell ref="C235:D235"/>
    <mergeCell ref="A158:A159"/>
    <mergeCell ref="B158:B159"/>
    <mergeCell ref="B146:D146"/>
    <mergeCell ref="A149:D149"/>
    <mergeCell ref="A150:A151"/>
    <mergeCell ref="B150:B151"/>
    <mergeCell ref="C150:D150"/>
    <mergeCell ref="B152:D152"/>
    <mergeCell ref="A157:D157"/>
  </mergeCells>
  <hyperlinks>
    <hyperlink ref="E167" r:id="rId1" xr:uid="{00000000-0004-0000-0500-000000000000}"/>
    <hyperlink ref="E171" r:id="rId2" xr:uid="{00000000-0004-0000-0500-000001000000}"/>
    <hyperlink ref="E173" r:id="rId3" xr:uid="{00000000-0004-0000-0500-000002000000}"/>
    <hyperlink ref="E174" r:id="rId4" xr:uid="{00000000-0004-0000-0500-000003000000}"/>
    <hyperlink ref="E175" r:id="rId5" xr:uid="{00000000-0004-0000-0500-000004000000}"/>
    <hyperlink ref="E176" r:id="rId6" xr:uid="{00000000-0004-0000-0500-000005000000}"/>
    <hyperlink ref="E177" r:id="rId7" xr:uid="{00000000-0004-0000-0500-000006000000}"/>
    <hyperlink ref="E182" r:id="rId8" xr:uid="{00000000-0004-0000-0500-000007000000}"/>
    <hyperlink ref="E183" r:id="rId9" xr:uid="{00000000-0004-0000-0500-000008000000}"/>
    <hyperlink ref="E184" r:id="rId10" xr:uid="{00000000-0004-0000-0500-000009000000}"/>
    <hyperlink ref="E185" r:id="rId11" xr:uid="{00000000-0004-0000-0500-00000A000000}"/>
    <hyperlink ref="E186" r:id="rId12" xr:uid="{00000000-0004-0000-0500-00000B000000}"/>
    <hyperlink ref="E187" r:id="rId13" xr:uid="{00000000-0004-0000-0500-00000C000000}"/>
    <hyperlink ref="E188" r:id="rId14" xr:uid="{00000000-0004-0000-0500-00000D000000}"/>
    <hyperlink ref="E189" r:id="rId15" xr:uid="{00000000-0004-0000-0500-00000E000000}"/>
    <hyperlink ref="E190" r:id="rId16" xr:uid="{00000000-0004-0000-0500-00000F000000}"/>
    <hyperlink ref="E191" r:id="rId17" xr:uid="{00000000-0004-0000-0500-000010000000}"/>
    <hyperlink ref="E193" r:id="rId18" xr:uid="{00000000-0004-0000-0500-000011000000}"/>
    <hyperlink ref="E194" r:id="rId19" xr:uid="{00000000-0004-0000-0500-000012000000}"/>
    <hyperlink ref="E195" r:id="rId20" xr:uid="{00000000-0004-0000-0500-000013000000}"/>
    <hyperlink ref="E196" r:id="rId21" xr:uid="{00000000-0004-0000-0500-000014000000}"/>
    <hyperlink ref="E198" r:id="rId22" xr:uid="{00000000-0004-0000-0500-000015000000}"/>
    <hyperlink ref="E199" r:id="rId23" xr:uid="{00000000-0004-0000-0500-000016000000}"/>
    <hyperlink ref="E200" r:id="rId24" xr:uid="{00000000-0004-0000-0500-000017000000}"/>
    <hyperlink ref="E201" r:id="rId25" xr:uid="{00000000-0004-0000-0500-000018000000}"/>
    <hyperlink ref="E202" r:id="rId26" xr:uid="{00000000-0004-0000-0500-000019000000}"/>
    <hyperlink ref="E203" r:id="rId27" xr:uid="{00000000-0004-0000-0500-00001A000000}"/>
    <hyperlink ref="E204" r:id="rId28" xr:uid="{00000000-0004-0000-0500-00001B000000}"/>
    <hyperlink ref="E205" r:id="rId29" xr:uid="{00000000-0004-0000-0500-00001C000000}"/>
    <hyperlink ref="E206" r:id="rId30" xr:uid="{00000000-0004-0000-0500-00001D000000}"/>
    <hyperlink ref="E209" r:id="rId31" xr:uid="{00000000-0004-0000-0500-00001E000000}"/>
    <hyperlink ref="E210" r:id="rId32" xr:uid="{00000000-0004-0000-0500-00001F000000}"/>
    <hyperlink ref="E211" r:id="rId33" xr:uid="{00000000-0004-0000-0500-000020000000}"/>
    <hyperlink ref="E212" r:id="rId34" xr:uid="{00000000-0004-0000-0500-000021000000}"/>
    <hyperlink ref="E213" r:id="rId35" xr:uid="{00000000-0004-0000-0500-000022000000}"/>
    <hyperlink ref="E214" r:id="rId36" xr:uid="{00000000-0004-0000-0500-000023000000}"/>
    <hyperlink ref="E215" r:id="rId37" xr:uid="{00000000-0004-0000-0500-000024000000}"/>
    <hyperlink ref="E216" r:id="rId38" xr:uid="{00000000-0004-0000-0500-000025000000}"/>
    <hyperlink ref="E217" r:id="rId39" xr:uid="{00000000-0004-0000-0500-000026000000}"/>
    <hyperlink ref="E218" r:id="rId40" xr:uid="{00000000-0004-0000-0500-000027000000}"/>
    <hyperlink ref="E219" r:id="rId41" xr:uid="{00000000-0004-0000-0500-000028000000}"/>
    <hyperlink ref="E220" r:id="rId42" xr:uid="{00000000-0004-0000-0500-000029000000}"/>
    <hyperlink ref="E221" r:id="rId43" xr:uid="{00000000-0004-0000-0500-00002A000000}"/>
    <hyperlink ref="E222" r:id="rId44" xr:uid="{00000000-0004-0000-0500-00002B000000}"/>
    <hyperlink ref="E224" r:id="rId45" xr:uid="{00000000-0004-0000-0500-00002C000000}"/>
    <hyperlink ref="E225" r:id="rId46" xr:uid="{00000000-0004-0000-0500-00002D000000}"/>
    <hyperlink ref="E226" r:id="rId47" xr:uid="{00000000-0004-0000-0500-00002E000000}"/>
    <hyperlink ref="E227" r:id="rId48" xr:uid="{00000000-0004-0000-0500-00002F000000}"/>
    <hyperlink ref="E228" r:id="rId49" xr:uid="{00000000-0004-0000-0500-000030000000}"/>
    <hyperlink ref="E229" r:id="rId50" xr:uid="{00000000-0004-0000-0500-000031000000}"/>
    <hyperlink ref="E230" r:id="rId51" xr:uid="{00000000-0004-0000-0500-000032000000}"/>
    <hyperlink ref="E231" r:id="rId52" xr:uid="{00000000-0004-0000-0500-000033000000}"/>
    <hyperlink ref="E232" r:id="rId53" xr:uid="{00000000-0004-0000-0500-000034000000}"/>
  </hyperlinks>
  <printOptions horizontalCentered="1" gridLines="1"/>
  <pageMargins left="0.7" right="0.7" top="0.75" bottom="0.75" header="0" footer="0"/>
  <pageSetup paperSize="9" pageOrder="overThenDown" orientation="portrait" cellComments="atEnd"/>
  <rowBreaks count="5" manualBreakCount="5">
    <brk man="1"/>
    <brk id="130" man="1"/>
    <brk id="68" man="1"/>
    <brk id="233" man="1"/>
    <brk id="155" man="1"/>
  </rowBreaks>
  <colBreaks count="2" manualBreakCount="2">
    <brk man="1"/>
    <brk id="4" man="1"/>
  </colBreak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6</vt:i4>
      </vt:variant>
    </vt:vector>
  </HeadingPairs>
  <TitlesOfParts>
    <vt:vector size="6" baseType="lpstr">
      <vt:lpstr>CA CP</vt:lpstr>
      <vt:lpstr>ТЗ ПД Приложение 1</vt:lpstr>
      <vt:lpstr>ТЗ РД Приложение 2</vt:lpstr>
      <vt:lpstr>ТЗ РД Приложение 2 (Исходник)</vt:lpstr>
      <vt:lpstr>ТЗ РД Приложение 2 (Релиз 3)</vt:lpstr>
      <vt:lpstr>Вендор лист ВИС 324</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P5R2E6</cp:lastModifiedBy>
  <dcterms:modified xsi:type="dcterms:W3CDTF">2024-09-20T08:11:05Z</dcterms:modified>
</cp:coreProperties>
</file>